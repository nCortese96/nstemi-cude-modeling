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sAI_julia\data\Original datasets\"/>
    </mc:Choice>
  </mc:AlternateContent>
  <xr:revisionPtr revIDLastSave="0" documentId="13_ncr:1_{83F1F42A-1A75-458F-A46E-F441EAF10364}" xr6:coauthVersionLast="47" xr6:coauthVersionMax="47" xr10:uidLastSave="{00000000-0000-0000-0000-000000000000}"/>
  <bookViews>
    <workbookView xWindow="28680" yWindow="-4815" windowWidth="18240" windowHeight="28320" activeTab="2" xr2:uid="{00000000-000D-0000-FFFF-FFFF00000000}"/>
  </bookViews>
  <sheets>
    <sheet name="STEMI" sheetId="1" r:id="rId1"/>
    <sheet name="CK-MB" sheetId="7" r:id="rId2"/>
    <sheet name="STEMI_ORGANIZZATI" sheetId="4" r:id="rId3"/>
    <sheet name="STEMI_TEMPO_ACQUISIZIONE" sheetId="5" r:id="rId4"/>
    <sheet name="STEMI_ANALIZZATI" sheetId="6" r:id="rId5"/>
    <sheet name="STEMI TROBOLISATO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5" i="4" l="1"/>
  <c r="N46" i="5"/>
  <c r="M46" i="5"/>
  <c r="I46" i="5"/>
  <c r="I48" i="5"/>
  <c r="H44" i="5"/>
  <c r="H46" i="5"/>
  <c r="E46" i="5"/>
  <c r="D48" i="5"/>
  <c r="B45" i="5"/>
  <c r="S24" i="5"/>
  <c r="L169" i="6" s="1"/>
  <c r="T24" i="5"/>
  <c r="M169" i="6" s="1"/>
  <c r="U24" i="5"/>
  <c r="N169" i="6"/>
  <c r="V24" i="5"/>
  <c r="O169" i="6"/>
  <c r="W24" i="5"/>
  <c r="P169" i="6"/>
  <c r="X24" i="5"/>
  <c r="Q169" i="6" s="1"/>
  <c r="Y24" i="5"/>
  <c r="R169" i="6" s="1"/>
  <c r="Z24" i="5"/>
  <c r="S169" i="6" s="1"/>
  <c r="AA24" i="5"/>
  <c r="T169" i="6"/>
  <c r="R24" i="5"/>
  <c r="K169" i="6"/>
  <c r="AL24" i="4"/>
  <c r="J48" i="5" s="1"/>
  <c r="J24" i="5"/>
  <c r="S168" i="6" s="1"/>
  <c r="AP24" i="4"/>
  <c r="K48" i="5" s="1"/>
  <c r="K24" i="5"/>
  <c r="T168" i="6" s="1"/>
  <c r="AD24" i="4"/>
  <c r="H48" i="5" s="1"/>
  <c r="H24" i="5"/>
  <c r="Q168" i="6" s="1"/>
  <c r="AH24" i="4"/>
  <c r="I24" i="5"/>
  <c r="R168" i="6"/>
  <c r="J24" i="4"/>
  <c r="C48" i="5" s="1"/>
  <c r="C24" i="5"/>
  <c r="L168" i="6" s="1"/>
  <c r="N24" i="4"/>
  <c r="D24" i="5"/>
  <c r="M168" i="6" s="1"/>
  <c r="R24" i="4"/>
  <c r="E48" i="5" s="1"/>
  <c r="E24" i="5"/>
  <c r="N168" i="6" s="1"/>
  <c r="V24" i="4"/>
  <c r="F48" i="5" s="1"/>
  <c r="F24" i="5"/>
  <c r="O168" i="6"/>
  <c r="Z24" i="4"/>
  <c r="G48" i="5" s="1"/>
  <c r="G24" i="5"/>
  <c r="P168" i="6" s="1"/>
  <c r="F24" i="4"/>
  <c r="B48" i="5" s="1"/>
  <c r="B24" i="5"/>
  <c r="K168" i="6" s="1"/>
  <c r="S23" i="5"/>
  <c r="L150" i="6"/>
  <c r="T23" i="5"/>
  <c r="M150" i="6" s="1"/>
  <c r="U23" i="5"/>
  <c r="N150" i="6"/>
  <c r="V23" i="5"/>
  <c r="O150" i="6"/>
  <c r="W23" i="5"/>
  <c r="P150" i="6" s="1"/>
  <c r="X23" i="5"/>
  <c r="Q150" i="6" s="1"/>
  <c r="R23" i="5"/>
  <c r="K150" i="6"/>
  <c r="J23" i="4"/>
  <c r="C47" i="5" s="1"/>
  <c r="N23" i="4"/>
  <c r="D47" i="5" s="1"/>
  <c r="D23" i="5"/>
  <c r="M149" i="6"/>
  <c r="R23" i="4"/>
  <c r="E47" i="5" s="1"/>
  <c r="V23" i="4"/>
  <c r="F47" i="5" s="1"/>
  <c r="F23" i="5"/>
  <c r="O149" i="6"/>
  <c r="Z23" i="4"/>
  <c r="G47" i="5" s="1"/>
  <c r="AD23" i="4"/>
  <c r="H47" i="5" s="1"/>
  <c r="H23" i="5"/>
  <c r="Q149" i="6"/>
  <c r="F23" i="4"/>
  <c r="B23" i="5" s="1"/>
  <c r="K149" i="6" s="1"/>
  <c r="S22" i="5"/>
  <c r="L131" i="6"/>
  <c r="T22" i="5"/>
  <c r="M131" i="6" s="1"/>
  <c r="U22" i="5"/>
  <c r="N131" i="6" s="1"/>
  <c r="V22" i="5"/>
  <c r="O131" i="6"/>
  <c r="W22" i="5"/>
  <c r="P131" i="6" s="1"/>
  <c r="X22" i="5"/>
  <c r="Q131" i="6"/>
  <c r="Y22" i="5"/>
  <c r="R131" i="6"/>
  <c r="Z22" i="5"/>
  <c r="S131" i="6" s="1"/>
  <c r="AA22" i="5"/>
  <c r="T131" i="6" s="1"/>
  <c r="AB22" i="5"/>
  <c r="U131" i="6"/>
  <c r="AC22" i="5"/>
  <c r="V131" i="6" s="1"/>
  <c r="AD22" i="5"/>
  <c r="W131" i="6"/>
  <c r="AE22" i="5"/>
  <c r="X131" i="6"/>
  <c r="R22" i="5"/>
  <c r="K131" i="6" s="1"/>
  <c r="BB22" i="4"/>
  <c r="N22" i="5" s="1"/>
  <c r="W130" i="6" s="1"/>
  <c r="BF22" i="4"/>
  <c r="O46" i="5" s="1"/>
  <c r="AX22" i="4"/>
  <c r="M22" i="5"/>
  <c r="V130" i="6" s="1"/>
  <c r="AT22" i="4"/>
  <c r="L46" i="5" s="1"/>
  <c r="L22" i="5"/>
  <c r="U130" i="6" s="1"/>
  <c r="AP22" i="4"/>
  <c r="K46" i="5" s="1"/>
  <c r="J22" i="4"/>
  <c r="C46" i="5" s="1"/>
  <c r="N22" i="4"/>
  <c r="D46" i="5" s="1"/>
  <c r="D22" i="5"/>
  <c r="M130" i="6" s="1"/>
  <c r="R22" i="4"/>
  <c r="E22" i="5"/>
  <c r="N130" i="6" s="1"/>
  <c r="V22" i="4"/>
  <c r="F46" i="5" s="1"/>
  <c r="Z22" i="4"/>
  <c r="G46" i="5" s="1"/>
  <c r="AD22" i="4"/>
  <c r="H22" i="5"/>
  <c r="Q130" i="6" s="1"/>
  <c r="AH22" i="4"/>
  <c r="I22" i="5"/>
  <c r="R130" i="6" s="1"/>
  <c r="AL22" i="4"/>
  <c r="J22" i="5" s="1"/>
  <c r="S130" i="6" s="1"/>
  <c r="F22" i="4"/>
  <c r="B46" i="5" s="1"/>
  <c r="S21" i="5"/>
  <c r="L112" i="6" s="1"/>
  <c r="T21" i="5"/>
  <c r="M112" i="6"/>
  <c r="U21" i="5"/>
  <c r="N112" i="6" s="1"/>
  <c r="V21" i="5"/>
  <c r="O112" i="6" s="1"/>
  <c r="W21" i="5"/>
  <c r="P112" i="6"/>
  <c r="X21" i="5"/>
  <c r="Q112" i="6" s="1"/>
  <c r="Y21" i="5"/>
  <c r="R112" i="6" s="1"/>
  <c r="R21" i="5"/>
  <c r="K112" i="6"/>
  <c r="J21" i="4"/>
  <c r="C45" i="5" s="1"/>
  <c r="N21" i="4"/>
  <c r="D45" i="5" s="1"/>
  <c r="D21" i="5"/>
  <c r="M111" i="6"/>
  <c r="R21" i="4"/>
  <c r="E21" i="5" s="1"/>
  <c r="N111" i="6" s="1"/>
  <c r="V21" i="4"/>
  <c r="F45" i="5" s="1"/>
  <c r="Z21" i="4"/>
  <c r="G45" i="5" s="1"/>
  <c r="AD21" i="4"/>
  <c r="H45" i="5" s="1"/>
  <c r="H21" i="5"/>
  <c r="Q111" i="6"/>
  <c r="AH21" i="4"/>
  <c r="I21" i="5" s="1"/>
  <c r="R111" i="6" s="1"/>
  <c r="F21" i="4"/>
  <c r="B21" i="5" s="1"/>
  <c r="K111" i="6" s="1"/>
  <c r="S20" i="5"/>
  <c r="L94" i="6" s="1"/>
  <c r="T20" i="5"/>
  <c r="M94" i="6" s="1"/>
  <c r="U20" i="5"/>
  <c r="N94" i="6"/>
  <c r="V20" i="5"/>
  <c r="O94" i="6" s="1"/>
  <c r="W20" i="5"/>
  <c r="P94" i="6" s="1"/>
  <c r="X20" i="5"/>
  <c r="Q94" i="6"/>
  <c r="Y20" i="5"/>
  <c r="R94" i="6" s="1"/>
  <c r="Z20" i="5"/>
  <c r="S94" i="6" s="1"/>
  <c r="AA20" i="5"/>
  <c r="T94" i="6"/>
  <c r="R20" i="5"/>
  <c r="K94" i="6" s="1"/>
  <c r="AP20" i="4"/>
  <c r="K20" i="5" s="1"/>
  <c r="T93" i="6" s="1"/>
  <c r="J20" i="4"/>
  <c r="C44" i="5" s="1"/>
  <c r="C20" i="5"/>
  <c r="L93" i="6" s="1"/>
  <c r="N20" i="4"/>
  <c r="D44" i="5" s="1"/>
  <c r="R20" i="4"/>
  <c r="E44" i="5" s="1"/>
  <c r="V20" i="4"/>
  <c r="F44" i="5" s="1"/>
  <c r="Z20" i="4"/>
  <c r="G44" i="5" s="1"/>
  <c r="G20" i="5"/>
  <c r="P93" i="6" s="1"/>
  <c r="AD20" i="4"/>
  <c r="H20" i="5" s="1"/>
  <c r="Q93" i="6" s="1"/>
  <c r="AH20" i="4"/>
  <c r="I44" i="5" s="1"/>
  <c r="AL20" i="4"/>
  <c r="J20" i="5" s="1"/>
  <c r="S93" i="6" s="1"/>
  <c r="F20" i="4"/>
  <c r="B44" i="5" s="1"/>
  <c r="B20" i="5"/>
  <c r="K93" i="6" s="1"/>
  <c r="S19" i="5"/>
  <c r="N75" i="6"/>
  <c r="T19" i="5"/>
  <c r="O75" i="6"/>
  <c r="U19" i="5"/>
  <c r="P75" i="6" s="1"/>
  <c r="V19" i="5"/>
  <c r="Q75" i="6"/>
  <c r="W19" i="5"/>
  <c r="R75" i="6"/>
  <c r="X19" i="5"/>
  <c r="S75" i="6" s="1"/>
  <c r="R19" i="5"/>
  <c r="M75" i="6"/>
  <c r="J19" i="4"/>
  <c r="C43" i="5" s="1"/>
  <c r="C19" i="5"/>
  <c r="N74" i="6" s="1"/>
  <c r="N19" i="4"/>
  <c r="D19" i="5" s="1"/>
  <c r="O74" i="6" s="1"/>
  <c r="R19" i="4"/>
  <c r="E43" i="5" s="1"/>
  <c r="E19" i="5"/>
  <c r="P74" i="6"/>
  <c r="V19" i="4"/>
  <c r="F43" i="5" s="1"/>
  <c r="Z19" i="4"/>
  <c r="G43" i="5" s="1"/>
  <c r="G19" i="5"/>
  <c r="R74" i="6" s="1"/>
  <c r="AD19" i="4"/>
  <c r="H19" i="5" s="1"/>
  <c r="S74" i="6" s="1"/>
  <c r="F19" i="4"/>
  <c r="B43" i="5" s="1"/>
  <c r="B19" i="5"/>
  <c r="M74" i="6"/>
  <c r="S18" i="5"/>
  <c r="N57" i="6" s="1"/>
  <c r="T18" i="5"/>
  <c r="O57" i="6"/>
  <c r="U18" i="5"/>
  <c r="P57" i="6" s="1"/>
  <c r="V18" i="5"/>
  <c r="Q57" i="6" s="1"/>
  <c r="W18" i="5"/>
  <c r="R57" i="6" s="1"/>
  <c r="X18" i="5"/>
  <c r="S57" i="6"/>
  <c r="Y18" i="5"/>
  <c r="T57" i="6" s="1"/>
  <c r="Z18" i="5"/>
  <c r="U57" i="6"/>
  <c r="AA18" i="5"/>
  <c r="V57" i="6" s="1"/>
  <c r="R18" i="5"/>
  <c r="M57" i="6" s="1"/>
  <c r="AP18" i="4"/>
  <c r="K42" i="5" s="1"/>
  <c r="K18" i="5"/>
  <c r="V56" i="6"/>
  <c r="J18" i="4"/>
  <c r="C18" i="5" s="1"/>
  <c r="N56" i="6" s="1"/>
  <c r="N18" i="4"/>
  <c r="D42" i="5" s="1"/>
  <c r="D18" i="5"/>
  <c r="O56" i="6"/>
  <c r="R18" i="4"/>
  <c r="E18" i="5" s="1"/>
  <c r="P56" i="6" s="1"/>
  <c r="V18" i="4"/>
  <c r="F42" i="5" s="1"/>
  <c r="F18" i="5"/>
  <c r="Q56" i="6"/>
  <c r="Z18" i="4"/>
  <c r="G42" i="5" s="1"/>
  <c r="AD18" i="4"/>
  <c r="H42" i="5" s="1"/>
  <c r="H18" i="5"/>
  <c r="S56" i="6"/>
  <c r="AH18" i="4"/>
  <c r="I18" i="5" s="1"/>
  <c r="T56" i="6" s="1"/>
  <c r="AL18" i="4"/>
  <c r="J42" i="5" s="1"/>
  <c r="J18" i="5"/>
  <c r="U56" i="6"/>
  <c r="F18" i="4"/>
  <c r="B42" i="5" s="1"/>
  <c r="S17" i="5"/>
  <c r="M40" i="6"/>
  <c r="T17" i="5"/>
  <c r="N40" i="6" s="1"/>
  <c r="U17" i="5"/>
  <c r="O40" i="6" s="1"/>
  <c r="V17" i="5"/>
  <c r="P40" i="6"/>
  <c r="W17" i="5"/>
  <c r="Q40" i="6" s="1"/>
  <c r="X17" i="5"/>
  <c r="R40" i="6" s="1"/>
  <c r="Y17" i="5"/>
  <c r="S40" i="6"/>
  <c r="Z17" i="5"/>
  <c r="T40" i="6" s="1"/>
  <c r="R17" i="5"/>
  <c r="L40" i="6" s="1"/>
  <c r="J17" i="4"/>
  <c r="C41" i="5" s="1"/>
  <c r="C17" i="5"/>
  <c r="M39" i="6" s="1"/>
  <c r="N17" i="4"/>
  <c r="D41" i="5" s="1"/>
  <c r="R17" i="4"/>
  <c r="E41" i="5" s="1"/>
  <c r="E17" i="5"/>
  <c r="O39" i="6"/>
  <c r="V17" i="4"/>
  <c r="F17" i="5" s="1"/>
  <c r="P39" i="6" s="1"/>
  <c r="Z17" i="4"/>
  <c r="G41" i="5" s="1"/>
  <c r="G17" i="5"/>
  <c r="Q39" i="6" s="1"/>
  <c r="AD17" i="4"/>
  <c r="H41" i="5" s="1"/>
  <c r="AH17" i="4"/>
  <c r="I41" i="5" s="1"/>
  <c r="I17" i="5"/>
  <c r="S39" i="6"/>
  <c r="AL17" i="4"/>
  <c r="J17" i="5" s="1"/>
  <c r="T39" i="6" s="1"/>
  <c r="F17" i="4"/>
  <c r="B41" i="5" s="1"/>
  <c r="B17" i="5"/>
  <c r="L39" i="6" s="1"/>
  <c r="S16" i="5"/>
  <c r="Q21" i="6" s="1"/>
  <c r="T16" i="5"/>
  <c r="R21" i="6"/>
  <c r="U16" i="5"/>
  <c r="S21" i="6"/>
  <c r="V16" i="5"/>
  <c r="T21" i="6" s="1"/>
  <c r="W16" i="5"/>
  <c r="U21" i="6"/>
  <c r="X16" i="5"/>
  <c r="V21" i="6" s="1"/>
  <c r="Y16" i="5"/>
  <c r="W21" i="6" s="1"/>
  <c r="R16" i="5"/>
  <c r="P21" i="6"/>
  <c r="AH16" i="4"/>
  <c r="I40" i="5" s="1"/>
  <c r="I16" i="5"/>
  <c r="W20" i="6"/>
  <c r="J16" i="4"/>
  <c r="C16" i="5" s="1"/>
  <c r="Q20" i="6" s="1"/>
  <c r="N16" i="4"/>
  <c r="D40" i="5" s="1"/>
  <c r="R16" i="4"/>
  <c r="E40" i="5" s="1"/>
  <c r="V16" i="4"/>
  <c r="F40" i="5" s="1"/>
  <c r="F16" i="5"/>
  <c r="T20" i="6"/>
  <c r="Z16" i="4"/>
  <c r="G16" i="5" s="1"/>
  <c r="U20" i="6" s="1"/>
  <c r="AD16" i="4"/>
  <c r="H16" i="5" s="1"/>
  <c r="V20" i="6" s="1"/>
  <c r="F16" i="4"/>
  <c r="B40" i="5" s="1"/>
  <c r="S15" i="5"/>
  <c r="J3" i="6" s="1"/>
  <c r="T15" i="5"/>
  <c r="K3" i="6"/>
  <c r="U15" i="5"/>
  <c r="L3" i="6"/>
  <c r="V15" i="5"/>
  <c r="M3" i="6" s="1"/>
  <c r="W15" i="5"/>
  <c r="N3" i="6"/>
  <c r="R15" i="5"/>
  <c r="I3" i="6"/>
  <c r="J15" i="4"/>
  <c r="C39" i="5" s="1"/>
  <c r="N15" i="4"/>
  <c r="D39" i="5" s="1"/>
  <c r="R15" i="4"/>
  <c r="E39" i="5" s="1"/>
  <c r="V15" i="4"/>
  <c r="F15" i="5" s="1"/>
  <c r="M2" i="6" s="1"/>
  <c r="Z15" i="4"/>
  <c r="G39" i="5" s="1"/>
  <c r="F15" i="4"/>
  <c r="B15" i="5" s="1"/>
  <c r="I2" i="6" s="1"/>
  <c r="S14" i="5"/>
  <c r="C165" i="6"/>
  <c r="T14" i="5"/>
  <c r="D165" i="6"/>
  <c r="U14" i="5"/>
  <c r="E165" i="6"/>
  <c r="V14" i="5"/>
  <c r="F165" i="6" s="1"/>
  <c r="W14" i="5"/>
  <c r="G165" i="6"/>
  <c r="R14" i="5"/>
  <c r="B165" i="6"/>
  <c r="J14" i="4"/>
  <c r="C38" i="5" s="1"/>
  <c r="C14" i="5"/>
  <c r="C164" i="6" s="1"/>
  <c r="N14" i="4"/>
  <c r="D38" i="5" s="1"/>
  <c r="R14" i="4"/>
  <c r="E38" i="5" s="1"/>
  <c r="V14" i="4"/>
  <c r="F14" i="5" s="1"/>
  <c r="F164" i="6" s="1"/>
  <c r="Z14" i="4"/>
  <c r="G38" i="5" s="1"/>
  <c r="G14" i="5"/>
  <c r="G164" i="6" s="1"/>
  <c r="F14" i="4"/>
  <c r="B38" i="5" s="1"/>
  <c r="S13" i="5"/>
  <c r="C147" i="6" s="1"/>
  <c r="T13" i="5"/>
  <c r="D147" i="6"/>
  <c r="R13" i="5"/>
  <c r="B147" i="6"/>
  <c r="J13" i="4"/>
  <c r="C37" i="5" s="1"/>
  <c r="C13" i="5"/>
  <c r="C146" i="6" s="1"/>
  <c r="N13" i="4"/>
  <c r="D13" i="5" s="1"/>
  <c r="D146" i="6" s="1"/>
  <c r="J12" i="4"/>
  <c r="C36" i="5" s="1"/>
  <c r="C12" i="5"/>
  <c r="C128" i="6" s="1"/>
  <c r="N12" i="4"/>
  <c r="D12" i="5" s="1"/>
  <c r="D128" i="6" s="1"/>
  <c r="R12" i="4"/>
  <c r="E36" i="5" s="1"/>
  <c r="E12" i="5"/>
  <c r="E128" i="6" s="1"/>
  <c r="V12" i="4"/>
  <c r="F36" i="5" s="1"/>
  <c r="Z12" i="4"/>
  <c r="G36" i="5" s="1"/>
  <c r="G12" i="5"/>
  <c r="G128" i="6" s="1"/>
  <c r="AD12" i="4"/>
  <c r="H12" i="5" s="1"/>
  <c r="H128" i="6" s="1"/>
  <c r="F13" i="4"/>
  <c r="B37" i="5" s="1"/>
  <c r="B13" i="5"/>
  <c r="B146" i="6" s="1"/>
  <c r="S12" i="5"/>
  <c r="C129" i="6" s="1"/>
  <c r="T12" i="5"/>
  <c r="D129" i="6"/>
  <c r="U12" i="5"/>
  <c r="E129" i="6" s="1"/>
  <c r="V12" i="5"/>
  <c r="F129" i="6" s="1"/>
  <c r="W12" i="5"/>
  <c r="G129" i="6"/>
  <c r="X12" i="5"/>
  <c r="H129" i="6" s="1"/>
  <c r="R12" i="5"/>
  <c r="B129" i="6" s="1"/>
  <c r="F12" i="4"/>
  <c r="B36" i="5" s="1"/>
  <c r="B12" i="5"/>
  <c r="B128" i="6"/>
  <c r="S11" i="5"/>
  <c r="C111" i="6" s="1"/>
  <c r="T11" i="5"/>
  <c r="D111" i="6"/>
  <c r="U11" i="5"/>
  <c r="E111" i="6"/>
  <c r="V11" i="5"/>
  <c r="F111" i="6"/>
  <c r="W11" i="5"/>
  <c r="G111" i="6" s="1"/>
  <c r="X11" i="5"/>
  <c r="H111" i="6"/>
  <c r="R11" i="5"/>
  <c r="B111" i="6" s="1"/>
  <c r="J11" i="4"/>
  <c r="C35" i="5" s="1"/>
  <c r="C11" i="5"/>
  <c r="C110" i="6"/>
  <c r="N11" i="4"/>
  <c r="D11" i="5" s="1"/>
  <c r="D110" i="6" s="1"/>
  <c r="R11" i="4"/>
  <c r="E35" i="5" s="1"/>
  <c r="V11" i="4"/>
  <c r="F35" i="5" s="1"/>
  <c r="F11" i="5"/>
  <c r="F110" i="6" s="1"/>
  <c r="Z11" i="4"/>
  <c r="G35" i="5" s="1"/>
  <c r="G11" i="5"/>
  <c r="G110" i="6"/>
  <c r="AD11" i="4"/>
  <c r="H35" i="5" s="1"/>
  <c r="F11" i="4"/>
  <c r="B11" i="5" s="1"/>
  <c r="B110" i="6" s="1"/>
  <c r="S10" i="5"/>
  <c r="C93" i="6"/>
  <c r="T10" i="5"/>
  <c r="D93" i="6" s="1"/>
  <c r="U10" i="5"/>
  <c r="E93" i="6"/>
  <c r="V10" i="5"/>
  <c r="F93" i="6" s="1"/>
  <c r="R10" i="5"/>
  <c r="B93" i="6" s="1"/>
  <c r="J10" i="4"/>
  <c r="C34" i="5" s="1"/>
  <c r="C10" i="5"/>
  <c r="C92" i="6"/>
  <c r="N10" i="4"/>
  <c r="D10" i="5" s="1"/>
  <c r="D92" i="6" s="1"/>
  <c r="R10" i="4"/>
  <c r="E34" i="5" s="1"/>
  <c r="E10" i="5"/>
  <c r="E92" i="6"/>
  <c r="V10" i="4"/>
  <c r="F34" i="5" s="1"/>
  <c r="F10" i="5"/>
  <c r="F92" i="6" s="1"/>
  <c r="F10" i="4"/>
  <c r="B34" i="5" s="1"/>
  <c r="B10" i="5"/>
  <c r="B92" i="6"/>
  <c r="F9" i="4"/>
  <c r="B9" i="5" s="1"/>
  <c r="B74" i="6" s="1"/>
  <c r="S9" i="5"/>
  <c r="C75" i="6"/>
  <c r="T9" i="5"/>
  <c r="D75" i="6" s="1"/>
  <c r="U9" i="5"/>
  <c r="E75" i="6" s="1"/>
  <c r="V9" i="5"/>
  <c r="F75" i="6"/>
  <c r="W9" i="5"/>
  <c r="G75" i="6"/>
  <c r="X9" i="5"/>
  <c r="H75" i="6" s="1"/>
  <c r="R9" i="5"/>
  <c r="B75" i="6"/>
  <c r="J9" i="4"/>
  <c r="C33" i="5" s="1"/>
  <c r="N9" i="4"/>
  <c r="D33" i="5" s="1"/>
  <c r="R9" i="4"/>
  <c r="E33" i="5" s="1"/>
  <c r="E9" i="5"/>
  <c r="E74" i="6" s="1"/>
  <c r="V9" i="4"/>
  <c r="F33" i="5" s="1"/>
  <c r="F9" i="5"/>
  <c r="F74" i="6"/>
  <c r="Z9" i="4"/>
  <c r="G33" i="5" s="1"/>
  <c r="AD9" i="4"/>
  <c r="H33" i="5" s="1"/>
  <c r="F8" i="4"/>
  <c r="B32" i="5" s="1"/>
  <c r="B8" i="5"/>
  <c r="B56" i="6" s="1"/>
  <c r="Z8" i="5"/>
  <c r="J57" i="6"/>
  <c r="Y8" i="5"/>
  <c r="I57" i="6"/>
  <c r="X8" i="5"/>
  <c r="H57" i="6" s="1"/>
  <c r="W8" i="5"/>
  <c r="G57" i="6" s="1"/>
  <c r="V8" i="5"/>
  <c r="F57" i="6"/>
  <c r="U8" i="5"/>
  <c r="E57" i="6" s="1"/>
  <c r="T8" i="5"/>
  <c r="D57" i="6"/>
  <c r="S8" i="5"/>
  <c r="C57" i="6"/>
  <c r="R8" i="5"/>
  <c r="B57" i="6" s="1"/>
  <c r="AL8" i="4"/>
  <c r="J32" i="5" s="1"/>
  <c r="J8" i="4"/>
  <c r="C32" i="5" s="1"/>
  <c r="C8" i="5"/>
  <c r="C56" i="6" s="1"/>
  <c r="N8" i="4"/>
  <c r="D32" i="5" s="1"/>
  <c r="D8" i="5"/>
  <c r="D56" i="6"/>
  <c r="R8" i="4"/>
  <c r="E8" i="5" s="1"/>
  <c r="E56" i="6" s="1"/>
  <c r="V8" i="4"/>
  <c r="F32" i="5" s="1"/>
  <c r="Z8" i="4"/>
  <c r="G32" i="5" s="1"/>
  <c r="G8" i="5"/>
  <c r="G56" i="6" s="1"/>
  <c r="AD8" i="4"/>
  <c r="H32" i="5" s="1"/>
  <c r="H8" i="5"/>
  <c r="H56" i="6"/>
  <c r="AH8" i="4"/>
  <c r="I32" i="5" s="1"/>
  <c r="F7" i="4"/>
  <c r="B31" i="5" s="1"/>
  <c r="S7" i="5"/>
  <c r="C39" i="6"/>
  <c r="T7" i="5"/>
  <c r="D39" i="6" s="1"/>
  <c r="U7" i="5"/>
  <c r="E39" i="6"/>
  <c r="V7" i="5"/>
  <c r="F39" i="6" s="1"/>
  <c r="W7" i="5"/>
  <c r="G39" i="6" s="1"/>
  <c r="X7" i="5"/>
  <c r="H39" i="6"/>
  <c r="Y7" i="5"/>
  <c r="I39" i="6"/>
  <c r="R7" i="5"/>
  <c r="B39" i="6" s="1"/>
  <c r="AH7" i="4"/>
  <c r="I31" i="5" s="1"/>
  <c r="I7" i="5"/>
  <c r="I38" i="6"/>
  <c r="J7" i="4"/>
  <c r="C31" i="5" s="1"/>
  <c r="N7" i="4"/>
  <c r="D31" i="5" s="1"/>
  <c r="D7" i="5"/>
  <c r="D38" i="6"/>
  <c r="R7" i="4"/>
  <c r="E7" i="5" s="1"/>
  <c r="E38" i="6" s="1"/>
  <c r="V7" i="4"/>
  <c r="F31" i="5" s="1"/>
  <c r="F7" i="5"/>
  <c r="F38" i="6"/>
  <c r="Z7" i="4"/>
  <c r="G31" i="5" s="1"/>
  <c r="AD7" i="4"/>
  <c r="H31" i="5" s="1"/>
  <c r="H7" i="5"/>
  <c r="H38" i="6"/>
  <c r="F6" i="4"/>
  <c r="B6" i="5" s="1"/>
  <c r="B20" i="6" s="1"/>
  <c r="R6" i="5"/>
  <c r="B21" i="6"/>
  <c r="S6" i="5"/>
  <c r="C21" i="6"/>
  <c r="T6" i="5"/>
  <c r="D21" i="6" s="1"/>
  <c r="U6" i="5"/>
  <c r="E21" i="6"/>
  <c r="V6" i="5"/>
  <c r="F21" i="6"/>
  <c r="W6" i="5"/>
  <c r="G21" i="6" s="1"/>
  <c r="X6" i="5"/>
  <c r="H21" i="6"/>
  <c r="Y6" i="5"/>
  <c r="I21" i="6"/>
  <c r="Z6" i="5"/>
  <c r="J21" i="6" s="1"/>
  <c r="AA6" i="5"/>
  <c r="K21" i="6"/>
  <c r="AB6" i="5"/>
  <c r="L21" i="6"/>
  <c r="AX6" i="4"/>
  <c r="M6" i="5" s="1"/>
  <c r="L20" i="6" s="1"/>
  <c r="AT6" i="4"/>
  <c r="K30" i="5" s="1"/>
  <c r="L6" i="5"/>
  <c r="K20" i="6"/>
  <c r="AP6" i="4"/>
  <c r="J30" i="5" s="1"/>
  <c r="AL6" i="4"/>
  <c r="I30" i="5" s="1"/>
  <c r="J6" i="5"/>
  <c r="I20" i="6"/>
  <c r="AH6" i="4"/>
  <c r="I6" i="5" s="1"/>
  <c r="H20" i="6" s="1"/>
  <c r="J6" i="4"/>
  <c r="N6" i="4"/>
  <c r="C30" i="5" s="1"/>
  <c r="D6" i="5"/>
  <c r="C20" i="6" s="1"/>
  <c r="R6" i="4"/>
  <c r="D30" i="5" s="1"/>
  <c r="V6" i="4"/>
  <c r="E30" i="5" s="1"/>
  <c r="F6" i="5"/>
  <c r="E20" i="6" s="1"/>
  <c r="Z6" i="4"/>
  <c r="F30" i="5" s="1"/>
  <c r="G6" i="5"/>
  <c r="F20" i="6"/>
  <c r="AD6" i="4"/>
  <c r="G30" i="5" s="1"/>
  <c r="H6" i="5"/>
  <c r="G20" i="6" s="1"/>
  <c r="F5" i="4"/>
  <c r="B29" i="5" s="1"/>
  <c r="S5" i="5"/>
  <c r="C3" i="6"/>
  <c r="T5" i="5"/>
  <c r="D3" i="6" s="1"/>
  <c r="U5" i="5"/>
  <c r="E3" i="6"/>
  <c r="R5" i="5"/>
  <c r="B3" i="6"/>
  <c r="N5" i="4"/>
  <c r="D5" i="5" s="1"/>
  <c r="C2" i="6" s="1"/>
  <c r="R5" i="4"/>
  <c r="D29" i="5" s="1"/>
  <c r="V5" i="4"/>
  <c r="E29" i="5" s="1"/>
  <c r="I20" i="5" l="1"/>
  <c r="R93" i="6" s="1"/>
  <c r="E20" i="5"/>
  <c r="N93" i="6" s="1"/>
  <c r="B22" i="5"/>
  <c r="K130" i="6" s="1"/>
  <c r="G22" i="5"/>
  <c r="P130" i="6" s="1"/>
  <c r="C22" i="5"/>
  <c r="L130" i="6" s="1"/>
  <c r="O22" i="5"/>
  <c r="X130" i="6" s="1"/>
  <c r="B47" i="5"/>
  <c r="B35" i="5"/>
  <c r="C29" i="5"/>
  <c r="D37" i="5"/>
  <c r="H30" i="5"/>
  <c r="J46" i="5"/>
  <c r="L30" i="5"/>
  <c r="E14" i="5"/>
  <c r="E164" i="6" s="1"/>
  <c r="G15" i="5"/>
  <c r="N2" i="6" s="1"/>
  <c r="C15" i="5"/>
  <c r="J2" i="6" s="1"/>
  <c r="C42" i="5"/>
  <c r="D36" i="5"/>
  <c r="E45" i="5"/>
  <c r="E32" i="5"/>
  <c r="G40" i="5"/>
  <c r="J44" i="5"/>
  <c r="F41" i="5"/>
  <c r="B33" i="5"/>
  <c r="D35" i="5"/>
  <c r="E31" i="5"/>
  <c r="B5" i="5"/>
  <c r="B2" i="6" s="1"/>
  <c r="E6" i="5"/>
  <c r="D20" i="6" s="1"/>
  <c r="B7" i="5"/>
  <c r="B38" i="6" s="1"/>
  <c r="F8" i="5"/>
  <c r="F56" i="6" s="1"/>
  <c r="J8" i="5"/>
  <c r="J56" i="6" s="1"/>
  <c r="H9" i="5"/>
  <c r="H74" i="6" s="1"/>
  <c r="D9" i="5"/>
  <c r="D74" i="6" s="1"/>
  <c r="E11" i="5"/>
  <c r="E110" i="6" s="1"/>
  <c r="D20" i="5"/>
  <c r="M93" i="6" s="1"/>
  <c r="F22" i="5"/>
  <c r="O130" i="6" s="1"/>
  <c r="K22" i="5"/>
  <c r="T130" i="6" s="1"/>
  <c r="C40" i="5"/>
  <c r="D34" i="5"/>
  <c r="H43" i="5"/>
  <c r="I45" i="5"/>
  <c r="J41" i="5"/>
  <c r="F39" i="5"/>
  <c r="K6" i="5"/>
  <c r="J20" i="6" s="1"/>
  <c r="F12" i="5"/>
  <c r="F128" i="6" s="1"/>
  <c r="B14" i="5"/>
  <c r="B164" i="6" s="1"/>
  <c r="D14" i="5"/>
  <c r="D164" i="6" s="1"/>
  <c r="B16" i="5"/>
  <c r="P20" i="6" s="1"/>
  <c r="E16" i="5"/>
  <c r="S20" i="6" s="1"/>
  <c r="F19" i="5"/>
  <c r="Q74" i="6" s="1"/>
  <c r="G23" i="5"/>
  <c r="P149" i="6" s="1"/>
  <c r="C23" i="5"/>
  <c r="L149" i="6" s="1"/>
  <c r="E42" i="5"/>
  <c r="F5" i="5"/>
  <c r="E2" i="6" s="1"/>
  <c r="F38" i="5"/>
  <c r="G7" i="5"/>
  <c r="G38" i="6" s="1"/>
  <c r="C7" i="5"/>
  <c r="C38" i="6" s="1"/>
  <c r="H17" i="5"/>
  <c r="R39" i="6" s="1"/>
  <c r="D17" i="5"/>
  <c r="N39" i="6" s="1"/>
  <c r="B18" i="5"/>
  <c r="M56" i="6" s="1"/>
  <c r="G18" i="5"/>
  <c r="R56" i="6" s="1"/>
  <c r="G21" i="5"/>
  <c r="P111" i="6" s="1"/>
  <c r="C21" i="5"/>
  <c r="L111" i="6" s="1"/>
  <c r="B30" i="5"/>
  <c r="I42" i="5"/>
  <c r="I8" i="5"/>
  <c r="I56" i="6" s="1"/>
  <c r="G9" i="5"/>
  <c r="G74" i="6" s="1"/>
  <c r="C9" i="5"/>
  <c r="C74" i="6" s="1"/>
  <c r="H11" i="5"/>
  <c r="H110" i="6" s="1"/>
  <c r="D43" i="5"/>
  <c r="H40" i="5"/>
  <c r="E15" i="5"/>
  <c r="L2" i="6" s="1"/>
  <c r="D16" i="5"/>
  <c r="R20" i="6" s="1"/>
  <c r="H36" i="5"/>
  <c r="F21" i="5"/>
  <c r="O111" i="6" s="1"/>
  <c r="B39" i="5"/>
  <c r="E5" i="5"/>
  <c r="D2" i="6" s="1"/>
  <c r="K44" i="5"/>
  <c r="F20" i="5"/>
  <c r="O93" i="6" s="1"/>
  <c r="D15" i="5"/>
  <c r="K2" i="6" s="1"/>
  <c r="E23" i="5"/>
  <c r="N149" i="6" s="1"/>
</calcChain>
</file>

<file path=xl/sharedStrings.xml><?xml version="1.0" encoding="utf-8"?>
<sst xmlns="http://schemas.openxmlformats.org/spreadsheetml/2006/main" count="623" uniqueCount="370">
  <si>
    <t>PAT ID</t>
  </si>
  <si>
    <t xml:space="preserve">                            DATI PROCEDURA E RICOVERO</t>
  </si>
  <si>
    <t>ANTIAGGREGANTE</t>
  </si>
  <si>
    <t>Cognome-nome</t>
  </si>
  <si>
    <t xml:space="preserve">Data evento </t>
  </si>
  <si>
    <t>(1 Plavix; 2 Altro)</t>
  </si>
  <si>
    <t>TnThs MIRE 1</t>
  </si>
  <si>
    <t>CK-MB 1</t>
  </si>
  <si>
    <t>TnThs MIRE 2</t>
  </si>
  <si>
    <t>CK-MB 2</t>
  </si>
  <si>
    <t>TnThs MIRE 3</t>
  </si>
  <si>
    <t>CK-MB 3</t>
  </si>
  <si>
    <t>TnThs MIRE 4</t>
  </si>
  <si>
    <t>CK-MB 4</t>
  </si>
  <si>
    <t>TnThs MIRE 5</t>
  </si>
  <si>
    <t>CK-MB 5</t>
  </si>
  <si>
    <t>TnThs MIRE 6</t>
  </si>
  <si>
    <t>CK-MB 6</t>
  </si>
  <si>
    <t>TnThs MIRE 7</t>
  </si>
  <si>
    <t>CK-MB 7</t>
  </si>
  <si>
    <t>TnThs MIRE 8</t>
  </si>
  <si>
    <t>CK-MB 8</t>
  </si>
  <si>
    <t>TnThs MIRE 9</t>
  </si>
  <si>
    <t>CK-MB 9</t>
  </si>
  <si>
    <t>TnThs MIRE 10</t>
  </si>
  <si>
    <t>CK-MB 10</t>
  </si>
  <si>
    <t>TnThs MIRE 11</t>
  </si>
  <si>
    <t>CK-MB 11</t>
  </si>
  <si>
    <t>ANTIAGGREGANTE                (1 Plavix; 2 Altro)</t>
  </si>
  <si>
    <t xml:space="preserve"> </t>
  </si>
  <si>
    <t xml:space="preserve">  </t>
  </si>
  <si>
    <t>ANANIA Luigi</t>
  </si>
  <si>
    <t>PROLOGO Mario Luigi</t>
  </si>
  <si>
    <t>CASTELLI Alfonso</t>
  </si>
  <si>
    <t>FERRAGINE Domenico</t>
  </si>
  <si>
    <t>BERLINGERI Antonio</t>
  </si>
  <si>
    <t>LAMA Grazia</t>
  </si>
  <si>
    <t>CARIANO Sergio</t>
  </si>
  <si>
    <t>16/08/2016 ore 00:30</t>
  </si>
  <si>
    <t>Prasugrel</t>
  </si>
  <si>
    <t>22/08/2016 ore 13:00</t>
  </si>
  <si>
    <t>Ticagrelor</t>
  </si>
  <si>
    <t>19/08/2016 ore 21:00</t>
  </si>
  <si>
    <t>23/08/2016 ore 18:00</t>
  </si>
  <si>
    <t>Clopidogrel</t>
  </si>
  <si>
    <t>23/08/2016 ore 14:00</t>
  </si>
  <si>
    <t>23/08/2016 ore 09:30</t>
  </si>
  <si>
    <t>25/08/2016 ore 22:30</t>
  </si>
  <si>
    <t>PLATANIA Francesco</t>
  </si>
  <si>
    <t>TROMBOLISI</t>
  </si>
  <si>
    <t>25/08/2016 ORE 13:50</t>
  </si>
  <si>
    <t>12 ore  06:14 16/08/2016</t>
  </si>
  <si>
    <t>&gt;600</t>
  </si>
  <si>
    <t>11,950 ore 11:03 16/0/2016</t>
  </si>
  <si>
    <t>13,560 ore 13:30 16/08/2016</t>
  </si>
  <si>
    <t>10,230 ore 17:53 16/08/2016</t>
  </si>
  <si>
    <t>5,620 ore 09:18 17/08/2016</t>
  </si>
  <si>
    <t>3,520 ore 09:00 18/08/2016</t>
  </si>
  <si>
    <t>3,620 ore 08:17 19/08/2016</t>
  </si>
  <si>
    <t>3,470 ore 20/08/2016 10:06</t>
  </si>
  <si>
    <t>2,320 ore 09:40 21/08/2016</t>
  </si>
  <si>
    <t>1,450 ore 09:38 22/08/2016</t>
  </si>
  <si>
    <t>4,650 ore 18:39 22/08/2016</t>
  </si>
  <si>
    <t>4,550 ore 23:28 22/08/2016</t>
  </si>
  <si>
    <t>4,050 ore 09:38 23/08/2016</t>
  </si>
  <si>
    <t>2,260 ore 09:26 24/08/2016</t>
  </si>
  <si>
    <t>2,630 ore 09:37 25/08/2016</t>
  </si>
  <si>
    <t>1,740 ore 09:39 26/08/2016</t>
  </si>
  <si>
    <t>2,290 ore 10:12 28/08/2016</t>
  </si>
  <si>
    <t>1,610 ore 09:10 29/08/2016</t>
  </si>
  <si>
    <t>1,090 ore 10:10 30/08/2016</t>
  </si>
  <si>
    <t>0,349 ore 10:34 30/08/2016</t>
  </si>
  <si>
    <t>0,699 ore 04:09 25/08/2016</t>
  </si>
  <si>
    <t>1,650 ore 07:12 25/08/2016</t>
  </si>
  <si>
    <t>1,560 ore 08:50 26/08/2016</t>
  </si>
  <si>
    <t>0,845 ore 09:29 27/08/2016</t>
  </si>
  <si>
    <t>0,612 ore 09:27 28/08/2016</t>
  </si>
  <si>
    <t>0,490 ore 10:18 29/08/2016</t>
  </si>
  <si>
    <t>0,814 ore 15:07 22/08/2016</t>
  </si>
  <si>
    <t>0,814 ore 14:44 22/08/2016</t>
  </si>
  <si>
    <t>0,967 ore 18:25 22/08/2016</t>
  </si>
  <si>
    <t>0,848 ore 18:58 23/08/2016</t>
  </si>
  <si>
    <t>0,909 ore 11:07 25/08/2016</t>
  </si>
  <si>
    <t>PIPERNO Antonio Giuseppe</t>
  </si>
  <si>
    <t>0,098 ore 22:44 23/08/2016</t>
  </si>
  <si>
    <t>0,098 ore 22:43 23/08/2016</t>
  </si>
  <si>
    <t>0,130 ore 06:54 24/08/2016</t>
  </si>
  <si>
    <t>0,131 ore 08:34 24/08/2016</t>
  </si>
  <si>
    <t>0,163 ore 09:22 25/08/2016</t>
  </si>
  <si>
    <t>0,150 ore 09:35 26/08/2016</t>
  </si>
  <si>
    <t>0,147 ore 18:55 26/08/2016</t>
  </si>
  <si>
    <t>0,178 ore 09:54 27/08/2016</t>
  </si>
  <si>
    <t>0,181 ore 09:27 28/08/2016</t>
  </si>
  <si>
    <t>0,183 ore 08:29 29/08/2016</t>
  </si>
  <si>
    <t>0,139 ore 08:56 30/08/2016</t>
  </si>
  <si>
    <t>0,094 ore 10:50 31/08/2016</t>
  </si>
  <si>
    <t>12,900 ore 20:00 23/08/2016</t>
  </si>
  <si>
    <t>6,940 ore 00:28 24/08/2016</t>
  </si>
  <si>
    <t>4,580 ore 08:56 24/08/2016</t>
  </si>
  <si>
    <t>2,930 ore 09:28 25/08/2016</t>
  </si>
  <si>
    <t>4,080 ore 09:25 26/08/2016</t>
  </si>
  <si>
    <t>3,720 ore 10:35 27/08/2016</t>
  </si>
  <si>
    <t>2,410 ore 10:12 28/08/2016</t>
  </si>
  <si>
    <t>0,674 ore 10:06 30/08/2016</t>
  </si>
  <si>
    <t>VISCOMI Vincenza</t>
  </si>
  <si>
    <t>0,189 ore 14:34 23/08/2016</t>
  </si>
  <si>
    <t>0,468 ore 19:49 23/08/2016</t>
  </si>
  <si>
    <t>0,322 ore 08:20 24/08/2016</t>
  </si>
  <si>
    <t>0,232 ore 09:37 25/08/2016</t>
  </si>
  <si>
    <t>0,240 ore 09:35 26/08/2016</t>
  </si>
  <si>
    <t>0,231 ore 10:46 27/08/2016</t>
  </si>
  <si>
    <t>0,199 ore 10:16 28/08/2016</t>
  </si>
  <si>
    <t>0,146 ore 10:09 29/08/2016</t>
  </si>
  <si>
    <t>0,11 ore 10:12 30/08/2016</t>
  </si>
  <si>
    <t>2,240 ore 22:21 25/08/2016</t>
  </si>
  <si>
    <t>6,930 ore 02:21 26/08/2016</t>
  </si>
  <si>
    <t>7,010 ore 09:35 26/08/2016</t>
  </si>
  <si>
    <t>2,490 ore 09:38 27/08/2016</t>
  </si>
  <si>
    <t>3,160 ore 09:00 28/08/2016</t>
  </si>
  <si>
    <t>3,820 ore 08:29 29/08/2016</t>
  </si>
  <si>
    <t>3,4 ore 08:49 30/08/2016</t>
  </si>
  <si>
    <t>0,345 ore18:59 25/08/2016</t>
  </si>
  <si>
    <t>1,3 ore 02:12 26/08/2016</t>
  </si>
  <si>
    <t>0,893 ore 09:18 26/08/2016</t>
  </si>
  <si>
    <t>0,759 ore 10:34 27/08/2016</t>
  </si>
  <si>
    <t>1,020 ore 10:05 28/08/2016</t>
  </si>
  <si>
    <t>0,096 ore 08:26 29/08/2016</t>
  </si>
  <si>
    <t>0,245 ore 12:42 29/08/2016</t>
  </si>
  <si>
    <t>0,636 ore 08:49 30/08/2016</t>
  </si>
  <si>
    <t>0,474 ore 10:13 31/08/2016</t>
  </si>
  <si>
    <t>0,614 ore 09:54 01/09/2016</t>
  </si>
  <si>
    <t>0,628 ore 09:43 02/09/2016</t>
  </si>
  <si>
    <t>0,390 ore 09:46 03/09/2016</t>
  </si>
  <si>
    <t>AIELLO Lucia</t>
  </si>
  <si>
    <t>07/09/2016 ore 20:00</t>
  </si>
  <si>
    <t>0,153 ore 00,23 08/09/2016</t>
  </si>
  <si>
    <t>0,155 ore 08:05 08/09/2016</t>
  </si>
  <si>
    <t>0,174 ore 10:07 08/09/2016</t>
  </si>
  <si>
    <t>0,113 ore 10:16 09/09/2016</t>
  </si>
  <si>
    <t>0,114 ore 09:50 10/09/2016</t>
  </si>
  <si>
    <t>0,142 ore 10:02 11/09/2016</t>
  </si>
  <si>
    <t>0,070 ore 10:22 12/09/2016</t>
  </si>
  <si>
    <t>RESTUCCIA Giuseppe</t>
  </si>
  <si>
    <t>10/09/2016 ore 08:00</t>
  </si>
  <si>
    <t>0,029 ore 16:43 10/09/2016</t>
  </si>
  <si>
    <t>0,031 ore 10:02 11/09/2016</t>
  </si>
  <si>
    <t>0,036 ore 10:50 12/09/2016</t>
  </si>
  <si>
    <t>IANNUZZI Luigi</t>
  </si>
  <si>
    <t>09/09/2016 ore 15:00</t>
  </si>
  <si>
    <t>1,780 ore 23_23 10/09/2016</t>
  </si>
  <si>
    <t>2,060 ore 10:02 11/09/2016</t>
  </si>
  <si>
    <t>2,170 ore 10:50 12/09/2016</t>
  </si>
  <si>
    <t>1,960 ore 18:27 12/09/2016</t>
  </si>
  <si>
    <t>1,670 ore 09:39 13/09/2016</t>
  </si>
  <si>
    <t>1,060 ore 10:32 14/09/2016</t>
  </si>
  <si>
    <t>BOZON Maddalena</t>
  </si>
  <si>
    <t>15/09/2016 ore 15:00</t>
  </si>
  <si>
    <t>0,096 ore 19:56 15/09/2016</t>
  </si>
  <si>
    <t>0,389 ore 23:47 15/09/2016</t>
  </si>
  <si>
    <t>0,796 ore 09:59 16/09/2016</t>
  </si>
  <si>
    <t>0,436 ore 10:28 17/09/2016</t>
  </si>
  <si>
    <t>0,487 ore 10:25 18/09/2016</t>
  </si>
  <si>
    <t>0,521 ore 09:34 19/09/2016</t>
  </si>
  <si>
    <t>ROSTITOLLA Pietro</t>
  </si>
  <si>
    <t>15/09/2016 ore 16:00</t>
  </si>
  <si>
    <t>29/08/2016 ore 03:15</t>
  </si>
  <si>
    <t>18,240 ore 23:22 15/09/2016</t>
  </si>
  <si>
    <t>11,910 ore 07:45 16/09/2016</t>
  </si>
  <si>
    <t>8,330 ore 17:32 16/09/2016</t>
  </si>
  <si>
    <t>6,010 ore 11:1717/09/2016</t>
  </si>
  <si>
    <t>5,640 ore 10:25 18/09/2016</t>
  </si>
  <si>
    <t>5,680 ore 09:34 19/09/2016</t>
  </si>
  <si>
    <t>5,450 ore 10:56 20/09/2016</t>
  </si>
  <si>
    <t>2,070  ore 10:37 22/09/2016</t>
  </si>
  <si>
    <t>LOCCISANO Francesco</t>
  </si>
  <si>
    <t>3,870 ore15:48 16/09/2016</t>
  </si>
  <si>
    <t>2,9 ore 21:13 16/09/2016</t>
  </si>
  <si>
    <t>3,870 ore 15:46 16/09/2016</t>
  </si>
  <si>
    <t>3,1 ore 10:28 17/09/2016</t>
  </si>
  <si>
    <t>2,380 ore 10:25 18/09/2016</t>
  </si>
  <si>
    <t>2,640 ore 09:04 19/09/2016</t>
  </si>
  <si>
    <t>2,490 ore 10:22 20/09/2016</t>
  </si>
  <si>
    <t>0,010 ore 10:44 21/09/2016</t>
  </si>
  <si>
    <t>2,030 ore 10:44 21/09/2016</t>
  </si>
  <si>
    <t>SORIANO Giuseppe</t>
  </si>
  <si>
    <t>25/09/2016 ore 06:00</t>
  </si>
  <si>
    <t>2,830 ore 19:33 25/09/2016</t>
  </si>
  <si>
    <t>4,100 ore 00:33 26/06/2016</t>
  </si>
  <si>
    <t>2,440 ore 09:43 26/09/2016</t>
  </si>
  <si>
    <t>1,680 ore 20:30 26/09/2016</t>
  </si>
  <si>
    <t>2,160 ore 09:18 27/09/2016</t>
  </si>
  <si>
    <t>2,870 ore 09:19 28/09/2016</t>
  </si>
  <si>
    <t>2,090 ore 10:53 29/09/2016</t>
  </si>
  <si>
    <t>0,992 ore 09:57 30/09/2016</t>
  </si>
  <si>
    <t xml:space="preserve">0,451 ore 10:07 01/10/2016 </t>
  </si>
  <si>
    <t>0,205 ore 09:38 02/10/2016</t>
  </si>
  <si>
    <t>24/09/2016 ore 18:00</t>
  </si>
  <si>
    <t>COLOSIMO Domenico</t>
  </si>
  <si>
    <t>1,440 ore 11:56 25/09/2016</t>
  </si>
  <si>
    <t>2,010 ore 00:33 26/09/2016</t>
  </si>
  <si>
    <t>1,7 ore 08:47 26/09/2016</t>
  </si>
  <si>
    <t>1,890 ore 09:18 27/09/2016</t>
  </si>
  <si>
    <t>1,720 ore 18:15 27/09/2016</t>
  </si>
  <si>
    <t>1,690 ore 09:33 28/09/2016</t>
  </si>
  <si>
    <t>0,731 ore 10:15 30/09/2016</t>
  </si>
  <si>
    <t>LOCHIATTO Francesco</t>
  </si>
  <si>
    <t>26/09/2016 ore 01:00</t>
  </si>
  <si>
    <t>3,940 ore 12:40 26/09/2016</t>
  </si>
  <si>
    <t>&gt;10 ore 13:09 26/09/2016</t>
  </si>
  <si>
    <t>&gt;300</t>
  </si>
  <si>
    <t>10,680 ore 20:21 2/09/2016</t>
  </si>
  <si>
    <t>7,180 ore 09:31 27/09/2016</t>
  </si>
  <si>
    <t>4,980 ore 09:33 28/09/2016</t>
  </si>
  <si>
    <t>5,100 ore 10:11 29/09/2016</t>
  </si>
  <si>
    <t>4,450 ore 09:57 30/09/2016</t>
  </si>
  <si>
    <t>3,220 ore 08:46 01/10/2016</t>
  </si>
  <si>
    <t xml:space="preserve">1,250 ore 11:17 03/10/2016 </t>
  </si>
  <si>
    <t>0,744 ore 09:50 04/10/2016</t>
  </si>
  <si>
    <t>SALFO Pasqule</t>
  </si>
  <si>
    <t>7,010 ore 26/09/2016 26/09/2016</t>
  </si>
  <si>
    <t>5,270 ore 21:25 26/09/2016</t>
  </si>
  <si>
    <t>4,950 ore 09:36 27/09/2016</t>
  </si>
  <si>
    <t>3,430 ore 09:33 28/09/2016</t>
  </si>
  <si>
    <t>4,010 ore 10:53 29/09/2016</t>
  </si>
  <si>
    <t>4,7 ore 10:00 30/09/2016</t>
  </si>
  <si>
    <t>3,720 ore 08:40 01/10/2016</t>
  </si>
  <si>
    <t>3,060 ore 09:31 02/10/2016</t>
  </si>
  <si>
    <t>CORDARO franco</t>
  </si>
  <si>
    <t>27/09/2016 ore 01:00</t>
  </si>
  <si>
    <t>11,240 ore18:58 27/09/2016</t>
  </si>
  <si>
    <t>7,790 ore 21:46 27/09/2016</t>
  </si>
  <si>
    <t>5,030 ore 09:42 28/09/2016</t>
  </si>
  <si>
    <t>2,840 ore 10:53 29/09/2016</t>
  </si>
  <si>
    <t>3,690 ore 09:57 30/09/2016</t>
  </si>
  <si>
    <t>4,560 ore 08:51 01/10/2016</t>
  </si>
  <si>
    <t>3,980 ore 09:31 02/10/2016</t>
  </si>
  <si>
    <t>2,270 ore 10:19 03/10/2016</t>
  </si>
  <si>
    <t>1,650 ore 09:03 04/10/2016</t>
  </si>
  <si>
    <t>1,500 ore 23:28 04/10/2016</t>
  </si>
  <si>
    <t>1,300 ore 09:21 05/10/2016</t>
  </si>
  <si>
    <t>1,160 ore 18:09 05/10/2016</t>
  </si>
  <si>
    <t>0,711 ore 09:26 07/10/2016</t>
  </si>
  <si>
    <t>0,540 ore 09:32 08/10/2016</t>
  </si>
  <si>
    <t>RANIERI Antonio</t>
  </si>
  <si>
    <t>04/10/2016 ore 16:30</t>
  </si>
  <si>
    <t>05/10/2016 ore 15:15</t>
  </si>
  <si>
    <t>PONTIERI Alberto</t>
  </si>
  <si>
    <t>CARLOMAGNO Giovanni</t>
  </si>
  <si>
    <t>27/09/2016 ore 16:30</t>
  </si>
  <si>
    <t>GIORGI Giovanni</t>
  </si>
  <si>
    <t>06/10/2016 ore 10:30</t>
  </si>
  <si>
    <t>15,650 ore 01:12 06/10/2016</t>
  </si>
  <si>
    <t>28,390 ore 21:20 05/10/2016</t>
  </si>
  <si>
    <t>9,970 ore 09:26 06/10/2016</t>
  </si>
  <si>
    <t>2,660 ore 09:32 08/10/2016</t>
  </si>
  <si>
    <t>2,270 ore 09:14 09/10/2016</t>
  </si>
  <si>
    <t>1,760 ore 09:25 10/10/2016</t>
  </si>
  <si>
    <t>1,460 ore 10:25 11/10/2016</t>
  </si>
  <si>
    <t>TAMBORRINO Nerina</t>
  </si>
  <si>
    <t>09/10/2016 ore 00:00</t>
  </si>
  <si>
    <t>5,740 ore 14:58 10/10/2016</t>
  </si>
  <si>
    <t>8,740 ore 20:00 10/10/2016</t>
  </si>
  <si>
    <t>3,300 ore 11:51 11/10/2016</t>
  </si>
  <si>
    <t>3,260 ore 09:41 12/10/2016</t>
  </si>
  <si>
    <t>3,360 ore 09:09 13/10/2016</t>
  </si>
  <si>
    <t>3,010 ore 10:25 14/10/2016</t>
  </si>
  <si>
    <t>2,570 ore 19:03 14/10/2016</t>
  </si>
  <si>
    <t>1,290 ore 11:12 15/10/2016</t>
  </si>
  <si>
    <t>0,579 ore 11:15 16/10/2016</t>
  </si>
  <si>
    <t>0,305 ore 10:45 17/10/2016</t>
  </si>
  <si>
    <t>Tempo 1° Acquisizione</t>
  </si>
  <si>
    <t>Tempo 2° Acquisizione</t>
  </si>
  <si>
    <t>1° Intervallo temporale</t>
  </si>
  <si>
    <t>2° Intervallo temporale</t>
  </si>
  <si>
    <t>Tempo 3° Acquisizione</t>
  </si>
  <si>
    <t>3° Intervallo temporale</t>
  </si>
  <si>
    <t>Tempo 4° Acquisizione</t>
  </si>
  <si>
    <t>4° Intervallo temporale</t>
  </si>
  <si>
    <t>Tempo 5° Acquisizione</t>
  </si>
  <si>
    <t>5° Intervallo temporale</t>
  </si>
  <si>
    <t>Tempo 6° Acquisizione</t>
  </si>
  <si>
    <t>Tempo 7° Acquisizione</t>
  </si>
  <si>
    <t>6° Intervallo temporale</t>
  </si>
  <si>
    <t>7° Intervallo temporale</t>
  </si>
  <si>
    <t>Tempo 8° Acquisizione</t>
  </si>
  <si>
    <t>8° Intervallo temporale</t>
  </si>
  <si>
    <t>Tempo 9° Acquisizione</t>
  </si>
  <si>
    <t>9° Intervallo temporale</t>
  </si>
  <si>
    <t>Tempo 10° Acquisizione</t>
  </si>
  <si>
    <t>Tempo 11° Acquisizione</t>
  </si>
  <si>
    <t>10° Intervallo temporale</t>
  </si>
  <si>
    <t>11° Intervallo temporale</t>
  </si>
  <si>
    <t>TnThs MIRE 12</t>
  </si>
  <si>
    <t>CK-MB 12</t>
  </si>
  <si>
    <t>TnThs MIRE 13</t>
  </si>
  <si>
    <t>CK-MB 13</t>
  </si>
  <si>
    <t>TnThs MIRE 14</t>
  </si>
  <si>
    <t>CK-MB 14</t>
  </si>
  <si>
    <t>Tempo 12° Acquisizione</t>
  </si>
  <si>
    <t>12° Intervallo temporale</t>
  </si>
  <si>
    <t>Tempo 13° Acquisizione</t>
  </si>
  <si>
    <t>13° Intervallo temporale</t>
  </si>
  <si>
    <t>Tempo 14° Acquisizione</t>
  </si>
  <si>
    <t>14° Intervallo temporale</t>
  </si>
  <si>
    <t>PAZIENTE</t>
  </si>
  <si>
    <t>INTERVALLO TEMPORALE TRA UN'ACQUISIZIONE E L'EVENTO</t>
  </si>
  <si>
    <t>pat.1</t>
  </si>
  <si>
    <t>pat.2</t>
  </si>
  <si>
    <t>pat.3</t>
  </si>
  <si>
    <t>pat.4</t>
  </si>
  <si>
    <t>pat.5</t>
  </si>
  <si>
    <t>pat.6</t>
  </si>
  <si>
    <t>pat.7</t>
  </si>
  <si>
    <t>pat.8</t>
  </si>
  <si>
    <t>pat.9</t>
  </si>
  <si>
    <t>pat.10</t>
  </si>
  <si>
    <t>pat.11</t>
  </si>
  <si>
    <t>pat.12</t>
  </si>
  <si>
    <t>pat.13</t>
  </si>
  <si>
    <t>pat.14</t>
  </si>
  <si>
    <t>pat.15</t>
  </si>
  <si>
    <t>pat.16</t>
  </si>
  <si>
    <t>pat.17</t>
  </si>
  <si>
    <t>pat.18</t>
  </si>
  <si>
    <t>pat.19</t>
  </si>
  <si>
    <t>pat.20</t>
  </si>
  <si>
    <t>LIVELLI DI TROPONINA CARDIACA T MISURATI</t>
  </si>
  <si>
    <t>PAZIENTI CON DATE DI ACQUISIZIONE ERRATE</t>
  </si>
  <si>
    <t>ACQUISIZIONI EFFETTUATE IN TEMPI BREVISSIMI</t>
  </si>
  <si>
    <t>PAZIENTI CON DATE DI ACQUISIZIONE CORRETTE</t>
  </si>
  <si>
    <t xml:space="preserve">PAZIENTE </t>
  </si>
  <si>
    <t>TEMPO</t>
  </si>
  <si>
    <t>ACQUISIZIONE</t>
  </si>
  <si>
    <t>Pat.1</t>
  </si>
  <si>
    <t>Pat.2</t>
  </si>
  <si>
    <t>Pat.3</t>
  </si>
  <si>
    <t>Pat.4</t>
  </si>
  <si>
    <t>Pat.5</t>
  </si>
  <si>
    <t>Pat.6</t>
  </si>
  <si>
    <t>Pat.7</t>
  </si>
  <si>
    <t>Pat.8</t>
  </si>
  <si>
    <t>Pat.9</t>
  </si>
  <si>
    <t>Pat.10</t>
  </si>
  <si>
    <t>Pat.11</t>
  </si>
  <si>
    <t>Pat.12</t>
  </si>
  <si>
    <t>Pat.13</t>
  </si>
  <si>
    <t>Pat.14</t>
  </si>
  <si>
    <t>Pat.15</t>
  </si>
  <si>
    <t>Pat.16</t>
  </si>
  <si>
    <t>Pat.17</t>
  </si>
  <si>
    <t>Pat.18</t>
  </si>
  <si>
    <t>Pat.19</t>
  </si>
  <si>
    <t>Pat.20</t>
  </si>
  <si>
    <t>PAZIENTI CON DATE DI ACQUISIZIONE CORRETTE (in decimali)</t>
  </si>
  <si>
    <t>Paziente</t>
  </si>
  <si>
    <t>CK-MB1</t>
  </si>
  <si>
    <t>CK-MB2</t>
  </si>
  <si>
    <t>CK-MB3</t>
  </si>
  <si>
    <t>CK-MB4</t>
  </si>
  <si>
    <t>CK-MB5</t>
  </si>
  <si>
    <t>CK-MB6</t>
  </si>
  <si>
    <t>CK-MB7</t>
  </si>
  <si>
    <t>CK-MB8</t>
  </si>
  <si>
    <t>CK-MB9</t>
  </si>
  <si>
    <t>CK-MB10</t>
  </si>
  <si>
    <t>CK-MB11</t>
  </si>
  <si>
    <t>CK-MB12</t>
  </si>
  <si>
    <t>CK-MB13</t>
  </si>
  <si>
    <t>CK-MB14</t>
  </si>
  <si>
    <t>300: Il valore originale è &gt;300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</si>
</sst>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[h]:mm:ss;@"/>
  </numFmts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indexed="8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 (Corpo)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0" fontId="5" fillId="2" borderId="0" xfId="1" applyFont="1" applyFill="1"/>
    <xf numFmtId="0" fontId="2" fillId="2" borderId="0" xfId="1" applyFill="1"/>
    <xf numFmtId="0" fontId="0" fillId="2" borderId="0" xfId="0" applyFill="1"/>
    <xf numFmtId="0" fontId="6" fillId="2" borderId="0" xfId="1" applyFont="1" applyFill="1"/>
    <xf numFmtId="14" fontId="2" fillId="2" borderId="0" xfId="1" applyNumberFormat="1" applyFill="1"/>
    <xf numFmtId="0" fontId="0" fillId="3" borderId="0" xfId="0" applyFill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64" fontId="0" fillId="0" borderId="0" xfId="0" applyNumberFormat="1"/>
    <xf numFmtId="14" fontId="1" fillId="2" borderId="0" xfId="1" applyNumberFormat="1" applyFont="1" applyFill="1"/>
    <xf numFmtId="0" fontId="9" fillId="0" borderId="0" xfId="0" applyFont="1"/>
    <xf numFmtId="164" fontId="9" fillId="0" borderId="0" xfId="0" applyNumberFormat="1" applyFont="1"/>
    <xf numFmtId="0" fontId="1" fillId="2" borderId="0" xfId="1" applyFont="1" applyFill="1"/>
    <xf numFmtId="165" fontId="0" fillId="0" borderId="0" xfId="0" applyNumberFormat="1"/>
    <xf numFmtId="165" fontId="9" fillId="0" borderId="0" xfId="0" applyNumberFormat="1" applyFont="1"/>
    <xf numFmtId="0" fontId="9" fillId="4" borderId="0" xfId="0" applyFont="1" applyFill="1"/>
    <xf numFmtId="165" fontId="0" fillId="4" borderId="0" xfId="0" applyNumberFormat="1" applyFill="1"/>
    <xf numFmtId="0" fontId="0" fillId="6" borderId="0" xfId="0" applyFill="1"/>
    <xf numFmtId="0" fontId="0" fillId="5" borderId="0" xfId="0" applyFill="1"/>
    <xf numFmtId="164" fontId="0" fillId="4" borderId="0" xfId="0" applyNumberFormat="1" applyFill="1"/>
    <xf numFmtId="0" fontId="0" fillId="4" borderId="0" xfId="0" applyFill="1"/>
    <xf numFmtId="22" fontId="0" fillId="4" borderId="0" xfId="0" applyNumberForma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7" borderId="0" xfId="0" applyFill="1"/>
    <xf numFmtId="165" fontId="0" fillId="7" borderId="0" xfId="0" applyNumberFormat="1" applyFill="1"/>
    <xf numFmtId="0" fontId="0" fillId="8" borderId="0" xfId="0" applyFill="1"/>
    <xf numFmtId="165" fontId="0" fillId="6" borderId="0" xfId="0" applyNumberFormat="1" applyFill="1"/>
    <xf numFmtId="0" fontId="0" fillId="5" borderId="0" xfId="0" applyFill="1" applyAlignment="1">
      <alignment horizontal="center"/>
    </xf>
  </cellXfs>
  <cellStyles count="1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  <cellStyle name="Normale 2" xfId="1" xr:uid="{00000000-0005-0000-0000-00000F000000}"/>
  </cellStyles>
  <dxfs count="0"/>
  <tableStyles count="0" defaultTableStyle="TableStyleMedium9" defaultPivotStyle="PivotStyleLight16"/>
  <colors>
    <mruColors>
      <color rgb="FFFBF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STEMI_TEMPO_ACQUISIZIONE!$R$5:$U$5</c:f>
              <c:numCache>
                <c:formatCode>General</c:formatCode>
                <c:ptCount val="4"/>
                <c:pt idx="0">
                  <c:v>0.81399999999999995</c:v>
                </c:pt>
                <c:pt idx="1">
                  <c:v>0.96699999999999997</c:v>
                </c:pt>
                <c:pt idx="2">
                  <c:v>0.84799999999999998</c:v>
                </c:pt>
                <c:pt idx="3">
                  <c:v>0.90900000000000003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5-4DA5-825E-B46CFB10D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72778816"/>
        <c:axId val="-2072008128"/>
      </c:lineChart>
      <c:catAx>
        <c:axId val="-2072778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72008128"/>
        <c:crosses val="autoZero"/>
        <c:auto val="1"/>
        <c:lblAlgn val="ctr"/>
        <c:lblOffset val="100"/>
        <c:noMultiLvlLbl val="0"/>
      </c:catAx>
      <c:valAx>
        <c:axId val="-207200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7277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STEMI_TEMPO_ACQUISIZIONE!$R$6:$AB$6</c:f>
              <c:numCache>
                <c:formatCode>General</c:formatCode>
                <c:ptCount val="11"/>
                <c:pt idx="0">
                  <c:v>9.8000000000000004E-2</c:v>
                </c:pt>
                <c:pt idx="1">
                  <c:v>0.13</c:v>
                </c:pt>
                <c:pt idx="2">
                  <c:v>0.13100000000000001</c:v>
                </c:pt>
                <c:pt idx="3">
                  <c:v>0.16300000000000001</c:v>
                </c:pt>
                <c:pt idx="4">
                  <c:v>0.15</c:v>
                </c:pt>
                <c:pt idx="5">
                  <c:v>0.14699999999999999</c:v>
                </c:pt>
                <c:pt idx="6">
                  <c:v>0.17799999999999999</c:v>
                </c:pt>
                <c:pt idx="7">
                  <c:v>0.18099999999999999</c:v>
                </c:pt>
                <c:pt idx="8">
                  <c:v>0.183</c:v>
                </c:pt>
                <c:pt idx="9">
                  <c:v>0.13900000000000001</c:v>
                </c:pt>
                <c:pt idx="10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C-46F5-A0B8-4EEF83C18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68725840"/>
        <c:axId val="-2068179504"/>
      </c:lineChart>
      <c:catAx>
        <c:axId val="-2068725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68179504"/>
        <c:crosses val="autoZero"/>
        <c:auto val="1"/>
        <c:lblAlgn val="ctr"/>
        <c:lblOffset val="100"/>
        <c:noMultiLvlLbl val="0"/>
      </c:catAx>
      <c:valAx>
        <c:axId val="-206817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6872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STEMI_ANALIZZATI!$B$1</c:f>
              <c:strCache>
                <c:ptCount val="1"/>
                <c:pt idx="0">
                  <c:v>Pat.1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STEMI_ANALIZZATI!$B$2:$E$2</c:f>
              <c:numCache>
                <c:formatCode>[h]:mm:ss;@</c:formatCode>
                <c:ptCount val="4"/>
                <c:pt idx="0">
                  <c:v>2.7548611111124046</c:v>
                </c:pt>
                <c:pt idx="1">
                  <c:v>2.8923611111094942</c:v>
                </c:pt>
                <c:pt idx="2">
                  <c:v>3.9152777777781012</c:v>
                </c:pt>
                <c:pt idx="3">
                  <c:v>5.5881944444408873</c:v>
                </c:pt>
              </c:numCache>
            </c:numRef>
          </c:cat>
          <c:val>
            <c:numRef>
              <c:f>STEMI_ANALIZZATI!$B$3:$E$3</c:f>
              <c:numCache>
                <c:formatCode>General</c:formatCode>
                <c:ptCount val="4"/>
                <c:pt idx="0">
                  <c:v>0.81399999999999995</c:v>
                </c:pt>
                <c:pt idx="1">
                  <c:v>0.96699999999999997</c:v>
                </c:pt>
                <c:pt idx="2">
                  <c:v>0.84799999999999998</c:v>
                </c:pt>
                <c:pt idx="3">
                  <c:v>0.90900000000000003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4-4A41-A177-CB667A900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943232"/>
        <c:axId val="2110937312"/>
      </c:lineChart>
      <c:catAx>
        <c:axId val="211094323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0937312"/>
        <c:crosses val="autoZero"/>
        <c:auto val="1"/>
        <c:lblAlgn val="ctr"/>
        <c:lblOffset val="100"/>
        <c:noMultiLvlLbl val="0"/>
      </c:catAx>
      <c:valAx>
        <c:axId val="211093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109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STEMI_ANALIZZATI!$B$19</c:f>
              <c:strCache>
                <c:ptCount val="1"/>
                <c:pt idx="0">
                  <c:v>Pat.2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STEMI_ANALIZZATI!$B$20:$L$20</c:f>
              <c:numCache>
                <c:formatCode>[h]:mm:ss;@</c:formatCode>
                <c:ptCount val="11"/>
                <c:pt idx="0">
                  <c:v>0.19722222222480923</c:v>
                </c:pt>
                <c:pt idx="1">
                  <c:v>0.53749999999854481</c:v>
                </c:pt>
                <c:pt idx="2">
                  <c:v>0.60694444444379769</c:v>
                </c:pt>
                <c:pt idx="3">
                  <c:v>1.640277777776646</c:v>
                </c:pt>
                <c:pt idx="4">
                  <c:v>2.6493055555547471</c:v>
                </c:pt>
                <c:pt idx="5">
                  <c:v>3.0381944444452529</c:v>
                </c:pt>
                <c:pt idx="6">
                  <c:v>3.6624999999985448</c:v>
                </c:pt>
                <c:pt idx="7">
                  <c:v>4.6437500000029104</c:v>
                </c:pt>
                <c:pt idx="8">
                  <c:v>5.6034722222248092</c:v>
                </c:pt>
                <c:pt idx="9">
                  <c:v>6.6222222222204437</c:v>
                </c:pt>
                <c:pt idx="10">
                  <c:v>7.7013888888905058</c:v>
                </c:pt>
              </c:numCache>
            </c:numRef>
          </c:cat>
          <c:val>
            <c:numRef>
              <c:f>STEMI_ANALIZZATI!$B$21:$L$21</c:f>
              <c:numCache>
                <c:formatCode>General</c:formatCode>
                <c:ptCount val="11"/>
                <c:pt idx="0">
                  <c:v>9.8000000000000004E-2</c:v>
                </c:pt>
                <c:pt idx="1">
                  <c:v>0.13</c:v>
                </c:pt>
                <c:pt idx="2">
                  <c:v>0.13100000000000001</c:v>
                </c:pt>
                <c:pt idx="3">
                  <c:v>0.16300000000000001</c:v>
                </c:pt>
                <c:pt idx="4">
                  <c:v>0.15</c:v>
                </c:pt>
                <c:pt idx="5">
                  <c:v>0.14699999999999999</c:v>
                </c:pt>
                <c:pt idx="6">
                  <c:v>0.17799999999999999</c:v>
                </c:pt>
                <c:pt idx="7">
                  <c:v>0.18099999999999999</c:v>
                </c:pt>
                <c:pt idx="8">
                  <c:v>0.183</c:v>
                </c:pt>
                <c:pt idx="9">
                  <c:v>0.13900000000000001</c:v>
                </c:pt>
                <c:pt idx="10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8-44C2-9218-3F8B940B7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307056"/>
        <c:axId val="2147310272"/>
      </c:lineChart>
      <c:catAx>
        <c:axId val="214730705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310272"/>
        <c:crosses val="autoZero"/>
        <c:auto val="1"/>
        <c:lblAlgn val="ctr"/>
        <c:lblOffset val="100"/>
        <c:noMultiLvlLbl val="0"/>
      </c:catAx>
      <c:valAx>
        <c:axId val="21473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30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STEMI_ANALIZZATI!$B$37</c:f>
              <c:strCache>
                <c:ptCount val="1"/>
                <c:pt idx="0">
                  <c:v>Pat.3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STEMI_ANALIZZATI!$B$38:$I$38</c:f>
              <c:numCache>
                <c:formatCode>[h]:mm:ss;@</c:formatCode>
                <c:ptCount val="8"/>
                <c:pt idx="0">
                  <c:v>0.25</c:v>
                </c:pt>
                <c:pt idx="1">
                  <c:v>0.43611111110658385</c:v>
                </c:pt>
                <c:pt idx="2">
                  <c:v>0.788888888884685</c:v>
                </c:pt>
                <c:pt idx="3">
                  <c:v>1.8111111111065838</c:v>
                </c:pt>
                <c:pt idx="4">
                  <c:v>2.8090277777737356</c:v>
                </c:pt>
                <c:pt idx="5">
                  <c:v>3.8576388888832298</c:v>
                </c:pt>
                <c:pt idx="6">
                  <c:v>4.8416666666671517</c:v>
                </c:pt>
                <c:pt idx="7">
                  <c:v>6.8374999999941792</c:v>
                </c:pt>
              </c:numCache>
            </c:numRef>
          </c:cat>
          <c:val>
            <c:numRef>
              <c:f>STEMI_ANALIZZATI!$B$39:$I$39</c:f>
              <c:numCache>
                <c:formatCode>General</c:formatCode>
                <c:ptCount val="8"/>
                <c:pt idx="0">
                  <c:v>12.9</c:v>
                </c:pt>
                <c:pt idx="1">
                  <c:v>6.94</c:v>
                </c:pt>
                <c:pt idx="2">
                  <c:v>4.58</c:v>
                </c:pt>
                <c:pt idx="3">
                  <c:v>2.93</c:v>
                </c:pt>
                <c:pt idx="4">
                  <c:v>4.08</c:v>
                </c:pt>
                <c:pt idx="5">
                  <c:v>3.72</c:v>
                </c:pt>
                <c:pt idx="6">
                  <c:v>2.41</c:v>
                </c:pt>
                <c:pt idx="7">
                  <c:v>0.67400000000000004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0-4E3C-9EE4-0685D208B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346256"/>
        <c:axId val="2147349472"/>
      </c:lineChart>
      <c:catAx>
        <c:axId val="214734625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349472"/>
        <c:crosses val="autoZero"/>
        <c:auto val="1"/>
        <c:lblAlgn val="ctr"/>
        <c:lblOffset val="100"/>
        <c:noMultiLvlLbl val="0"/>
      </c:catAx>
      <c:valAx>
        <c:axId val="214734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34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STEMI_ANALIZZATI!$B$55</c:f>
              <c:strCache>
                <c:ptCount val="1"/>
                <c:pt idx="0">
                  <c:v>Pat.4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STEMI_ANALIZZATI!$B$56:$J$56</c:f>
              <c:numCache>
                <c:formatCode>[h]:mm:ss;@</c:formatCode>
                <c:ptCount val="9"/>
                <c:pt idx="0">
                  <c:v>0.21111111110803904</c:v>
                </c:pt>
                <c:pt idx="1">
                  <c:v>0.42986111110803904</c:v>
                </c:pt>
                <c:pt idx="2">
                  <c:v>0.95138888888322981</c:v>
                </c:pt>
                <c:pt idx="3">
                  <c:v>2.0048611111051287</c:v>
                </c:pt>
                <c:pt idx="4">
                  <c:v>3.0034722222189885</c:v>
                </c:pt>
                <c:pt idx="5">
                  <c:v>4.0527777777751908</c:v>
                </c:pt>
                <c:pt idx="6">
                  <c:v>5.0319444444394321</c:v>
                </c:pt>
                <c:pt idx="7">
                  <c:v>6.0270833333343035</c:v>
                </c:pt>
                <c:pt idx="8">
                  <c:v>7.0291666666671517</c:v>
                </c:pt>
              </c:numCache>
            </c:numRef>
          </c:cat>
          <c:val>
            <c:numRef>
              <c:f>STEMI_ANALIZZATI!$B$57:$J$57</c:f>
              <c:numCache>
                <c:formatCode>General</c:formatCode>
                <c:ptCount val="9"/>
                <c:pt idx="0">
                  <c:v>0.189</c:v>
                </c:pt>
                <c:pt idx="1">
                  <c:v>0.46800000000000003</c:v>
                </c:pt>
                <c:pt idx="2">
                  <c:v>0.32200000000000001</c:v>
                </c:pt>
                <c:pt idx="3">
                  <c:v>0.23200000000000001</c:v>
                </c:pt>
                <c:pt idx="4">
                  <c:v>0.24</c:v>
                </c:pt>
                <c:pt idx="5">
                  <c:v>0.23100000000000001</c:v>
                </c:pt>
                <c:pt idx="6">
                  <c:v>0.19900000000000001</c:v>
                </c:pt>
                <c:pt idx="7">
                  <c:v>0.14599999999999999</c:v>
                </c:pt>
                <c:pt idx="8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2A-46C7-96A7-3FB3BE6C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378592"/>
        <c:axId val="2147381808"/>
      </c:lineChart>
      <c:catAx>
        <c:axId val="214737859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381808"/>
        <c:crosses val="autoZero"/>
        <c:auto val="1"/>
        <c:lblAlgn val="ctr"/>
        <c:lblOffset val="100"/>
        <c:noMultiLvlLbl val="0"/>
      </c:catAx>
      <c:valAx>
        <c:axId val="21473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37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STEMI_ANALIZZATI!$B$73</c:f>
              <c:strCache>
                <c:ptCount val="1"/>
                <c:pt idx="0">
                  <c:v>Pat.5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STEMI_ANALIZZATI!$B$74:$H$74</c:f>
              <c:numCache>
                <c:formatCode>[h]:mm:ss;@</c:formatCode>
                <c:ptCount val="7"/>
                <c:pt idx="0">
                  <c:v>3.5416666665696539E-2</c:v>
                </c:pt>
                <c:pt idx="1">
                  <c:v>0.16041666666569654</c:v>
                </c:pt>
                <c:pt idx="2">
                  <c:v>0.46180555555474712</c:v>
                </c:pt>
                <c:pt idx="3">
                  <c:v>1.4638888888875954</c:v>
                </c:pt>
                <c:pt idx="4">
                  <c:v>2.4375</c:v>
                </c:pt>
                <c:pt idx="5">
                  <c:v>3.4159722222248092</c:v>
                </c:pt>
                <c:pt idx="6">
                  <c:v>4.429861111108039</c:v>
                </c:pt>
              </c:numCache>
            </c:numRef>
          </c:cat>
          <c:val>
            <c:numRef>
              <c:f>STEMI_ANALIZZATI!$B$75:$H$75</c:f>
              <c:numCache>
                <c:formatCode>General</c:formatCode>
                <c:ptCount val="7"/>
                <c:pt idx="0">
                  <c:v>2.2400000000000002</c:v>
                </c:pt>
                <c:pt idx="1">
                  <c:v>6.93</c:v>
                </c:pt>
                <c:pt idx="2">
                  <c:v>7.01</c:v>
                </c:pt>
                <c:pt idx="3">
                  <c:v>2.4900000000000002</c:v>
                </c:pt>
                <c:pt idx="4">
                  <c:v>3.16</c:v>
                </c:pt>
                <c:pt idx="5">
                  <c:v>3.82</c:v>
                </c:pt>
                <c:pt idx="6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5-4DC5-A71F-7B4DB8A1E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411872"/>
        <c:axId val="2147415088"/>
      </c:lineChart>
      <c:catAx>
        <c:axId val="214741187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415088"/>
        <c:crosses val="autoZero"/>
        <c:auto val="1"/>
        <c:lblAlgn val="ctr"/>
        <c:lblOffset val="100"/>
        <c:noMultiLvlLbl val="0"/>
      </c:catAx>
      <c:valAx>
        <c:axId val="21474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41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STEMI_ANALIZZATI!$B$91</c:f>
              <c:strCache>
                <c:ptCount val="1"/>
                <c:pt idx="0">
                  <c:v>Pat.6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STEMI_ANALIZZATI!$B$92:$H$92</c:f>
              <c:numCache>
                <c:formatCode>[h]:mm:ss;@</c:formatCode>
                <c:ptCount val="7"/>
                <c:pt idx="0">
                  <c:v>0.21458333333430346</c:v>
                </c:pt>
                <c:pt idx="1">
                  <c:v>0.51527777777664596</c:v>
                </c:pt>
                <c:pt idx="2">
                  <c:v>0.81111111110658385</c:v>
                </c:pt>
                <c:pt idx="3">
                  <c:v>1.8638888888890506</c:v>
                </c:pt>
                <c:pt idx="4">
                  <c:v>2.84375</c:v>
                </c:pt>
              </c:numCache>
            </c:numRef>
          </c:cat>
          <c:val>
            <c:numRef>
              <c:f>STEMI_ANALIZZATI!$B$93:$H$93</c:f>
              <c:numCache>
                <c:formatCode>General</c:formatCode>
                <c:ptCount val="7"/>
                <c:pt idx="0">
                  <c:v>0.34499999999999997</c:v>
                </c:pt>
                <c:pt idx="1">
                  <c:v>1.3</c:v>
                </c:pt>
                <c:pt idx="2">
                  <c:v>0.89300000000000002</c:v>
                </c:pt>
                <c:pt idx="3">
                  <c:v>0.75900000000000001</c:v>
                </c:pt>
                <c:pt idx="4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3-4259-97EE-E1D093E41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443312"/>
        <c:axId val="2147446528"/>
      </c:lineChart>
      <c:catAx>
        <c:axId val="2147443312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446528"/>
        <c:crosses val="autoZero"/>
        <c:auto val="1"/>
        <c:lblAlgn val="ctr"/>
        <c:lblOffset val="100"/>
        <c:noMultiLvlLbl val="0"/>
      </c:catAx>
      <c:valAx>
        <c:axId val="214744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744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STEMI_ANALIZZATI!$B$109</c:f>
              <c:strCache>
                <c:ptCount val="1"/>
                <c:pt idx="0">
                  <c:v>Pat.7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STEMI_ANALIZZATI!$B$110:$H$110</c:f>
              <c:numCache>
                <c:formatCode>[h]:mm:ss;@</c:formatCode>
                <c:ptCount val="7"/>
                <c:pt idx="0">
                  <c:v>0.21597222222771961</c:v>
                </c:pt>
                <c:pt idx="1">
                  <c:v>0.39375000000291038</c:v>
                </c:pt>
                <c:pt idx="2">
                  <c:v>1.2319444444437977</c:v>
                </c:pt>
                <c:pt idx="3">
                  <c:v>2.2902777777781012</c:v>
                </c:pt>
                <c:pt idx="4">
                  <c:v>3.2770833333343035</c:v>
                </c:pt>
                <c:pt idx="5">
                  <c:v>4.2694444444496185</c:v>
                </c:pt>
                <c:pt idx="6">
                  <c:v>5.2715277777824667</c:v>
                </c:pt>
              </c:numCache>
            </c:numRef>
          </c:cat>
          <c:val>
            <c:numRef>
              <c:f>STEMI_ANALIZZATI!$B$111:$H$111</c:f>
              <c:numCache>
                <c:formatCode>General</c:formatCode>
                <c:ptCount val="7"/>
                <c:pt idx="0">
                  <c:v>9.6000000000000002E-2</c:v>
                </c:pt>
                <c:pt idx="1">
                  <c:v>0.245</c:v>
                </c:pt>
                <c:pt idx="2">
                  <c:v>0.63600000000000001</c:v>
                </c:pt>
                <c:pt idx="3">
                  <c:v>0.47399999999999998</c:v>
                </c:pt>
                <c:pt idx="4">
                  <c:v>0.61399999999999999</c:v>
                </c:pt>
                <c:pt idx="5">
                  <c:v>0.628</c:v>
                </c:pt>
                <c:pt idx="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5-4817-918D-DB4FA42B8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714304"/>
        <c:axId val="2146711136"/>
      </c:lineChart>
      <c:catAx>
        <c:axId val="2146714304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711136"/>
        <c:crosses val="autoZero"/>
        <c:auto val="1"/>
        <c:lblAlgn val="ctr"/>
        <c:lblOffset val="100"/>
        <c:noMultiLvlLbl val="0"/>
      </c:catAx>
      <c:valAx>
        <c:axId val="214671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71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STEMI_ANALIZZATI!$B$127</c:f>
              <c:strCache>
                <c:ptCount val="1"/>
                <c:pt idx="0">
                  <c:v>Pat.8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STEMI_ANALIZZATI!$B$128:$H$128</c:f>
              <c:numCache>
                <c:formatCode>[h]:mm:ss;@</c:formatCode>
                <c:ptCount val="7"/>
                <c:pt idx="0">
                  <c:v>0.18263888888759539</c:v>
                </c:pt>
                <c:pt idx="1">
                  <c:v>0.50347222221898846</c:v>
                </c:pt>
                <c:pt idx="2">
                  <c:v>0.58819444444088731</c:v>
                </c:pt>
                <c:pt idx="3">
                  <c:v>1.5944444444394321</c:v>
                </c:pt>
                <c:pt idx="4">
                  <c:v>2.5763888888832298</c:v>
                </c:pt>
                <c:pt idx="5">
                  <c:v>3.5847222222218988</c:v>
                </c:pt>
                <c:pt idx="6">
                  <c:v>4.5986111111051287</c:v>
                </c:pt>
              </c:numCache>
            </c:numRef>
          </c:cat>
          <c:val>
            <c:numRef>
              <c:f>STEMI_ANALIZZATI!$B$129:$H$129</c:f>
              <c:numCache>
                <c:formatCode>General</c:formatCode>
                <c:ptCount val="7"/>
                <c:pt idx="0">
                  <c:v>0.153</c:v>
                </c:pt>
                <c:pt idx="1">
                  <c:v>0.155</c:v>
                </c:pt>
                <c:pt idx="2">
                  <c:v>0.17399999999999999</c:v>
                </c:pt>
                <c:pt idx="3">
                  <c:v>0.113</c:v>
                </c:pt>
                <c:pt idx="4">
                  <c:v>0.114</c:v>
                </c:pt>
                <c:pt idx="5">
                  <c:v>0.14199999999999999</c:v>
                </c:pt>
                <c:pt idx="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E-47FE-8E94-D48A61D34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81968"/>
        <c:axId val="2146678800"/>
      </c:lineChart>
      <c:catAx>
        <c:axId val="2146681968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678800"/>
        <c:crosses val="autoZero"/>
        <c:auto val="1"/>
        <c:lblAlgn val="ctr"/>
        <c:lblOffset val="100"/>
        <c:noMultiLvlLbl val="0"/>
      </c:catAx>
      <c:valAx>
        <c:axId val="214667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68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STEMI_ANALIZZATI!$B$147:$D$147</c:f>
              <c:numCache>
                <c:formatCode>General</c:formatCode>
                <c:ptCount val="3"/>
                <c:pt idx="0">
                  <c:v>2.9000000000000001E-2</c:v>
                </c:pt>
                <c:pt idx="1">
                  <c:v>3.1E-2</c:v>
                </c:pt>
                <c:pt idx="2">
                  <c:v>3.5999999999999997E-2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2-4F7F-ADE0-87CF28169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54960"/>
        <c:axId val="2146649552"/>
      </c:lineChart>
      <c:catAx>
        <c:axId val="2146654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649552"/>
        <c:crosses val="autoZero"/>
        <c:auto val="1"/>
        <c:lblAlgn val="ctr"/>
        <c:lblOffset val="100"/>
        <c:noMultiLvlLbl val="0"/>
      </c:catAx>
      <c:valAx>
        <c:axId val="214664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65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STEMI_ANALIZZATI!$B$163</c:f>
              <c:strCache>
                <c:ptCount val="1"/>
                <c:pt idx="0">
                  <c:v>Pat.10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STEMI_ANALIZZATI!$B$164:$G$164</c:f>
              <c:numCache>
                <c:formatCode>[h]:mm:ss;@</c:formatCode>
                <c:ptCount val="6"/>
                <c:pt idx="0">
                  <c:v>1.3493055555591127</c:v>
                </c:pt>
                <c:pt idx="1">
                  <c:v>1.7930555555576575</c:v>
                </c:pt>
                <c:pt idx="2">
                  <c:v>2.8263888888905058</c:v>
                </c:pt>
                <c:pt idx="3">
                  <c:v>3.1437500000029104</c:v>
                </c:pt>
                <c:pt idx="4">
                  <c:v>3.7770833333343035</c:v>
                </c:pt>
                <c:pt idx="5">
                  <c:v>4.8138888888861402</c:v>
                </c:pt>
              </c:numCache>
            </c:numRef>
          </c:cat>
          <c:val>
            <c:numRef>
              <c:f>STEMI_ANALIZZATI!$B$165:$G$165</c:f>
              <c:numCache>
                <c:formatCode>General</c:formatCode>
                <c:ptCount val="6"/>
                <c:pt idx="0">
                  <c:v>1.78</c:v>
                </c:pt>
                <c:pt idx="1">
                  <c:v>2.06</c:v>
                </c:pt>
                <c:pt idx="2">
                  <c:v>2.17</c:v>
                </c:pt>
                <c:pt idx="3">
                  <c:v>1.96</c:v>
                </c:pt>
                <c:pt idx="4">
                  <c:v>1.67</c:v>
                </c:pt>
                <c:pt idx="5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A-4C21-8D71-6F52B5CD4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620800"/>
        <c:axId val="2146617632"/>
      </c:lineChart>
      <c:catAx>
        <c:axId val="214662080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617632"/>
        <c:crosses val="autoZero"/>
        <c:auto val="1"/>
        <c:lblAlgn val="ctr"/>
        <c:lblOffset val="100"/>
        <c:noMultiLvlLbl val="0"/>
      </c:catAx>
      <c:valAx>
        <c:axId val="21466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62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STEMI_ANALIZZATI!$I$1</c:f>
              <c:strCache>
                <c:ptCount val="1"/>
                <c:pt idx="0">
                  <c:v>Pat.11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STEMI_ANALIZZATI!$I$2:$N$2</c:f>
              <c:numCache>
                <c:formatCode>[h]:mm:ss;@</c:formatCode>
                <c:ptCount val="6"/>
                <c:pt idx="0">
                  <c:v>0.20555555555620231</c:v>
                </c:pt>
                <c:pt idx="1">
                  <c:v>0.36597222222189885</c:v>
                </c:pt>
                <c:pt idx="2">
                  <c:v>0.79097222222480923</c:v>
                </c:pt>
                <c:pt idx="3">
                  <c:v>1.8111111111138598</c:v>
                </c:pt>
                <c:pt idx="4">
                  <c:v>2.8090277777810115</c:v>
                </c:pt>
                <c:pt idx="5">
                  <c:v>3.773611111108039</c:v>
                </c:pt>
              </c:numCache>
            </c:numRef>
          </c:cat>
          <c:val>
            <c:numRef>
              <c:f>STEMI_ANALIZZATI!$I$3:$N$3</c:f>
              <c:numCache>
                <c:formatCode>General</c:formatCode>
                <c:ptCount val="6"/>
                <c:pt idx="0">
                  <c:v>9.6000000000000002E-2</c:v>
                </c:pt>
                <c:pt idx="1">
                  <c:v>0.38900000000000001</c:v>
                </c:pt>
                <c:pt idx="2">
                  <c:v>0.79600000000000004</c:v>
                </c:pt>
                <c:pt idx="3">
                  <c:v>0.436</c:v>
                </c:pt>
                <c:pt idx="4">
                  <c:v>0.48699999999999999</c:v>
                </c:pt>
                <c:pt idx="5">
                  <c:v>0.52100000000000002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E-4E69-BBD0-1DB2FECCC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589408"/>
        <c:axId val="2146586304"/>
      </c:lineChart>
      <c:catAx>
        <c:axId val="2146589408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586304"/>
        <c:crosses val="autoZero"/>
        <c:auto val="1"/>
        <c:lblAlgn val="ctr"/>
        <c:lblOffset val="100"/>
        <c:noMultiLvlLbl val="0"/>
      </c:catAx>
      <c:valAx>
        <c:axId val="21465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5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STEMI_ANALIZZATI!$P$19</c:f>
              <c:strCache>
                <c:ptCount val="1"/>
                <c:pt idx="0">
                  <c:v>Pat.12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STEMI_ANALIZZATI!$P$20:$W$20</c:f>
              <c:numCache>
                <c:formatCode>[h]:mm:ss;@</c:formatCode>
                <c:ptCount val="8"/>
                <c:pt idx="0">
                  <c:v>0.30694444444816327</c:v>
                </c:pt>
                <c:pt idx="1">
                  <c:v>0.65625</c:v>
                </c:pt>
                <c:pt idx="2">
                  <c:v>1.0638888888934162</c:v>
                </c:pt>
                <c:pt idx="3">
                  <c:v>1.8034722222218988</c:v>
                </c:pt>
                <c:pt idx="4">
                  <c:v>2.7673611111167702</c:v>
                </c:pt>
                <c:pt idx="5">
                  <c:v>3.7319444444437977</c:v>
                </c:pt>
                <c:pt idx="6">
                  <c:v>4.788888888891961</c:v>
                </c:pt>
                <c:pt idx="7">
                  <c:v>6.7756944444481633</c:v>
                </c:pt>
              </c:numCache>
            </c:numRef>
          </c:cat>
          <c:val>
            <c:numRef>
              <c:f>STEMI_ANALIZZATI!$P$21:$W$21</c:f>
              <c:numCache>
                <c:formatCode>General</c:formatCode>
                <c:ptCount val="8"/>
                <c:pt idx="0">
                  <c:v>18.239999999999998</c:v>
                </c:pt>
                <c:pt idx="1">
                  <c:v>11.91</c:v>
                </c:pt>
                <c:pt idx="2">
                  <c:v>8.33</c:v>
                </c:pt>
                <c:pt idx="3">
                  <c:v>6.01</c:v>
                </c:pt>
                <c:pt idx="4">
                  <c:v>5.64</c:v>
                </c:pt>
                <c:pt idx="5">
                  <c:v>5.68</c:v>
                </c:pt>
                <c:pt idx="6">
                  <c:v>5.45</c:v>
                </c:pt>
                <c:pt idx="7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3-43BE-954C-162E4FC71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557888"/>
        <c:axId val="2146554720"/>
      </c:lineChart>
      <c:catAx>
        <c:axId val="2146557888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554720"/>
        <c:crosses val="autoZero"/>
        <c:auto val="1"/>
        <c:lblAlgn val="ctr"/>
        <c:lblOffset val="100"/>
        <c:noMultiLvlLbl val="0"/>
      </c:catAx>
      <c:valAx>
        <c:axId val="214655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55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STEMI_ANALIZZATI!$L$38</c:f>
              <c:strCache>
                <c:ptCount val="1"/>
                <c:pt idx="0">
                  <c:v>Pat.13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STEMI_ANALIZZATI!$L$39:$T$39</c:f>
              <c:numCache>
                <c:formatCode>[h]:mm:ss;@</c:formatCode>
                <c:ptCount val="9"/>
                <c:pt idx="0">
                  <c:v>0.99166666666860692</c:v>
                </c:pt>
                <c:pt idx="1">
                  <c:v>0.99027777778246673</c:v>
                </c:pt>
                <c:pt idx="2">
                  <c:v>1.2173611111138598</c:v>
                </c:pt>
                <c:pt idx="3">
                  <c:v>1.7694444444496185</c:v>
                </c:pt>
                <c:pt idx="4">
                  <c:v>2.7673611111167702</c:v>
                </c:pt>
                <c:pt idx="5">
                  <c:v>3.711111111115315</c:v>
                </c:pt>
                <c:pt idx="6">
                  <c:v>4.765277777776646</c:v>
                </c:pt>
                <c:pt idx="7">
                  <c:v>5.7805555555605679</c:v>
                </c:pt>
                <c:pt idx="8">
                  <c:v>5.7805555555605679</c:v>
                </c:pt>
              </c:numCache>
            </c:numRef>
          </c:cat>
          <c:val>
            <c:numRef>
              <c:f>STEMI_ANALIZZATI!$L$40:$T$40</c:f>
              <c:numCache>
                <c:formatCode>General</c:formatCode>
                <c:ptCount val="9"/>
                <c:pt idx="0">
                  <c:v>3.87</c:v>
                </c:pt>
                <c:pt idx="1">
                  <c:v>3.87</c:v>
                </c:pt>
                <c:pt idx="2">
                  <c:v>2.9</c:v>
                </c:pt>
                <c:pt idx="3">
                  <c:v>3.1</c:v>
                </c:pt>
                <c:pt idx="4">
                  <c:v>2.38</c:v>
                </c:pt>
                <c:pt idx="5">
                  <c:v>2.64</c:v>
                </c:pt>
                <c:pt idx="6">
                  <c:v>2.4900000000000002</c:v>
                </c:pt>
                <c:pt idx="7">
                  <c:v>0.01</c:v>
                </c:pt>
                <c:pt idx="8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E-4989-BADD-26F1B351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525424"/>
        <c:axId val="2146522256"/>
      </c:lineChart>
      <c:catAx>
        <c:axId val="2146525424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522256"/>
        <c:crosses val="autoZero"/>
        <c:auto val="1"/>
        <c:lblAlgn val="ctr"/>
        <c:lblOffset val="100"/>
        <c:noMultiLvlLbl val="0"/>
      </c:catAx>
      <c:valAx>
        <c:axId val="214652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52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STEMI_ANALIZZATI!$M$55</c:f>
              <c:strCache>
                <c:ptCount val="1"/>
                <c:pt idx="0">
                  <c:v>Pat.14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STEMI_ANALIZZATI!$M$56:$V$56</c:f>
              <c:numCache>
                <c:formatCode>[h]:mm:ss;@</c:formatCode>
                <c:ptCount val="10"/>
                <c:pt idx="0">
                  <c:v>0.56458333333284827</c:v>
                </c:pt>
                <c:pt idx="1">
                  <c:v>0.77291666666860692</c:v>
                </c:pt>
                <c:pt idx="2">
                  <c:v>1.1548611111138598</c:v>
                </c:pt>
                <c:pt idx="3">
                  <c:v>1.6041666666642413</c:v>
                </c:pt>
                <c:pt idx="4">
                  <c:v>2.1374999999970896</c:v>
                </c:pt>
                <c:pt idx="5">
                  <c:v>3.1381944444437977</c:v>
                </c:pt>
                <c:pt idx="6">
                  <c:v>4.203472222223354</c:v>
                </c:pt>
                <c:pt idx="7">
                  <c:v>5.1645833333313931</c:v>
                </c:pt>
                <c:pt idx="8">
                  <c:v>6.171527777776646</c:v>
                </c:pt>
                <c:pt idx="9">
                  <c:v>7.1513888888875954</c:v>
                </c:pt>
              </c:numCache>
            </c:numRef>
          </c:cat>
          <c:val>
            <c:numRef>
              <c:f>STEMI_ANALIZZATI!$M$57:$V$57</c:f>
              <c:numCache>
                <c:formatCode>General</c:formatCode>
                <c:ptCount val="10"/>
                <c:pt idx="0">
                  <c:v>2.83</c:v>
                </c:pt>
                <c:pt idx="1">
                  <c:v>4.0999999999999996</c:v>
                </c:pt>
                <c:pt idx="2">
                  <c:v>2.44</c:v>
                </c:pt>
                <c:pt idx="3">
                  <c:v>1.68</c:v>
                </c:pt>
                <c:pt idx="4">
                  <c:v>2.16</c:v>
                </c:pt>
                <c:pt idx="5">
                  <c:v>2.87</c:v>
                </c:pt>
                <c:pt idx="6">
                  <c:v>2.09</c:v>
                </c:pt>
                <c:pt idx="7">
                  <c:v>0.99199999999999999</c:v>
                </c:pt>
                <c:pt idx="8">
                  <c:v>0.45100000000000001</c:v>
                </c:pt>
                <c:pt idx="9">
                  <c:v>0.20499999999999999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6-4EDD-97B1-D80CB061A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495040"/>
        <c:axId val="2146491872"/>
      </c:lineChart>
      <c:catAx>
        <c:axId val="214649504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491872"/>
        <c:crosses val="autoZero"/>
        <c:auto val="1"/>
        <c:lblAlgn val="ctr"/>
        <c:lblOffset val="100"/>
        <c:noMultiLvlLbl val="0"/>
      </c:catAx>
      <c:valAx>
        <c:axId val="214649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49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STEMI_ANALIZZATI!$M$73</c:f>
              <c:strCache>
                <c:ptCount val="1"/>
                <c:pt idx="0">
                  <c:v>Pat.15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STEMI_ANALIZZATI!$M$74:$S$74</c:f>
              <c:numCache>
                <c:formatCode>[h]:mm:ss;@</c:formatCode>
                <c:ptCount val="7"/>
                <c:pt idx="0">
                  <c:v>0.74722222222044365</c:v>
                </c:pt>
                <c:pt idx="1">
                  <c:v>1.2729166666686069</c:v>
                </c:pt>
                <c:pt idx="2">
                  <c:v>1.6159722222218988</c:v>
                </c:pt>
                <c:pt idx="3">
                  <c:v>2.6374999999970896</c:v>
                </c:pt>
                <c:pt idx="4">
                  <c:v>3.0104166666642413</c:v>
                </c:pt>
                <c:pt idx="5">
                  <c:v>3.6479166666686069</c:v>
                </c:pt>
                <c:pt idx="6">
                  <c:v>5.6770833333357587</c:v>
                </c:pt>
              </c:numCache>
            </c:numRef>
          </c:cat>
          <c:val>
            <c:numRef>
              <c:f>STEMI_ANALIZZATI!$M$75:$S$75</c:f>
              <c:numCache>
                <c:formatCode>General</c:formatCode>
                <c:ptCount val="7"/>
                <c:pt idx="0">
                  <c:v>1.44</c:v>
                </c:pt>
                <c:pt idx="1">
                  <c:v>2.0099999999999998</c:v>
                </c:pt>
                <c:pt idx="2">
                  <c:v>1.7</c:v>
                </c:pt>
                <c:pt idx="3">
                  <c:v>1.89</c:v>
                </c:pt>
                <c:pt idx="4">
                  <c:v>1.72</c:v>
                </c:pt>
                <c:pt idx="5">
                  <c:v>1.69</c:v>
                </c:pt>
                <c:pt idx="6">
                  <c:v>0.73099999999999998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E-41EB-B305-74109EEB8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464816"/>
        <c:axId val="2146461648"/>
      </c:lineChart>
      <c:catAx>
        <c:axId val="214646481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461648"/>
        <c:crosses val="autoZero"/>
        <c:auto val="1"/>
        <c:lblAlgn val="ctr"/>
        <c:lblOffset val="100"/>
        <c:noMultiLvlLbl val="0"/>
      </c:catAx>
      <c:valAx>
        <c:axId val="21464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4646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STEMI_ANALIZZATI!$K$92</c:f>
              <c:strCache>
                <c:ptCount val="1"/>
                <c:pt idx="0">
                  <c:v>Pat.16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STEMI_ANALIZZATI!$K$93:$T$93</c:f>
              <c:numCache>
                <c:formatCode>[h]:mm:ss;@</c:formatCode>
                <c:ptCount val="10"/>
                <c:pt idx="0">
                  <c:v>0.48611111111677019</c:v>
                </c:pt>
                <c:pt idx="1">
                  <c:v>0.50625000000582077</c:v>
                </c:pt>
                <c:pt idx="2">
                  <c:v>0.80625000000145519</c:v>
                </c:pt>
                <c:pt idx="3">
                  <c:v>1.3548611111109494</c:v>
                </c:pt>
                <c:pt idx="4">
                  <c:v>2.3562500000043656</c:v>
                </c:pt>
                <c:pt idx="5">
                  <c:v>3.382638888891961</c:v>
                </c:pt>
                <c:pt idx="6">
                  <c:v>4.3729166666671517</c:v>
                </c:pt>
                <c:pt idx="7">
                  <c:v>5.3236111111109494</c:v>
                </c:pt>
                <c:pt idx="8">
                  <c:v>7.4284722222218988</c:v>
                </c:pt>
                <c:pt idx="9">
                  <c:v>8.3680555555547471</c:v>
                </c:pt>
              </c:numCache>
            </c:numRef>
          </c:cat>
          <c:val>
            <c:numRef>
              <c:f>STEMI_ANALIZZATI!$K$94:$T$94</c:f>
              <c:numCache>
                <c:formatCode>General</c:formatCode>
                <c:ptCount val="10"/>
                <c:pt idx="0">
                  <c:v>3.94</c:v>
                </c:pt>
                <c:pt idx="1">
                  <c:v>10</c:v>
                </c:pt>
                <c:pt idx="2">
                  <c:v>10.68</c:v>
                </c:pt>
                <c:pt idx="3">
                  <c:v>7.18</c:v>
                </c:pt>
                <c:pt idx="4">
                  <c:v>4.9800000000000004</c:v>
                </c:pt>
                <c:pt idx="5">
                  <c:v>5.0999999999999996</c:v>
                </c:pt>
                <c:pt idx="6">
                  <c:v>4.45</c:v>
                </c:pt>
                <c:pt idx="7">
                  <c:v>3.22</c:v>
                </c:pt>
                <c:pt idx="8">
                  <c:v>1.25</c:v>
                </c:pt>
                <c:pt idx="9">
                  <c:v>0.74399999999999999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2-450B-9D4C-3FD498110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6788608"/>
        <c:axId val="-2116785392"/>
      </c:lineChart>
      <c:catAx>
        <c:axId val="-2116788608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785392"/>
        <c:crosses val="autoZero"/>
        <c:auto val="1"/>
        <c:lblAlgn val="ctr"/>
        <c:lblOffset val="100"/>
        <c:noMultiLvlLbl val="0"/>
      </c:catAx>
      <c:valAx>
        <c:axId val="-21167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78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STEMI_ANALIZZATI!$K$110</c:f>
              <c:strCache>
                <c:ptCount val="1"/>
                <c:pt idx="0">
                  <c:v>Pat.17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STEMI_ANALIZZATI!$K$111:$R$111</c:f>
              <c:numCache>
                <c:formatCode>[h]:mm:ss;@</c:formatCode>
                <c:ptCount val="8"/>
                <c:pt idx="0">
                  <c:v>0.375</c:v>
                </c:pt>
                <c:pt idx="1">
                  <c:v>0.85069444444525288</c:v>
                </c:pt>
                <c:pt idx="2">
                  <c:v>1.3583333333372138</c:v>
                </c:pt>
                <c:pt idx="3">
                  <c:v>2.3562500000043656</c:v>
                </c:pt>
                <c:pt idx="4">
                  <c:v>3.4118055555591127</c:v>
                </c:pt>
                <c:pt idx="5">
                  <c:v>4.375</c:v>
                </c:pt>
                <c:pt idx="6">
                  <c:v>5.3194444444452529</c:v>
                </c:pt>
                <c:pt idx="7">
                  <c:v>6.3548611111109494</c:v>
                </c:pt>
              </c:numCache>
            </c:numRef>
          </c:cat>
          <c:val>
            <c:numRef>
              <c:f>STEMI_ANALIZZATI!$K$112:$R$112</c:f>
              <c:numCache>
                <c:formatCode>General</c:formatCode>
                <c:ptCount val="8"/>
                <c:pt idx="0">
                  <c:v>7.01</c:v>
                </c:pt>
                <c:pt idx="1">
                  <c:v>5.27</c:v>
                </c:pt>
                <c:pt idx="2">
                  <c:v>4.95</c:v>
                </c:pt>
                <c:pt idx="3">
                  <c:v>3.43</c:v>
                </c:pt>
                <c:pt idx="4">
                  <c:v>4.01</c:v>
                </c:pt>
                <c:pt idx="5">
                  <c:v>4.7</c:v>
                </c:pt>
                <c:pt idx="6">
                  <c:v>3.72</c:v>
                </c:pt>
                <c:pt idx="7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D-471F-A547-3CD5C1132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6757200"/>
        <c:axId val="-2116753984"/>
      </c:lineChart>
      <c:catAx>
        <c:axId val="-2116757200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753984"/>
        <c:crosses val="autoZero"/>
        <c:auto val="1"/>
        <c:lblAlgn val="ctr"/>
        <c:lblOffset val="100"/>
        <c:noMultiLvlLbl val="0"/>
      </c:catAx>
      <c:valAx>
        <c:axId val="-21167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75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STEMI_ANALIZZATI!$K$129</c:f>
              <c:strCache>
                <c:ptCount val="1"/>
                <c:pt idx="0">
                  <c:v>Pat.18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STEMI_ANALIZZATI!$K$130:$X$130</c:f>
              <c:numCache>
                <c:formatCode>[h]:mm:ss;@</c:formatCode>
                <c:ptCount val="14"/>
                <c:pt idx="0">
                  <c:v>0.74861111111385981</c:v>
                </c:pt>
                <c:pt idx="1">
                  <c:v>0.86527777778246673</c:v>
                </c:pt>
                <c:pt idx="2">
                  <c:v>1.3625000000029104</c:v>
                </c:pt>
                <c:pt idx="3">
                  <c:v>2.4118055555591127</c:v>
                </c:pt>
                <c:pt idx="4">
                  <c:v>3.3729166666671517</c:v>
                </c:pt>
                <c:pt idx="5">
                  <c:v>4.3270833333372138</c:v>
                </c:pt>
                <c:pt idx="6">
                  <c:v>5.3548611111109494</c:v>
                </c:pt>
                <c:pt idx="7">
                  <c:v>6.3881944444437977</c:v>
                </c:pt>
                <c:pt idx="8">
                  <c:v>7.3354166666686069</c:v>
                </c:pt>
                <c:pt idx="9">
                  <c:v>7.9361111111138598</c:v>
                </c:pt>
                <c:pt idx="10">
                  <c:v>8.3479166666656965</c:v>
                </c:pt>
                <c:pt idx="11">
                  <c:v>8.7145833333343035</c:v>
                </c:pt>
                <c:pt idx="12">
                  <c:v>10.351388888891961</c:v>
                </c:pt>
                <c:pt idx="13">
                  <c:v>11.355555555557657</c:v>
                </c:pt>
              </c:numCache>
            </c:numRef>
          </c:cat>
          <c:val>
            <c:numRef>
              <c:f>STEMI_ANALIZZATI!$K$131:$X$131</c:f>
              <c:numCache>
                <c:formatCode>General</c:formatCode>
                <c:ptCount val="14"/>
                <c:pt idx="0">
                  <c:v>11.24</c:v>
                </c:pt>
                <c:pt idx="1">
                  <c:v>7.79</c:v>
                </c:pt>
                <c:pt idx="2">
                  <c:v>5.03</c:v>
                </c:pt>
                <c:pt idx="3">
                  <c:v>2.84</c:v>
                </c:pt>
                <c:pt idx="4">
                  <c:v>3.69</c:v>
                </c:pt>
                <c:pt idx="5">
                  <c:v>4.5599999999999996</c:v>
                </c:pt>
                <c:pt idx="6">
                  <c:v>3.98</c:v>
                </c:pt>
                <c:pt idx="7">
                  <c:v>2.27</c:v>
                </c:pt>
                <c:pt idx="8">
                  <c:v>1.65</c:v>
                </c:pt>
                <c:pt idx="9">
                  <c:v>1.5</c:v>
                </c:pt>
                <c:pt idx="10">
                  <c:v>1.3</c:v>
                </c:pt>
                <c:pt idx="11">
                  <c:v>1.1599999999999999</c:v>
                </c:pt>
                <c:pt idx="12">
                  <c:v>0.71099999999999997</c:v>
                </c:pt>
                <c:pt idx="1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C-4FAC-9968-F224BC91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6725024"/>
        <c:axId val="-2116721808"/>
      </c:lineChart>
      <c:catAx>
        <c:axId val="-2116725024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721808"/>
        <c:crosses val="autoZero"/>
        <c:auto val="1"/>
        <c:lblAlgn val="ctr"/>
        <c:lblOffset val="100"/>
        <c:noMultiLvlLbl val="0"/>
      </c:catAx>
      <c:valAx>
        <c:axId val="-21167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7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STEMI_ANALIZZATI!$K$148</c:f>
              <c:strCache>
                <c:ptCount val="1"/>
                <c:pt idx="0">
                  <c:v>Pat.19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STEMI_ANALIZZATI!$K$149:$Q$149</c:f>
              <c:numCache>
                <c:formatCode>[h]:mm:ss;@</c:formatCode>
                <c:ptCount val="7"/>
                <c:pt idx="0">
                  <c:v>0.45138888889050577</c:v>
                </c:pt>
                <c:pt idx="1">
                  <c:v>0.61250000000291038</c:v>
                </c:pt>
                <c:pt idx="2">
                  <c:v>0.95555555555620231</c:v>
                </c:pt>
                <c:pt idx="3">
                  <c:v>2.9597222222218988</c:v>
                </c:pt>
                <c:pt idx="4">
                  <c:v>3.9472222222248092</c:v>
                </c:pt>
                <c:pt idx="5">
                  <c:v>4.9548611111094942</c:v>
                </c:pt>
                <c:pt idx="6">
                  <c:v>5.9965277777810115</c:v>
                </c:pt>
              </c:numCache>
            </c:numRef>
          </c:cat>
          <c:val>
            <c:numRef>
              <c:f>STEMI_ANALIZZATI!$K$150:$Q$150</c:f>
              <c:numCache>
                <c:formatCode>General</c:formatCode>
                <c:ptCount val="7"/>
                <c:pt idx="0">
                  <c:v>28.39</c:v>
                </c:pt>
                <c:pt idx="1">
                  <c:v>15.65</c:v>
                </c:pt>
                <c:pt idx="2">
                  <c:v>9.9700000000000006</c:v>
                </c:pt>
                <c:pt idx="3">
                  <c:v>2.66</c:v>
                </c:pt>
                <c:pt idx="4">
                  <c:v>2.27</c:v>
                </c:pt>
                <c:pt idx="5">
                  <c:v>1.76</c:v>
                </c:pt>
                <c:pt idx="6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3-4E14-B0AF-DA6F1F8EA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6693344"/>
        <c:axId val="-2116690128"/>
      </c:lineChart>
      <c:catAx>
        <c:axId val="-2116693344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690128"/>
        <c:crosses val="autoZero"/>
        <c:auto val="1"/>
        <c:lblAlgn val="ctr"/>
        <c:lblOffset val="100"/>
        <c:noMultiLvlLbl val="0"/>
      </c:catAx>
      <c:valAx>
        <c:axId val="-211669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69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STEMI_ANALIZZATI!$K$167</c:f>
              <c:strCache>
                <c:ptCount val="1"/>
                <c:pt idx="0">
                  <c:v>Pat.20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STEMI_ANALIZZATI!$L$168:$T$168</c:f>
              <c:numCache>
                <c:formatCode>[h]:mm:ss;@</c:formatCode>
                <c:ptCount val="9"/>
                <c:pt idx="0">
                  <c:v>1.8333333333357587</c:v>
                </c:pt>
                <c:pt idx="1">
                  <c:v>2.4937500000014552</c:v>
                </c:pt>
                <c:pt idx="2">
                  <c:v>3.4034722222204437</c:v>
                </c:pt>
                <c:pt idx="3">
                  <c:v>4.3812499999985448</c:v>
                </c:pt>
                <c:pt idx="4">
                  <c:v>5.4340277777810115</c:v>
                </c:pt>
                <c:pt idx="5">
                  <c:v>5.7937499999970896</c:v>
                </c:pt>
                <c:pt idx="6">
                  <c:v>6.4666666666671517</c:v>
                </c:pt>
                <c:pt idx="7">
                  <c:v>7.46875</c:v>
                </c:pt>
                <c:pt idx="8">
                  <c:v>8.4479166666642413</c:v>
                </c:pt>
              </c:numCache>
            </c:numRef>
          </c:cat>
          <c:val>
            <c:numRef>
              <c:f>STEMI_ANALIZZATI!$K$169:$T$169</c:f>
              <c:numCache>
                <c:formatCode>General</c:formatCode>
                <c:ptCount val="10"/>
                <c:pt idx="0">
                  <c:v>5.74</c:v>
                </c:pt>
                <c:pt idx="1">
                  <c:v>8.74</c:v>
                </c:pt>
                <c:pt idx="2">
                  <c:v>3.3</c:v>
                </c:pt>
                <c:pt idx="3">
                  <c:v>3.26</c:v>
                </c:pt>
                <c:pt idx="4">
                  <c:v>3.36</c:v>
                </c:pt>
                <c:pt idx="5">
                  <c:v>3.01</c:v>
                </c:pt>
                <c:pt idx="6">
                  <c:v>2.57</c:v>
                </c:pt>
                <c:pt idx="7">
                  <c:v>1.29</c:v>
                </c:pt>
                <c:pt idx="8">
                  <c:v>0.57899999999999996</c:v>
                </c:pt>
                <c:pt idx="9">
                  <c:v>0.30499999999999999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8D-408E-8E62-1F44295D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6661936"/>
        <c:axId val="-2116658720"/>
      </c:lineChart>
      <c:catAx>
        <c:axId val="-2116661936"/>
        <c:scaling>
          <c:orientation val="minMax"/>
        </c:scaling>
        <c:delete val="0"/>
        <c:axPos val="b"/>
        <c:numFmt formatCode="[h]:mm:ss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658720"/>
        <c:crosses val="autoZero"/>
        <c:auto val="1"/>
        <c:lblAlgn val="ctr"/>
        <c:lblOffset val="100"/>
        <c:noMultiLvlLbl val="0"/>
      </c:catAx>
      <c:valAx>
        <c:axId val="-211665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66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24</xdr:row>
      <xdr:rowOff>184150</xdr:rowOff>
    </xdr:from>
    <xdr:to>
      <xdr:col>21</xdr:col>
      <xdr:colOff>520700</xdr:colOff>
      <xdr:row>39</xdr:row>
      <xdr:rowOff>69850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533400</xdr:colOff>
      <xdr:row>25</xdr:row>
      <xdr:rowOff>19050</xdr:rowOff>
    </xdr:from>
    <xdr:to>
      <xdr:col>27</xdr:col>
      <xdr:colOff>152400</xdr:colOff>
      <xdr:row>39</xdr:row>
      <xdr:rowOff>95250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25400</xdr:rowOff>
    </xdr:from>
    <xdr:to>
      <xdr:col>6</xdr:col>
      <xdr:colOff>0</xdr:colOff>
      <xdr:row>17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63500</xdr:rowOff>
    </xdr:from>
    <xdr:to>
      <xdr:col>12</xdr:col>
      <xdr:colOff>762000</xdr:colOff>
      <xdr:row>35</xdr:row>
      <xdr:rowOff>152400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38100</xdr:rowOff>
    </xdr:from>
    <xdr:to>
      <xdr:col>8</xdr:col>
      <xdr:colOff>774700</xdr:colOff>
      <xdr:row>53</xdr:row>
      <xdr:rowOff>114300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38100</xdr:rowOff>
    </xdr:from>
    <xdr:to>
      <xdr:col>9</xdr:col>
      <xdr:colOff>647700</xdr:colOff>
      <xdr:row>71</xdr:row>
      <xdr:rowOff>114300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75</xdr:row>
      <xdr:rowOff>88900</xdr:rowOff>
    </xdr:from>
    <xdr:to>
      <xdr:col>7</xdr:col>
      <xdr:colOff>774700</xdr:colOff>
      <xdr:row>89</xdr:row>
      <xdr:rowOff>165100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93</xdr:row>
      <xdr:rowOff>38100</xdr:rowOff>
    </xdr:from>
    <xdr:to>
      <xdr:col>7</xdr:col>
      <xdr:colOff>736600</xdr:colOff>
      <xdr:row>107</xdr:row>
      <xdr:rowOff>114300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</xdr:colOff>
      <xdr:row>111</xdr:row>
      <xdr:rowOff>25400</xdr:rowOff>
    </xdr:from>
    <xdr:to>
      <xdr:col>7</xdr:col>
      <xdr:colOff>800100</xdr:colOff>
      <xdr:row>125</xdr:row>
      <xdr:rowOff>101600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129</xdr:row>
      <xdr:rowOff>0</xdr:rowOff>
    </xdr:from>
    <xdr:to>
      <xdr:col>7</xdr:col>
      <xdr:colOff>762000</xdr:colOff>
      <xdr:row>143</xdr:row>
      <xdr:rowOff>76200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147</xdr:row>
      <xdr:rowOff>25400</xdr:rowOff>
    </xdr:from>
    <xdr:to>
      <xdr:col>5</xdr:col>
      <xdr:colOff>736600</xdr:colOff>
      <xdr:row>161</xdr:row>
      <xdr:rowOff>101600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165</xdr:row>
      <xdr:rowOff>38100</xdr:rowOff>
    </xdr:from>
    <xdr:to>
      <xdr:col>7</xdr:col>
      <xdr:colOff>12700</xdr:colOff>
      <xdr:row>179</xdr:row>
      <xdr:rowOff>114300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6350</xdr:colOff>
      <xdr:row>3</xdr:row>
      <xdr:rowOff>88900</xdr:rowOff>
    </xdr:from>
    <xdr:to>
      <xdr:col>13</xdr:col>
      <xdr:colOff>800100</xdr:colOff>
      <xdr:row>17</xdr:row>
      <xdr:rowOff>63500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819150</xdr:colOff>
      <xdr:row>21</xdr:row>
      <xdr:rowOff>88900</xdr:rowOff>
    </xdr:from>
    <xdr:to>
      <xdr:col>22</xdr:col>
      <xdr:colOff>774700</xdr:colOff>
      <xdr:row>35</xdr:row>
      <xdr:rowOff>165100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819150</xdr:colOff>
      <xdr:row>40</xdr:row>
      <xdr:rowOff>50800</xdr:rowOff>
    </xdr:from>
    <xdr:to>
      <xdr:col>19</xdr:col>
      <xdr:colOff>812800</xdr:colOff>
      <xdr:row>52</xdr:row>
      <xdr:rowOff>165100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6350</xdr:colOff>
      <xdr:row>57</xdr:row>
      <xdr:rowOff>25400</xdr:rowOff>
    </xdr:from>
    <xdr:to>
      <xdr:col>21</xdr:col>
      <xdr:colOff>749300</xdr:colOff>
      <xdr:row>71</xdr:row>
      <xdr:rowOff>76200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6350</xdr:colOff>
      <xdr:row>75</xdr:row>
      <xdr:rowOff>76200</xdr:rowOff>
    </xdr:from>
    <xdr:to>
      <xdr:col>18</xdr:col>
      <xdr:colOff>736600</xdr:colOff>
      <xdr:row>89</xdr:row>
      <xdr:rowOff>152400</xdr:rowOff>
    </xdr:to>
    <xdr:graphicFrame macro="">
      <xdr:nvGraphicFramePr>
        <xdr:cNvPr id="16" name="Grafic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6350</xdr:colOff>
      <xdr:row>94</xdr:row>
      <xdr:rowOff>76200</xdr:rowOff>
    </xdr:from>
    <xdr:to>
      <xdr:col>19</xdr:col>
      <xdr:colOff>762000</xdr:colOff>
      <xdr:row>107</xdr:row>
      <xdr:rowOff>177800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6350</xdr:colOff>
      <xdr:row>112</xdr:row>
      <xdr:rowOff>63500</xdr:rowOff>
    </xdr:from>
    <xdr:to>
      <xdr:col>17</xdr:col>
      <xdr:colOff>749300</xdr:colOff>
      <xdr:row>126</xdr:row>
      <xdr:rowOff>139700</xdr:rowOff>
    </xdr:to>
    <xdr:graphicFrame macro="">
      <xdr:nvGraphicFramePr>
        <xdr:cNvPr id="18" name="Grafic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57150</xdr:colOff>
      <xdr:row>131</xdr:row>
      <xdr:rowOff>12700</xdr:rowOff>
    </xdr:from>
    <xdr:to>
      <xdr:col>21</xdr:col>
      <xdr:colOff>355600</xdr:colOff>
      <xdr:row>145</xdr:row>
      <xdr:rowOff>88900</xdr:rowOff>
    </xdr:to>
    <xdr:graphicFrame macro="">
      <xdr:nvGraphicFramePr>
        <xdr:cNvPr id="19" name="Grafic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19050</xdr:colOff>
      <xdr:row>150</xdr:row>
      <xdr:rowOff>50800</xdr:rowOff>
    </xdr:from>
    <xdr:to>
      <xdr:col>16</xdr:col>
      <xdr:colOff>736600</xdr:colOff>
      <xdr:row>164</xdr:row>
      <xdr:rowOff>127000</xdr:rowOff>
    </xdr:to>
    <xdr:graphicFrame macro="">
      <xdr:nvGraphicFramePr>
        <xdr:cNvPr id="20" name="Grafic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31750</xdr:colOff>
      <xdr:row>169</xdr:row>
      <xdr:rowOff>63500</xdr:rowOff>
    </xdr:from>
    <xdr:to>
      <xdr:col>17</xdr:col>
      <xdr:colOff>711200</xdr:colOff>
      <xdr:row>183</xdr:row>
      <xdr:rowOff>139700</xdr:rowOff>
    </xdr:to>
    <xdr:graphicFrame macro="">
      <xdr:nvGraphicFramePr>
        <xdr:cNvPr id="21" name="Grafic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topLeftCell="I1" zoomScale="65" zoomScaleNormal="140" zoomScalePageLayoutView="140" workbookViewId="0">
      <selection activeCell="B5" sqref="B5:B24"/>
    </sheetView>
  </sheetViews>
  <sheetFormatPr defaultColWidth="8.85546875" defaultRowHeight="15"/>
  <cols>
    <col min="2" max="2" width="19.42578125" bestFit="1" customWidth="1"/>
    <col min="3" max="3" width="23.28515625" customWidth="1"/>
    <col min="4" max="4" width="11.42578125" bestFit="1" customWidth="1"/>
    <col min="5" max="5" width="34" customWidth="1"/>
    <col min="7" max="7" width="37.42578125" customWidth="1"/>
    <col min="9" max="9" width="25" customWidth="1"/>
    <col min="19" max="19" width="22.42578125" bestFit="1" customWidth="1"/>
    <col min="20" max="20" width="9.28515625" bestFit="1" customWidth="1"/>
  </cols>
  <sheetData>
    <row r="1" spans="1:28">
      <c r="B1" s="26" t="s">
        <v>327</v>
      </c>
      <c r="C1" s="27"/>
    </row>
    <row r="3" spans="1:28" ht="15.75">
      <c r="B3" s="1" t="s">
        <v>0</v>
      </c>
      <c r="C3" s="2" t="s">
        <v>1</v>
      </c>
      <c r="D3" s="3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4"/>
      <c r="R3" s="4"/>
      <c r="S3" s="4"/>
      <c r="T3" s="4"/>
      <c r="U3" s="5"/>
      <c r="V3" s="5"/>
      <c r="W3" s="5"/>
      <c r="X3" s="5"/>
      <c r="Y3" s="5"/>
    </row>
    <row r="4" spans="1:28" ht="15.75">
      <c r="B4" s="4" t="s">
        <v>3</v>
      </c>
      <c r="C4" s="6" t="s">
        <v>4</v>
      </c>
      <c r="D4" s="4" t="s">
        <v>5</v>
      </c>
      <c r="E4" s="7" t="s">
        <v>6</v>
      </c>
      <c r="F4" s="7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</row>
    <row r="5" spans="1:28">
      <c r="A5">
        <v>1</v>
      </c>
      <c r="B5" t="s">
        <v>31</v>
      </c>
      <c r="C5" t="s">
        <v>42</v>
      </c>
      <c r="D5" t="s">
        <v>39</v>
      </c>
      <c r="E5" s="14" t="s">
        <v>78</v>
      </c>
      <c r="F5" s="14">
        <v>9.51</v>
      </c>
      <c r="G5" s="14" t="s">
        <v>79</v>
      </c>
      <c r="H5" s="14">
        <v>9.51</v>
      </c>
      <c r="I5" s="14" t="s">
        <v>80</v>
      </c>
      <c r="J5" s="14">
        <v>10.91</v>
      </c>
      <c r="K5" t="s">
        <v>81</v>
      </c>
      <c r="L5">
        <v>11.3</v>
      </c>
      <c r="M5" t="s">
        <v>82</v>
      </c>
      <c r="N5">
        <v>3.1</v>
      </c>
    </row>
    <row r="6" spans="1:28">
      <c r="A6">
        <v>2</v>
      </c>
      <c r="B6" t="s">
        <v>83</v>
      </c>
      <c r="C6" t="s">
        <v>43</v>
      </c>
      <c r="D6" t="s">
        <v>44</v>
      </c>
      <c r="E6" s="14" t="s">
        <v>84</v>
      </c>
      <c r="F6" s="14">
        <v>3.82</v>
      </c>
      <c r="G6" s="14" t="s">
        <v>85</v>
      </c>
      <c r="H6" s="14">
        <v>3.82</v>
      </c>
      <c r="I6" s="14" t="s">
        <v>86</v>
      </c>
      <c r="J6" s="14">
        <v>12.48</v>
      </c>
      <c r="K6" t="s">
        <v>87</v>
      </c>
      <c r="L6">
        <v>11.17</v>
      </c>
      <c r="M6" t="s">
        <v>88</v>
      </c>
      <c r="N6">
        <v>5.59</v>
      </c>
      <c r="O6" t="s">
        <v>89</v>
      </c>
      <c r="P6">
        <v>2.65</v>
      </c>
      <c r="Q6" t="s">
        <v>90</v>
      </c>
      <c r="R6">
        <v>3.79</v>
      </c>
      <c r="S6" t="s">
        <v>91</v>
      </c>
      <c r="T6">
        <v>8.5399999999999991</v>
      </c>
      <c r="U6" t="s">
        <v>92</v>
      </c>
      <c r="V6">
        <v>3.58</v>
      </c>
      <c r="W6" t="s">
        <v>93</v>
      </c>
      <c r="X6">
        <v>1.73</v>
      </c>
      <c r="Y6" t="s">
        <v>94</v>
      </c>
      <c r="Z6">
        <v>0.86</v>
      </c>
      <c r="AA6" t="s">
        <v>95</v>
      </c>
      <c r="AB6">
        <v>1.04</v>
      </c>
    </row>
    <row r="7" spans="1:28">
      <c r="A7">
        <v>3</v>
      </c>
      <c r="B7" t="s">
        <v>32</v>
      </c>
      <c r="C7" t="s">
        <v>45</v>
      </c>
      <c r="D7" t="s">
        <v>39</v>
      </c>
      <c r="E7" t="s">
        <v>96</v>
      </c>
      <c r="F7">
        <v>273.3</v>
      </c>
      <c r="G7" t="s">
        <v>97</v>
      </c>
      <c r="H7">
        <v>6.94</v>
      </c>
      <c r="I7" t="s">
        <v>98</v>
      </c>
      <c r="J7">
        <v>226.8</v>
      </c>
      <c r="K7" t="s">
        <v>99</v>
      </c>
      <c r="L7">
        <v>18.73</v>
      </c>
      <c r="M7" t="s">
        <v>100</v>
      </c>
      <c r="N7">
        <v>5.0999999999999996</v>
      </c>
      <c r="O7" t="s">
        <v>101</v>
      </c>
      <c r="P7">
        <v>2.77</v>
      </c>
      <c r="Q7" t="s">
        <v>102</v>
      </c>
      <c r="R7">
        <v>2.59</v>
      </c>
      <c r="S7" t="s">
        <v>103</v>
      </c>
      <c r="T7">
        <v>2.2799999999999998</v>
      </c>
    </row>
    <row r="8" spans="1:28">
      <c r="A8">
        <v>4</v>
      </c>
      <c r="B8" t="s">
        <v>104</v>
      </c>
      <c r="C8" t="s">
        <v>46</v>
      </c>
      <c r="D8" t="s">
        <v>39</v>
      </c>
      <c r="E8" t="s">
        <v>105</v>
      </c>
      <c r="F8">
        <v>8.8000000000000007</v>
      </c>
      <c r="G8" t="s">
        <v>106</v>
      </c>
      <c r="H8">
        <v>20.22</v>
      </c>
      <c r="I8" t="s">
        <v>107</v>
      </c>
      <c r="J8">
        <v>17.350000000000001</v>
      </c>
      <c r="K8" t="s">
        <v>108</v>
      </c>
      <c r="L8">
        <v>7.4</v>
      </c>
      <c r="M8" t="s">
        <v>109</v>
      </c>
      <c r="N8">
        <v>3.22</v>
      </c>
      <c r="O8" t="s">
        <v>110</v>
      </c>
      <c r="P8">
        <v>2.86</v>
      </c>
      <c r="Q8" t="s">
        <v>111</v>
      </c>
      <c r="R8">
        <v>1.94</v>
      </c>
      <c r="S8" t="s">
        <v>112</v>
      </c>
      <c r="T8">
        <v>1.64</v>
      </c>
      <c r="U8" t="s">
        <v>113</v>
      </c>
      <c r="V8">
        <v>1.44</v>
      </c>
    </row>
    <row r="9" spans="1:28">
      <c r="A9">
        <v>5</v>
      </c>
      <c r="B9" t="s">
        <v>48</v>
      </c>
      <c r="C9" t="s">
        <v>47</v>
      </c>
      <c r="D9" t="s">
        <v>39</v>
      </c>
      <c r="E9" s="14" t="s">
        <v>114</v>
      </c>
      <c r="F9">
        <v>169.4</v>
      </c>
      <c r="G9" t="s">
        <v>115</v>
      </c>
      <c r="H9">
        <v>287</v>
      </c>
      <c r="I9" t="s">
        <v>116</v>
      </c>
      <c r="J9">
        <v>251.6</v>
      </c>
      <c r="K9" t="s">
        <v>117</v>
      </c>
      <c r="L9">
        <v>31.87</v>
      </c>
      <c r="M9" t="s">
        <v>118</v>
      </c>
      <c r="N9">
        <v>9.64</v>
      </c>
      <c r="O9" t="s">
        <v>119</v>
      </c>
      <c r="P9">
        <v>6.12</v>
      </c>
      <c r="Q9" t="s">
        <v>120</v>
      </c>
      <c r="R9">
        <v>5.26</v>
      </c>
    </row>
    <row r="10" spans="1:28">
      <c r="A10">
        <v>6</v>
      </c>
      <c r="B10" t="s">
        <v>33</v>
      </c>
      <c r="C10" t="s">
        <v>50</v>
      </c>
      <c r="D10" t="s">
        <v>39</v>
      </c>
      <c r="E10" t="s">
        <v>121</v>
      </c>
      <c r="F10">
        <v>45.42</v>
      </c>
      <c r="G10" t="s">
        <v>122</v>
      </c>
      <c r="H10">
        <v>60.54</v>
      </c>
      <c r="I10" t="s">
        <v>123</v>
      </c>
      <c r="J10">
        <v>34.909999999999997</v>
      </c>
      <c r="K10" t="s">
        <v>124</v>
      </c>
      <c r="L10">
        <v>3.92</v>
      </c>
      <c r="M10" t="s">
        <v>125</v>
      </c>
      <c r="N10">
        <v>1.49</v>
      </c>
    </row>
    <row r="11" spans="1:28">
      <c r="A11">
        <v>7</v>
      </c>
      <c r="B11" t="s">
        <v>34</v>
      </c>
      <c r="C11" s="9" t="s">
        <v>165</v>
      </c>
      <c r="D11" t="s">
        <v>41</v>
      </c>
      <c r="E11" t="s">
        <v>126</v>
      </c>
      <c r="F11">
        <v>8.18</v>
      </c>
      <c r="G11" t="s">
        <v>127</v>
      </c>
      <c r="H11">
        <v>28.97</v>
      </c>
      <c r="I11" t="s">
        <v>128</v>
      </c>
      <c r="J11">
        <v>36.69</v>
      </c>
      <c r="K11" t="s">
        <v>129</v>
      </c>
      <c r="L11">
        <v>6.5</v>
      </c>
      <c r="M11" t="s">
        <v>130</v>
      </c>
      <c r="N11">
        <v>1.76</v>
      </c>
      <c r="O11" t="s">
        <v>131</v>
      </c>
      <c r="P11">
        <v>1.52</v>
      </c>
      <c r="Q11" t="s">
        <v>132</v>
      </c>
      <c r="R11">
        <v>1.91</v>
      </c>
    </row>
    <row r="12" spans="1:28">
      <c r="A12">
        <v>8</v>
      </c>
      <c r="B12" t="s">
        <v>133</v>
      </c>
      <c r="C12" t="s">
        <v>134</v>
      </c>
      <c r="D12" t="s">
        <v>39</v>
      </c>
      <c r="E12" t="s">
        <v>135</v>
      </c>
      <c r="F12">
        <v>5.5</v>
      </c>
      <c r="G12" t="s">
        <v>136</v>
      </c>
      <c r="H12">
        <v>8.07</v>
      </c>
      <c r="I12" t="s">
        <v>137</v>
      </c>
      <c r="J12">
        <v>8.24</v>
      </c>
      <c r="K12" t="s">
        <v>138</v>
      </c>
      <c r="L12">
        <v>8.33</v>
      </c>
      <c r="M12" t="s">
        <v>139</v>
      </c>
      <c r="N12">
        <v>3.16</v>
      </c>
      <c r="O12" t="s">
        <v>140</v>
      </c>
      <c r="P12">
        <v>2.65</v>
      </c>
      <c r="Q12" t="s">
        <v>141</v>
      </c>
      <c r="R12">
        <v>3.24</v>
      </c>
    </row>
    <row r="13" spans="1:28">
      <c r="A13">
        <v>9</v>
      </c>
      <c r="B13" t="s">
        <v>142</v>
      </c>
      <c r="C13" t="s">
        <v>143</v>
      </c>
      <c r="D13" t="s">
        <v>44</v>
      </c>
      <c r="E13" t="s">
        <v>144</v>
      </c>
      <c r="F13">
        <v>4.37</v>
      </c>
      <c r="G13" t="s">
        <v>145</v>
      </c>
      <c r="H13">
        <v>3.75</v>
      </c>
      <c r="I13" t="s">
        <v>146</v>
      </c>
      <c r="J13">
        <v>3.6</v>
      </c>
    </row>
    <row r="14" spans="1:28">
      <c r="A14">
        <v>10</v>
      </c>
      <c r="B14" t="s">
        <v>147</v>
      </c>
      <c r="C14" t="s">
        <v>148</v>
      </c>
      <c r="D14" t="s">
        <v>39</v>
      </c>
      <c r="E14" t="s">
        <v>149</v>
      </c>
      <c r="F14">
        <v>4.3899999999999997</v>
      </c>
      <c r="G14" t="s">
        <v>150</v>
      </c>
      <c r="H14">
        <v>3.18</v>
      </c>
      <c r="I14" t="s">
        <v>151</v>
      </c>
      <c r="J14">
        <v>2.0099999999999998</v>
      </c>
      <c r="K14" t="s">
        <v>152</v>
      </c>
      <c r="L14">
        <v>2.23</v>
      </c>
      <c r="M14" t="s">
        <v>153</v>
      </c>
      <c r="N14">
        <v>2.62</v>
      </c>
      <c r="O14" t="s">
        <v>154</v>
      </c>
      <c r="P14">
        <v>1.63</v>
      </c>
    </row>
    <row r="15" spans="1:28">
      <c r="A15">
        <v>11</v>
      </c>
      <c r="B15" t="s">
        <v>155</v>
      </c>
      <c r="C15" t="s">
        <v>156</v>
      </c>
      <c r="D15" t="s">
        <v>44</v>
      </c>
      <c r="E15" t="s">
        <v>157</v>
      </c>
      <c r="F15">
        <v>5.73</v>
      </c>
      <c r="G15" t="s">
        <v>158</v>
      </c>
      <c r="H15">
        <v>12.95</v>
      </c>
      <c r="I15" t="s">
        <v>159</v>
      </c>
      <c r="J15">
        <v>23.55</v>
      </c>
      <c r="K15" t="s">
        <v>160</v>
      </c>
      <c r="L15">
        <v>9.1199999999999992</v>
      </c>
      <c r="M15" t="s">
        <v>161</v>
      </c>
      <c r="N15">
        <v>5.75</v>
      </c>
      <c r="O15" t="s">
        <v>162</v>
      </c>
      <c r="P15">
        <v>3.78</v>
      </c>
    </row>
    <row r="16" spans="1:28">
      <c r="A16">
        <v>12</v>
      </c>
      <c r="B16" t="s">
        <v>163</v>
      </c>
      <c r="C16" t="s">
        <v>164</v>
      </c>
      <c r="D16" t="s">
        <v>44</v>
      </c>
      <c r="E16" t="s">
        <v>166</v>
      </c>
      <c r="F16">
        <v>482.7</v>
      </c>
      <c r="G16" t="s">
        <v>167</v>
      </c>
      <c r="H16">
        <v>169.8</v>
      </c>
      <c r="I16" t="s">
        <v>168</v>
      </c>
      <c r="J16">
        <v>122.5</v>
      </c>
      <c r="K16" t="s">
        <v>169</v>
      </c>
      <c r="L16">
        <v>24.54</v>
      </c>
      <c r="M16" t="s">
        <v>170</v>
      </c>
      <c r="N16">
        <v>6.44</v>
      </c>
      <c r="O16" t="s">
        <v>171</v>
      </c>
      <c r="P16">
        <v>3.63</v>
      </c>
      <c r="Q16" t="s">
        <v>172</v>
      </c>
      <c r="R16">
        <v>3.35</v>
      </c>
      <c r="S16" t="s">
        <v>173</v>
      </c>
      <c r="T16">
        <v>3.53</v>
      </c>
    </row>
    <row r="17" spans="1:32">
      <c r="A17">
        <v>13</v>
      </c>
      <c r="B17" t="s">
        <v>174</v>
      </c>
      <c r="C17" t="s">
        <v>164</v>
      </c>
      <c r="D17" t="s">
        <v>44</v>
      </c>
      <c r="E17" t="s">
        <v>175</v>
      </c>
      <c r="F17">
        <v>125.4</v>
      </c>
      <c r="G17" t="s">
        <v>177</v>
      </c>
      <c r="H17">
        <v>125.4</v>
      </c>
      <c r="I17" t="s">
        <v>176</v>
      </c>
      <c r="J17">
        <v>65.41</v>
      </c>
      <c r="K17" t="s">
        <v>178</v>
      </c>
      <c r="L17">
        <v>22.77</v>
      </c>
      <c r="M17" t="s">
        <v>179</v>
      </c>
      <c r="N17">
        <v>7.29</v>
      </c>
      <c r="O17" t="s">
        <v>180</v>
      </c>
      <c r="P17">
        <v>4.22</v>
      </c>
      <c r="Q17" t="s">
        <v>181</v>
      </c>
      <c r="R17">
        <v>4.29</v>
      </c>
      <c r="S17" t="s">
        <v>182</v>
      </c>
      <c r="T17">
        <v>1.89</v>
      </c>
      <c r="U17" t="s">
        <v>183</v>
      </c>
      <c r="V17">
        <v>3.56</v>
      </c>
    </row>
    <row r="18" spans="1:32">
      <c r="A18">
        <v>14</v>
      </c>
      <c r="B18" t="s">
        <v>184</v>
      </c>
      <c r="C18" t="s">
        <v>185</v>
      </c>
      <c r="D18" t="s">
        <v>39</v>
      </c>
      <c r="E18" t="s">
        <v>186</v>
      </c>
      <c r="F18">
        <v>210.7</v>
      </c>
      <c r="G18" t="s">
        <v>187</v>
      </c>
      <c r="H18">
        <v>248.8</v>
      </c>
      <c r="I18" t="s">
        <v>188</v>
      </c>
      <c r="J18">
        <v>108.5</v>
      </c>
      <c r="K18" t="s">
        <v>189</v>
      </c>
      <c r="L18">
        <v>24.3</v>
      </c>
      <c r="M18" t="s">
        <v>190</v>
      </c>
      <c r="N18">
        <v>11.5</v>
      </c>
      <c r="O18" t="s">
        <v>191</v>
      </c>
      <c r="P18">
        <v>4.5</v>
      </c>
      <c r="Q18" t="s">
        <v>192</v>
      </c>
      <c r="R18">
        <v>2.73</v>
      </c>
      <c r="S18" t="s">
        <v>193</v>
      </c>
      <c r="T18">
        <v>2.11</v>
      </c>
      <c r="U18" t="s">
        <v>194</v>
      </c>
      <c r="V18">
        <v>2.1</v>
      </c>
      <c r="W18" t="s">
        <v>195</v>
      </c>
      <c r="X18">
        <v>2.0499999999999998</v>
      </c>
    </row>
    <row r="19" spans="1:32">
      <c r="A19">
        <v>15</v>
      </c>
      <c r="B19" t="s">
        <v>197</v>
      </c>
      <c r="C19" t="s">
        <v>196</v>
      </c>
      <c r="D19" t="s">
        <v>44</v>
      </c>
      <c r="E19" t="s">
        <v>198</v>
      </c>
      <c r="F19">
        <v>12.73</v>
      </c>
      <c r="G19" s="14" t="s">
        <v>199</v>
      </c>
      <c r="H19">
        <v>13.87</v>
      </c>
      <c r="I19" t="s">
        <v>200</v>
      </c>
      <c r="J19">
        <v>11.42</v>
      </c>
      <c r="K19" t="s">
        <v>201</v>
      </c>
      <c r="L19">
        <v>5.81</v>
      </c>
      <c r="M19" t="s">
        <v>202</v>
      </c>
      <c r="N19">
        <v>4.8099999999999996</v>
      </c>
      <c r="O19" t="s">
        <v>203</v>
      </c>
      <c r="P19">
        <v>3.58</v>
      </c>
      <c r="Q19" t="s">
        <v>204</v>
      </c>
      <c r="R19">
        <v>2.0499999999999998</v>
      </c>
    </row>
    <row r="20" spans="1:32">
      <c r="A20">
        <v>16</v>
      </c>
      <c r="B20" t="s">
        <v>205</v>
      </c>
      <c r="C20" t="s">
        <v>206</v>
      </c>
      <c r="D20" t="s">
        <v>41</v>
      </c>
      <c r="E20" t="s">
        <v>207</v>
      </c>
      <c r="F20">
        <v>257.3</v>
      </c>
      <c r="G20" t="s">
        <v>208</v>
      </c>
      <c r="H20" t="s">
        <v>209</v>
      </c>
      <c r="I20" s="14" t="s">
        <v>210</v>
      </c>
      <c r="J20">
        <v>260.3</v>
      </c>
      <c r="K20" t="s">
        <v>211</v>
      </c>
      <c r="L20">
        <v>91.75</v>
      </c>
      <c r="M20" t="s">
        <v>212</v>
      </c>
      <c r="N20">
        <v>10.56</v>
      </c>
      <c r="O20" t="s">
        <v>213</v>
      </c>
      <c r="P20">
        <v>5.04</v>
      </c>
      <c r="Q20" t="s">
        <v>214</v>
      </c>
      <c r="R20">
        <v>4.91</v>
      </c>
      <c r="S20" t="s">
        <v>215</v>
      </c>
      <c r="T20">
        <v>6.47</v>
      </c>
      <c r="U20" t="s">
        <v>216</v>
      </c>
      <c r="V20">
        <v>6.47</v>
      </c>
      <c r="W20" t="s">
        <v>217</v>
      </c>
      <c r="X20">
        <v>5.29</v>
      </c>
    </row>
    <row r="21" spans="1:32" s="14" customFormat="1">
      <c r="A21" s="14">
        <v>17</v>
      </c>
      <c r="B21" s="14" t="s">
        <v>218</v>
      </c>
      <c r="C21" s="14" t="s">
        <v>206</v>
      </c>
      <c r="D21" s="14" t="s">
        <v>44</v>
      </c>
      <c r="E21" s="14" t="s">
        <v>219</v>
      </c>
      <c r="F21" s="14" t="s">
        <v>209</v>
      </c>
      <c r="G21" s="14" t="s">
        <v>220</v>
      </c>
      <c r="H21" s="14">
        <v>429.5</v>
      </c>
      <c r="I21" s="14" t="s">
        <v>221</v>
      </c>
      <c r="J21" s="14">
        <v>184.8</v>
      </c>
      <c r="K21" s="14" t="s">
        <v>222</v>
      </c>
      <c r="L21" s="14">
        <v>18.03</v>
      </c>
      <c r="M21" s="14" t="s">
        <v>223</v>
      </c>
      <c r="N21" s="14">
        <v>5.81</v>
      </c>
      <c r="O21" s="14" t="s">
        <v>224</v>
      </c>
      <c r="P21" s="14">
        <v>3.55</v>
      </c>
      <c r="Q21" s="14" t="s">
        <v>225</v>
      </c>
      <c r="R21" s="14">
        <v>3.18</v>
      </c>
      <c r="S21" s="14" t="s">
        <v>226</v>
      </c>
      <c r="T21" s="14">
        <v>2.12</v>
      </c>
    </row>
    <row r="22" spans="1:32">
      <c r="A22">
        <v>18</v>
      </c>
      <c r="B22" t="s">
        <v>227</v>
      </c>
      <c r="C22" t="s">
        <v>228</v>
      </c>
      <c r="D22" t="s">
        <v>39</v>
      </c>
      <c r="E22" t="s">
        <v>229</v>
      </c>
      <c r="F22">
        <v>237.4</v>
      </c>
      <c r="G22" t="s">
        <v>230</v>
      </c>
      <c r="H22">
        <v>250.8</v>
      </c>
      <c r="I22" t="s">
        <v>231</v>
      </c>
      <c r="J22">
        <v>103.3</v>
      </c>
      <c r="K22" t="s">
        <v>232</v>
      </c>
      <c r="L22">
        <v>14.89</v>
      </c>
      <c r="M22" t="s">
        <v>233</v>
      </c>
      <c r="N22">
        <v>4.0999999999999996</v>
      </c>
      <c r="O22" t="s">
        <v>234</v>
      </c>
      <c r="P22">
        <v>2.65</v>
      </c>
      <c r="Q22" t="s">
        <v>235</v>
      </c>
      <c r="R22">
        <v>1.9</v>
      </c>
      <c r="S22" t="s">
        <v>236</v>
      </c>
      <c r="T22">
        <v>1.62</v>
      </c>
      <c r="U22" t="s">
        <v>237</v>
      </c>
      <c r="V22">
        <v>1.58</v>
      </c>
      <c r="W22" t="s">
        <v>238</v>
      </c>
      <c r="X22">
        <v>2.37</v>
      </c>
      <c r="Y22" t="s">
        <v>239</v>
      </c>
      <c r="Z22">
        <v>4.1900000000000004</v>
      </c>
      <c r="AA22" t="s">
        <v>240</v>
      </c>
      <c r="AB22">
        <v>3.67</v>
      </c>
      <c r="AC22" t="s">
        <v>241</v>
      </c>
      <c r="AD22">
        <v>1.7</v>
      </c>
      <c r="AE22" t="s">
        <v>242</v>
      </c>
      <c r="AF22">
        <v>1.52</v>
      </c>
    </row>
    <row r="23" spans="1:32" s="14" customFormat="1">
      <c r="A23" s="14">
        <v>19</v>
      </c>
      <c r="B23" s="14" t="s">
        <v>249</v>
      </c>
      <c r="C23" s="14" t="s">
        <v>250</v>
      </c>
      <c r="D23" s="14" t="s">
        <v>39</v>
      </c>
      <c r="E23" s="14" t="s">
        <v>252</v>
      </c>
      <c r="F23" s="14">
        <v>377.7</v>
      </c>
      <c r="G23" s="14" t="s">
        <v>251</v>
      </c>
      <c r="H23" s="14">
        <v>304</v>
      </c>
      <c r="I23" s="14" t="s">
        <v>253</v>
      </c>
      <c r="J23" s="14">
        <v>228.4</v>
      </c>
      <c r="K23" s="14" t="s">
        <v>254</v>
      </c>
      <c r="L23" s="14">
        <v>3.94</v>
      </c>
      <c r="M23" s="14" t="s">
        <v>255</v>
      </c>
      <c r="N23" s="14">
        <v>5.23</v>
      </c>
      <c r="O23" s="14" t="s">
        <v>256</v>
      </c>
      <c r="P23" s="14">
        <v>5.68</v>
      </c>
      <c r="Q23" s="14" t="s">
        <v>257</v>
      </c>
      <c r="R23" s="14">
        <v>6.34</v>
      </c>
    </row>
    <row r="24" spans="1:32">
      <c r="A24">
        <v>20</v>
      </c>
      <c r="B24" t="s">
        <v>258</v>
      </c>
      <c r="C24" t="s">
        <v>259</v>
      </c>
      <c r="D24" t="s">
        <v>41</v>
      </c>
      <c r="E24" t="s">
        <v>260</v>
      </c>
      <c r="F24">
        <v>292.39999999999998</v>
      </c>
      <c r="G24" t="s">
        <v>261</v>
      </c>
      <c r="H24">
        <v>345.5</v>
      </c>
      <c r="I24" t="s">
        <v>262</v>
      </c>
      <c r="J24">
        <v>151.19999999999999</v>
      </c>
      <c r="K24" t="s">
        <v>263</v>
      </c>
      <c r="L24">
        <v>17.02</v>
      </c>
      <c r="M24" t="s">
        <v>264</v>
      </c>
      <c r="N24">
        <v>5.85</v>
      </c>
      <c r="O24" t="s">
        <v>265</v>
      </c>
      <c r="P24">
        <v>3.24</v>
      </c>
      <c r="Q24" t="s">
        <v>266</v>
      </c>
      <c r="R24">
        <v>3.05</v>
      </c>
      <c r="S24" t="s">
        <v>267</v>
      </c>
      <c r="T24">
        <v>2.74</v>
      </c>
      <c r="U24" t="s">
        <v>268</v>
      </c>
      <c r="V24">
        <v>2.65</v>
      </c>
      <c r="W24" t="s">
        <v>269</v>
      </c>
      <c r="X24">
        <v>3.24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workbookViewId="0">
      <selection activeCell="D29" sqref="D29"/>
    </sheetView>
  </sheetViews>
  <sheetFormatPr defaultColWidth="11.42578125" defaultRowHeight="15"/>
  <cols>
    <col min="1" max="1" width="23" bestFit="1" customWidth="1"/>
  </cols>
  <sheetData>
    <row r="1" spans="1:15" s="29" customFormat="1">
      <c r="A1" s="29" t="s">
        <v>354</v>
      </c>
      <c r="B1" s="29" t="s">
        <v>355</v>
      </c>
      <c r="C1" s="29" t="s">
        <v>356</v>
      </c>
      <c r="D1" s="29" t="s">
        <v>357</v>
      </c>
      <c r="E1" s="29" t="s">
        <v>358</v>
      </c>
      <c r="F1" s="29" t="s">
        <v>359</v>
      </c>
      <c r="G1" s="29" t="s">
        <v>360</v>
      </c>
      <c r="H1" s="29" t="s">
        <v>361</v>
      </c>
      <c r="I1" s="29" t="s">
        <v>362</v>
      </c>
      <c r="J1" s="29" t="s">
        <v>363</v>
      </c>
      <c r="K1" s="29" t="s">
        <v>364</v>
      </c>
      <c r="L1" s="29" t="s">
        <v>365</v>
      </c>
      <c r="M1" s="29" t="s">
        <v>366</v>
      </c>
      <c r="N1" s="29" t="s">
        <v>367</v>
      </c>
      <c r="O1" s="29" t="s">
        <v>368</v>
      </c>
    </row>
    <row r="2" spans="1:15">
      <c r="A2" t="s">
        <v>31</v>
      </c>
      <c r="B2" s="14">
        <v>9.51</v>
      </c>
      <c r="C2">
        <v>10.91</v>
      </c>
      <c r="D2">
        <v>11.3</v>
      </c>
      <c r="E2">
        <v>3.1</v>
      </c>
    </row>
    <row r="3" spans="1:15">
      <c r="A3" t="s">
        <v>83</v>
      </c>
      <c r="B3" s="14">
        <v>3.82</v>
      </c>
      <c r="C3">
        <v>12.48</v>
      </c>
      <c r="D3">
        <v>11.17</v>
      </c>
      <c r="E3">
        <v>5.59</v>
      </c>
      <c r="F3">
        <v>2.65</v>
      </c>
      <c r="G3">
        <v>3.79</v>
      </c>
      <c r="H3">
        <v>8.5399999999999991</v>
      </c>
      <c r="I3">
        <v>3.58</v>
      </c>
      <c r="J3">
        <v>1.73</v>
      </c>
      <c r="K3">
        <v>0.86</v>
      </c>
      <c r="L3">
        <v>1.04</v>
      </c>
    </row>
    <row r="4" spans="1:15">
      <c r="A4" t="s">
        <v>32</v>
      </c>
      <c r="B4">
        <v>273.3</v>
      </c>
      <c r="C4">
        <v>6.94</v>
      </c>
      <c r="D4">
        <v>226.8</v>
      </c>
      <c r="E4">
        <v>18.73</v>
      </c>
      <c r="F4">
        <v>5.0999999999999996</v>
      </c>
      <c r="G4">
        <v>2.77</v>
      </c>
      <c r="H4">
        <v>2.59</v>
      </c>
      <c r="I4">
        <v>2.2799999999999998</v>
      </c>
    </row>
    <row r="5" spans="1:15">
      <c r="A5" t="s">
        <v>104</v>
      </c>
      <c r="B5">
        <v>8.8000000000000007</v>
      </c>
      <c r="C5">
        <v>20.22</v>
      </c>
      <c r="D5">
        <v>17.350000000000001</v>
      </c>
      <c r="E5">
        <v>7.4</v>
      </c>
      <c r="F5">
        <v>3.22</v>
      </c>
      <c r="G5">
        <v>2.86</v>
      </c>
      <c r="H5">
        <v>1.94</v>
      </c>
      <c r="I5">
        <v>1.64</v>
      </c>
      <c r="J5">
        <v>1.44</v>
      </c>
    </row>
    <row r="6" spans="1:15">
      <c r="A6" t="s">
        <v>48</v>
      </c>
      <c r="B6">
        <v>169.4</v>
      </c>
      <c r="C6">
        <v>287</v>
      </c>
      <c r="D6">
        <v>251.6</v>
      </c>
      <c r="E6">
        <v>31.87</v>
      </c>
      <c r="F6">
        <v>9.64</v>
      </c>
      <c r="G6">
        <v>6.12</v>
      </c>
      <c r="H6">
        <v>5.26</v>
      </c>
    </row>
    <row r="7" spans="1:15">
      <c r="A7" t="s">
        <v>33</v>
      </c>
      <c r="B7">
        <v>45.42</v>
      </c>
      <c r="C7">
        <v>60.54</v>
      </c>
      <c r="D7">
        <v>34.909999999999997</v>
      </c>
      <c r="E7">
        <v>3.92</v>
      </c>
      <c r="F7">
        <v>1.49</v>
      </c>
    </row>
    <row r="8" spans="1:15">
      <c r="A8" t="s">
        <v>34</v>
      </c>
      <c r="B8">
        <v>8.18</v>
      </c>
      <c r="C8">
        <v>28.97</v>
      </c>
      <c r="D8">
        <v>36.69</v>
      </c>
      <c r="E8">
        <v>6.5</v>
      </c>
      <c r="F8">
        <v>1.76</v>
      </c>
      <c r="G8">
        <v>1.52</v>
      </c>
      <c r="H8">
        <v>1.91</v>
      </c>
    </row>
    <row r="9" spans="1:15">
      <c r="A9" t="s">
        <v>133</v>
      </c>
      <c r="B9">
        <v>5.5</v>
      </c>
      <c r="C9">
        <v>8.07</v>
      </c>
      <c r="D9">
        <v>8.24</v>
      </c>
      <c r="E9">
        <v>8.33</v>
      </c>
      <c r="F9">
        <v>3.16</v>
      </c>
      <c r="G9">
        <v>2.65</v>
      </c>
      <c r="H9">
        <v>3.24</v>
      </c>
    </row>
    <row r="10" spans="1:15">
      <c r="A10" t="s">
        <v>142</v>
      </c>
      <c r="B10">
        <v>4.37</v>
      </c>
      <c r="C10">
        <v>3.75</v>
      </c>
      <c r="D10">
        <v>3.6</v>
      </c>
    </row>
    <row r="11" spans="1:15">
      <c r="A11" t="s">
        <v>147</v>
      </c>
      <c r="B11">
        <v>4.3899999999999997</v>
      </c>
      <c r="C11">
        <v>3.18</v>
      </c>
      <c r="D11">
        <v>2.0099999999999998</v>
      </c>
      <c r="E11">
        <v>2.23</v>
      </c>
      <c r="F11">
        <v>2.62</v>
      </c>
      <c r="G11">
        <v>1.63</v>
      </c>
    </row>
    <row r="12" spans="1:15">
      <c r="A12" t="s">
        <v>155</v>
      </c>
      <c r="B12">
        <v>5.73</v>
      </c>
      <c r="C12">
        <v>12.95</v>
      </c>
      <c r="D12">
        <v>23.55</v>
      </c>
      <c r="E12">
        <v>9.1199999999999992</v>
      </c>
      <c r="F12">
        <v>5.75</v>
      </c>
      <c r="G12">
        <v>3.78</v>
      </c>
    </row>
    <row r="13" spans="1:15">
      <c r="A13" t="s">
        <v>163</v>
      </c>
      <c r="B13">
        <v>482.7</v>
      </c>
      <c r="C13">
        <v>169.8</v>
      </c>
      <c r="D13">
        <v>122.5</v>
      </c>
      <c r="E13">
        <v>24.54</v>
      </c>
      <c r="F13">
        <v>6.44</v>
      </c>
      <c r="G13">
        <v>3.63</v>
      </c>
      <c r="H13">
        <v>3.35</v>
      </c>
      <c r="I13">
        <v>3.53</v>
      </c>
    </row>
    <row r="14" spans="1:15">
      <c r="A14" t="s">
        <v>174</v>
      </c>
      <c r="B14">
        <v>125.4</v>
      </c>
      <c r="C14">
        <v>125.4</v>
      </c>
      <c r="D14">
        <v>65.41</v>
      </c>
      <c r="E14">
        <v>22.77</v>
      </c>
      <c r="F14">
        <v>7.29</v>
      </c>
      <c r="G14">
        <v>4.22</v>
      </c>
      <c r="H14">
        <v>4.29</v>
      </c>
      <c r="I14">
        <v>1.89</v>
      </c>
      <c r="J14">
        <v>3.56</v>
      </c>
    </row>
    <row r="15" spans="1:15">
      <c r="A15" t="s">
        <v>184</v>
      </c>
      <c r="B15">
        <v>210.7</v>
      </c>
      <c r="C15">
        <v>248.8</v>
      </c>
      <c r="D15">
        <v>108.5</v>
      </c>
      <c r="E15">
        <v>24.3</v>
      </c>
      <c r="F15">
        <v>11.5</v>
      </c>
      <c r="G15">
        <v>4.5</v>
      </c>
      <c r="H15">
        <v>2.73</v>
      </c>
      <c r="I15">
        <v>2.11</v>
      </c>
      <c r="J15">
        <v>2.1</v>
      </c>
      <c r="K15">
        <v>2.0499999999999998</v>
      </c>
    </row>
    <row r="16" spans="1:15">
      <c r="A16" t="s">
        <v>197</v>
      </c>
      <c r="B16">
        <v>12.73</v>
      </c>
      <c r="C16">
        <v>13.87</v>
      </c>
      <c r="D16">
        <v>11.42</v>
      </c>
      <c r="E16">
        <v>5.81</v>
      </c>
      <c r="F16">
        <v>4.8099999999999996</v>
      </c>
      <c r="G16">
        <v>3.58</v>
      </c>
      <c r="H16">
        <v>2.0499999999999998</v>
      </c>
    </row>
    <row r="17" spans="1:15">
      <c r="A17" t="s">
        <v>205</v>
      </c>
      <c r="B17">
        <v>257.3</v>
      </c>
      <c r="C17" s="19">
        <v>300</v>
      </c>
      <c r="D17">
        <v>260.3</v>
      </c>
      <c r="E17">
        <v>91.75</v>
      </c>
      <c r="F17">
        <v>10.56</v>
      </c>
      <c r="G17">
        <v>5.04</v>
      </c>
      <c r="H17">
        <v>4.91</v>
      </c>
      <c r="I17">
        <v>6.47</v>
      </c>
      <c r="J17">
        <v>6.47</v>
      </c>
      <c r="K17">
        <v>5.29</v>
      </c>
    </row>
    <row r="18" spans="1:15">
      <c r="A18" s="14" t="s">
        <v>218</v>
      </c>
      <c r="B18" s="19">
        <v>300</v>
      </c>
      <c r="C18" s="24">
        <v>429.5</v>
      </c>
      <c r="D18" s="24">
        <v>184.8</v>
      </c>
      <c r="E18" s="24">
        <v>18.03</v>
      </c>
      <c r="F18" s="24">
        <v>5.81</v>
      </c>
      <c r="G18" s="24">
        <v>3.55</v>
      </c>
      <c r="H18" s="24">
        <v>3.18</v>
      </c>
      <c r="I18" s="24">
        <v>2.12</v>
      </c>
      <c r="J18" s="24"/>
      <c r="K18" s="24"/>
      <c r="L18" s="24"/>
      <c r="M18" s="24"/>
      <c r="N18" s="24"/>
      <c r="O18" s="24"/>
    </row>
    <row r="19" spans="1:15">
      <c r="A19" t="s">
        <v>227</v>
      </c>
      <c r="B19">
        <v>237.4</v>
      </c>
      <c r="C19">
        <v>250.8</v>
      </c>
      <c r="D19">
        <v>103.3</v>
      </c>
      <c r="E19">
        <v>14.89</v>
      </c>
      <c r="F19">
        <v>4.0999999999999996</v>
      </c>
      <c r="G19">
        <v>2.65</v>
      </c>
      <c r="H19">
        <v>1.9</v>
      </c>
      <c r="I19">
        <v>1.62</v>
      </c>
      <c r="J19">
        <v>1.58</v>
      </c>
      <c r="K19">
        <v>2.37</v>
      </c>
      <c r="L19">
        <v>4.1900000000000004</v>
      </c>
      <c r="M19">
        <v>3.67</v>
      </c>
      <c r="N19">
        <v>1.7</v>
      </c>
      <c r="O19">
        <v>1.52</v>
      </c>
    </row>
    <row r="20" spans="1:15">
      <c r="A20" s="14" t="s">
        <v>249</v>
      </c>
      <c r="B20" s="24">
        <v>377.7</v>
      </c>
      <c r="C20" s="24">
        <v>304</v>
      </c>
      <c r="D20" s="24">
        <v>228.4</v>
      </c>
      <c r="E20" s="24">
        <v>3.94</v>
      </c>
      <c r="F20" s="24">
        <v>5.23</v>
      </c>
      <c r="G20" s="24">
        <v>5.68</v>
      </c>
      <c r="H20" s="24">
        <v>6.34</v>
      </c>
      <c r="I20" s="24"/>
      <c r="J20" s="24"/>
      <c r="K20" s="24"/>
      <c r="L20" s="24"/>
      <c r="M20" s="24"/>
      <c r="N20" s="24"/>
      <c r="O20" s="24"/>
    </row>
    <row r="21" spans="1:15">
      <c r="A21" t="s">
        <v>258</v>
      </c>
      <c r="B21">
        <v>292.39999999999998</v>
      </c>
      <c r="C21">
        <v>345.5</v>
      </c>
      <c r="D21">
        <v>151.19999999999999</v>
      </c>
      <c r="E21">
        <v>17.02</v>
      </c>
      <c r="F21">
        <v>5.85</v>
      </c>
      <c r="G21">
        <v>3.24</v>
      </c>
      <c r="H21">
        <v>3.05</v>
      </c>
      <c r="I21">
        <v>2.74</v>
      </c>
      <c r="J21">
        <v>2.65</v>
      </c>
      <c r="K21">
        <v>3.24</v>
      </c>
    </row>
    <row r="23" spans="1:15">
      <c r="A23" s="19" t="s">
        <v>369</v>
      </c>
      <c r="B2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5"/>
  <sheetViews>
    <sheetView tabSelected="1" workbookViewId="0">
      <selection activeCell="B24" sqref="B7:B24"/>
    </sheetView>
  </sheetViews>
  <sheetFormatPr defaultColWidth="11.42578125" defaultRowHeight="15"/>
  <cols>
    <col min="2" max="2" width="29.5703125" customWidth="1"/>
    <col min="3" max="3" width="18.140625" customWidth="1"/>
    <col min="5" max="6" width="24.85546875" customWidth="1"/>
    <col min="7" max="7" width="15.28515625" customWidth="1"/>
    <col min="9" max="9" width="21.28515625" customWidth="1"/>
    <col min="10" max="10" width="24.85546875" customWidth="1"/>
    <col min="11" max="12" width="12.7109375" customWidth="1"/>
    <col min="13" max="14" width="21.7109375" customWidth="1"/>
    <col min="15" max="15" width="12.140625" bestFit="1" customWidth="1"/>
    <col min="17" max="19" width="22.85546875" customWidth="1"/>
    <col min="21" max="22" width="20" customWidth="1"/>
    <col min="23" max="23" width="12.140625" bestFit="1" customWidth="1"/>
    <col min="24" max="24" width="8" bestFit="1" customWidth="1"/>
    <col min="25" max="25" width="19.42578125" bestFit="1" customWidth="1"/>
    <col min="26" max="26" width="13.28515625" bestFit="1" customWidth="1"/>
    <col min="27" max="27" width="12.140625" bestFit="1" customWidth="1"/>
    <col min="29" max="30" width="22" customWidth="1"/>
    <col min="31" max="31" width="22" bestFit="1" customWidth="1"/>
    <col min="33" max="34" width="22.42578125" customWidth="1"/>
    <col min="35" max="35" width="22.42578125" bestFit="1" customWidth="1"/>
    <col min="37" max="38" width="22.42578125" customWidth="1"/>
    <col min="39" max="39" width="22.42578125" bestFit="1" customWidth="1"/>
    <col min="41" max="42" width="22" customWidth="1"/>
    <col min="43" max="43" width="22" bestFit="1" customWidth="1"/>
    <col min="45" max="46" width="22" customWidth="1"/>
    <col min="47" max="47" width="22" bestFit="1" customWidth="1"/>
    <col min="49" max="50" width="22" customWidth="1"/>
    <col min="51" max="51" width="22" bestFit="1" customWidth="1"/>
    <col min="53" max="54" width="22" customWidth="1"/>
    <col min="55" max="55" width="22" bestFit="1" customWidth="1"/>
    <col min="56" max="56" width="9" bestFit="1" customWidth="1"/>
    <col min="57" max="58" width="22" customWidth="1"/>
    <col min="59" max="59" width="22" bestFit="1" customWidth="1"/>
  </cols>
  <sheetData>
    <row r="1" spans="1:60">
      <c r="A1" s="28" t="s">
        <v>328</v>
      </c>
    </row>
    <row r="2" spans="1:60">
      <c r="A2" s="24" t="s">
        <v>329</v>
      </c>
      <c r="B2" s="24"/>
      <c r="C2" s="24"/>
      <c r="D2" s="24"/>
    </row>
    <row r="3" spans="1:60" ht="15.75">
      <c r="B3" s="1" t="s">
        <v>0</v>
      </c>
      <c r="C3" s="2" t="s">
        <v>1</v>
      </c>
      <c r="D3" s="3" t="s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5"/>
      <c r="AA3" s="5"/>
      <c r="AB3" s="5"/>
      <c r="AC3" s="4"/>
      <c r="AD3" s="4"/>
      <c r="AE3" s="4"/>
      <c r="AF3" s="4"/>
      <c r="AG3" s="4"/>
      <c r="AH3" s="4"/>
      <c r="AI3" s="4"/>
      <c r="AJ3" s="4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r="4" spans="1:60" ht="15.75">
      <c r="B4" s="4" t="s">
        <v>3</v>
      </c>
      <c r="C4" s="6" t="s">
        <v>4</v>
      </c>
      <c r="D4" s="4" t="s">
        <v>5</v>
      </c>
      <c r="E4" s="13" t="s">
        <v>270</v>
      </c>
      <c r="F4" s="13" t="s">
        <v>272</v>
      </c>
      <c r="G4" s="7" t="s">
        <v>6</v>
      </c>
      <c r="H4" s="7" t="s">
        <v>7</v>
      </c>
      <c r="I4" s="16" t="s">
        <v>271</v>
      </c>
      <c r="J4" s="13" t="s">
        <v>273</v>
      </c>
      <c r="K4" s="4" t="s">
        <v>8</v>
      </c>
      <c r="L4" s="4" t="s">
        <v>9</v>
      </c>
      <c r="M4" s="16" t="s">
        <v>274</v>
      </c>
      <c r="N4" s="16" t="s">
        <v>275</v>
      </c>
      <c r="O4" s="4" t="s">
        <v>10</v>
      </c>
      <c r="P4" s="4" t="s">
        <v>11</v>
      </c>
      <c r="Q4" s="16" t="s">
        <v>276</v>
      </c>
      <c r="R4" s="16" t="s">
        <v>277</v>
      </c>
      <c r="S4" s="4" t="s">
        <v>12</v>
      </c>
      <c r="T4" s="4" t="s">
        <v>13</v>
      </c>
      <c r="U4" s="16" t="s">
        <v>278</v>
      </c>
      <c r="V4" s="16" t="s">
        <v>279</v>
      </c>
      <c r="W4" s="4" t="s">
        <v>14</v>
      </c>
      <c r="X4" s="4" t="s">
        <v>15</v>
      </c>
      <c r="Y4" s="16" t="s">
        <v>280</v>
      </c>
      <c r="Z4" s="16" t="s">
        <v>282</v>
      </c>
      <c r="AA4" s="4" t="s">
        <v>16</v>
      </c>
      <c r="AB4" s="4" t="s">
        <v>17</v>
      </c>
      <c r="AC4" s="16" t="s">
        <v>281</v>
      </c>
      <c r="AD4" s="16" t="s">
        <v>283</v>
      </c>
      <c r="AE4" s="4" t="s">
        <v>18</v>
      </c>
      <c r="AF4" s="4" t="s">
        <v>19</v>
      </c>
      <c r="AG4" s="16" t="s">
        <v>284</v>
      </c>
      <c r="AH4" s="16" t="s">
        <v>285</v>
      </c>
      <c r="AI4" s="4" t="s">
        <v>20</v>
      </c>
      <c r="AJ4" s="4" t="s">
        <v>21</v>
      </c>
      <c r="AK4" s="16" t="s">
        <v>286</v>
      </c>
      <c r="AL4" s="16" t="s">
        <v>287</v>
      </c>
      <c r="AM4" s="4" t="s">
        <v>22</v>
      </c>
      <c r="AN4" s="4" t="s">
        <v>23</v>
      </c>
      <c r="AO4" s="16" t="s">
        <v>288</v>
      </c>
      <c r="AP4" s="16" t="s">
        <v>290</v>
      </c>
      <c r="AQ4" s="4" t="s">
        <v>24</v>
      </c>
      <c r="AR4" s="4" t="s">
        <v>25</v>
      </c>
      <c r="AS4" s="16" t="s">
        <v>289</v>
      </c>
      <c r="AT4" s="16" t="s">
        <v>291</v>
      </c>
      <c r="AU4" s="4" t="s">
        <v>26</v>
      </c>
      <c r="AV4" s="4" t="s">
        <v>27</v>
      </c>
      <c r="AW4" s="16" t="s">
        <v>298</v>
      </c>
      <c r="AX4" s="16" t="s">
        <v>299</v>
      </c>
      <c r="AY4" s="16" t="s">
        <v>292</v>
      </c>
      <c r="AZ4" s="16" t="s">
        <v>293</v>
      </c>
      <c r="BA4" s="16" t="s">
        <v>300</v>
      </c>
      <c r="BB4" s="16" t="s">
        <v>301</v>
      </c>
      <c r="BC4" s="16" t="s">
        <v>294</v>
      </c>
      <c r="BD4" s="16" t="s">
        <v>295</v>
      </c>
      <c r="BE4" s="16" t="s">
        <v>302</v>
      </c>
      <c r="BF4" s="16" t="s">
        <v>303</v>
      </c>
      <c r="BG4" s="16" t="s">
        <v>296</v>
      </c>
      <c r="BH4" s="16" t="s">
        <v>297</v>
      </c>
    </row>
    <row r="5" spans="1:60">
      <c r="A5">
        <v>1</v>
      </c>
      <c r="B5" t="s">
        <v>31</v>
      </c>
      <c r="C5" s="12">
        <v>42601.875</v>
      </c>
      <c r="D5" t="s">
        <v>39</v>
      </c>
      <c r="E5" s="15">
        <v>42604.629861111112</v>
      </c>
      <c r="F5" s="18">
        <f t="shared" ref="F5:F24" si="0">E5-C5</f>
        <v>2.7548611111124046</v>
      </c>
      <c r="G5" s="14">
        <v>0.81399999999999995</v>
      </c>
      <c r="H5" s="14">
        <v>9.51</v>
      </c>
      <c r="I5" s="15">
        <v>42604.613888888889</v>
      </c>
      <c r="J5" s="18">
        <f>I5-C5</f>
        <v>2.7388888888890506</v>
      </c>
      <c r="K5" s="14">
        <v>0.81399999999999995</v>
      </c>
      <c r="L5" s="14">
        <v>9.51</v>
      </c>
      <c r="M5" s="12">
        <v>42604.767361111109</v>
      </c>
      <c r="N5" s="17">
        <f t="shared" ref="N5:N24" si="1" xml:space="preserve"> M5-C5</f>
        <v>2.8923611111094942</v>
      </c>
      <c r="O5">
        <v>0.96699999999999997</v>
      </c>
      <c r="P5">
        <v>10.91</v>
      </c>
      <c r="Q5" s="12">
        <v>42605.790277777778</v>
      </c>
      <c r="R5" s="17">
        <f t="shared" ref="R5:R12" si="2" xml:space="preserve"> Q5-C5</f>
        <v>3.9152777777781012</v>
      </c>
      <c r="S5">
        <v>0.84799999999999998</v>
      </c>
      <c r="T5">
        <v>11.3</v>
      </c>
      <c r="U5" s="12">
        <v>42607.463194444441</v>
      </c>
      <c r="V5" s="17">
        <f t="shared" ref="V5:V12" si="3" xml:space="preserve"> U5-C5</f>
        <v>5.5881944444408873</v>
      </c>
      <c r="W5">
        <v>0.90900000000000003</v>
      </c>
      <c r="X5">
        <v>3.1</v>
      </c>
      <c r="AG5" s="12"/>
      <c r="AH5" s="17"/>
      <c r="AK5" s="12"/>
      <c r="AL5" s="17"/>
      <c r="AO5" s="12"/>
      <c r="AP5" s="17"/>
      <c r="AS5" s="12"/>
      <c r="AT5" s="17"/>
      <c r="AW5" s="12"/>
      <c r="AX5" s="17"/>
      <c r="BA5" s="12"/>
      <c r="BB5" s="17"/>
      <c r="BF5" s="17"/>
    </row>
    <row r="6" spans="1:60">
      <c r="A6">
        <v>2</v>
      </c>
      <c r="B6" t="s">
        <v>83</v>
      </c>
      <c r="C6" s="12">
        <v>42605.75</v>
      </c>
      <c r="D6" t="s">
        <v>44</v>
      </c>
      <c r="E6" s="15">
        <v>42605.947222222225</v>
      </c>
      <c r="F6" s="18">
        <f t="shared" si="0"/>
        <v>0.19722222222480923</v>
      </c>
      <c r="G6" s="14">
        <v>9.8000000000000004E-2</v>
      </c>
      <c r="H6" s="14">
        <v>3.82</v>
      </c>
      <c r="I6" s="15">
        <v>42605.946527777778</v>
      </c>
      <c r="J6" s="18">
        <f t="shared" ref="J5:J24" si="4" xml:space="preserve"> I6-C6</f>
        <v>0.19652777777810115</v>
      </c>
      <c r="K6" s="14">
        <v>9.8000000000000004E-2</v>
      </c>
      <c r="L6" s="14">
        <v>3.82</v>
      </c>
      <c r="M6" s="12">
        <v>42606.287499999999</v>
      </c>
      <c r="N6" s="17">
        <f t="shared" si="1"/>
        <v>0.53749999999854481</v>
      </c>
      <c r="O6">
        <v>0.13</v>
      </c>
      <c r="P6">
        <v>12.48</v>
      </c>
      <c r="Q6" s="12">
        <v>42606.356944444444</v>
      </c>
      <c r="R6" s="17">
        <f t="shared" si="2"/>
        <v>0.60694444444379769</v>
      </c>
      <c r="S6">
        <v>0.13100000000000001</v>
      </c>
      <c r="T6">
        <v>11.17</v>
      </c>
      <c r="U6" s="12">
        <v>42607.390277777777</v>
      </c>
      <c r="V6" s="17">
        <f t="shared" si="3"/>
        <v>1.640277777776646</v>
      </c>
      <c r="W6">
        <v>0.16300000000000001</v>
      </c>
      <c r="X6">
        <v>5.59</v>
      </c>
      <c r="Y6" s="12">
        <v>42608.399305555555</v>
      </c>
      <c r="Z6" s="17">
        <f xml:space="preserve"> Y6-C6</f>
        <v>2.6493055555547471</v>
      </c>
      <c r="AA6">
        <v>0.15</v>
      </c>
      <c r="AB6">
        <v>2.65</v>
      </c>
      <c r="AC6" s="11">
        <v>42608.788194444445</v>
      </c>
      <c r="AD6" s="17">
        <f xml:space="preserve"> AC6-C6</f>
        <v>3.0381944444452529</v>
      </c>
      <c r="AE6">
        <v>0.14699999999999999</v>
      </c>
      <c r="AF6">
        <v>3.79</v>
      </c>
      <c r="AG6" s="12">
        <v>42609.412499999999</v>
      </c>
      <c r="AH6" s="17">
        <f xml:space="preserve"> AG6-C6</f>
        <v>3.6624999999985448</v>
      </c>
      <c r="AI6">
        <v>0.17799999999999999</v>
      </c>
      <c r="AJ6">
        <v>8.5399999999999991</v>
      </c>
      <c r="AK6" s="12">
        <v>42610.393750000003</v>
      </c>
      <c r="AL6" s="17">
        <f xml:space="preserve"> AK6-C6</f>
        <v>4.6437500000029104</v>
      </c>
      <c r="AM6">
        <v>0.18099999999999999</v>
      </c>
      <c r="AN6">
        <v>3.58</v>
      </c>
      <c r="AO6" s="12">
        <v>42611.353472222225</v>
      </c>
      <c r="AP6" s="17">
        <f xml:space="preserve"> AO6-C6</f>
        <v>5.6034722222248092</v>
      </c>
      <c r="AQ6">
        <v>0.183</v>
      </c>
      <c r="AR6">
        <v>1.73</v>
      </c>
      <c r="AS6" s="12">
        <v>42612.37222222222</v>
      </c>
      <c r="AT6" s="17">
        <f>AS6-C6</f>
        <v>6.6222222222204437</v>
      </c>
      <c r="AU6">
        <v>0.13900000000000001</v>
      </c>
      <c r="AV6">
        <v>0.86</v>
      </c>
      <c r="AW6" s="12">
        <v>42613.451388888891</v>
      </c>
      <c r="AX6" s="17">
        <f>AW6-C6</f>
        <v>7.7013888888905058</v>
      </c>
      <c r="AY6">
        <v>9.4E-2</v>
      </c>
      <c r="AZ6">
        <v>1.04</v>
      </c>
      <c r="BA6" s="12"/>
      <c r="BB6" s="17"/>
      <c r="BF6" s="17"/>
    </row>
    <row r="7" spans="1:60">
      <c r="A7">
        <v>3</v>
      </c>
      <c r="B7" t="s">
        <v>32</v>
      </c>
      <c r="C7" s="12">
        <v>42605.583333333336</v>
      </c>
      <c r="D7" t="s">
        <v>39</v>
      </c>
      <c r="E7" s="12">
        <v>42605.833333333336</v>
      </c>
      <c r="F7" s="17">
        <f t="shared" si="0"/>
        <v>0.25</v>
      </c>
      <c r="G7">
        <v>12.9</v>
      </c>
      <c r="H7">
        <v>273.3</v>
      </c>
      <c r="I7" s="12">
        <v>42606.019444444442</v>
      </c>
      <c r="J7" s="17">
        <f t="shared" si="4"/>
        <v>0.43611111110658385</v>
      </c>
      <c r="K7">
        <v>6.94</v>
      </c>
      <c r="L7">
        <v>6.94</v>
      </c>
      <c r="M7" s="12">
        <v>42606.37222222222</v>
      </c>
      <c r="N7" s="17">
        <f t="shared" si="1"/>
        <v>0.788888888884685</v>
      </c>
      <c r="O7">
        <v>4.58</v>
      </c>
      <c r="P7">
        <v>226.8</v>
      </c>
      <c r="Q7" s="12">
        <v>42607.394444444442</v>
      </c>
      <c r="R7" s="17">
        <f t="shared" si="2"/>
        <v>1.8111111111065838</v>
      </c>
      <c r="S7">
        <v>2.93</v>
      </c>
      <c r="T7">
        <v>18.73</v>
      </c>
      <c r="U7" s="12">
        <v>42608.392361111109</v>
      </c>
      <c r="V7" s="17">
        <f t="shared" si="3"/>
        <v>2.8090277777737356</v>
      </c>
      <c r="W7">
        <v>4.08</v>
      </c>
      <c r="X7">
        <v>5.0999999999999996</v>
      </c>
      <c r="Y7" s="12">
        <v>42609.440972222219</v>
      </c>
      <c r="Z7" s="17">
        <f xml:space="preserve"> Y7-C7</f>
        <v>3.8576388888832298</v>
      </c>
      <c r="AA7">
        <v>3.72</v>
      </c>
      <c r="AB7">
        <v>2.77</v>
      </c>
      <c r="AC7" s="11">
        <v>42610.425000000003</v>
      </c>
      <c r="AD7" s="17">
        <f xml:space="preserve"> AC7-C7</f>
        <v>4.8416666666671517</v>
      </c>
      <c r="AE7">
        <v>2.41</v>
      </c>
      <c r="AF7">
        <v>2.59</v>
      </c>
      <c r="AG7" s="12">
        <v>42612.42083333333</v>
      </c>
      <c r="AH7" s="17">
        <f xml:space="preserve"> AG7-C7</f>
        <v>6.8374999999941792</v>
      </c>
      <c r="AI7">
        <v>0.67400000000000004</v>
      </c>
      <c r="AJ7">
        <v>2.2799999999999998</v>
      </c>
      <c r="AK7" s="12"/>
      <c r="AL7" s="17"/>
      <c r="AO7" s="12"/>
      <c r="AP7" s="17"/>
      <c r="AS7" s="12"/>
      <c r="AT7" s="17"/>
      <c r="AW7" s="12"/>
      <c r="AX7" s="17"/>
      <c r="BA7" s="12"/>
      <c r="BB7" s="17"/>
      <c r="BF7" s="17"/>
    </row>
    <row r="8" spans="1:60">
      <c r="A8">
        <v>4</v>
      </c>
      <c r="B8" t="s">
        <v>104</v>
      </c>
      <c r="C8" s="12">
        <v>42605.395833333336</v>
      </c>
      <c r="D8" t="s">
        <v>39</v>
      </c>
      <c r="E8" s="12">
        <v>42605.606944444444</v>
      </c>
      <c r="F8" s="17">
        <f t="shared" si="0"/>
        <v>0.21111111110803904</v>
      </c>
      <c r="G8">
        <v>0.189</v>
      </c>
      <c r="H8">
        <v>8.8000000000000007</v>
      </c>
      <c r="I8" s="12">
        <v>42605.825694444444</v>
      </c>
      <c r="J8" s="17">
        <f t="shared" si="4"/>
        <v>0.42986111110803904</v>
      </c>
      <c r="K8">
        <v>0.46800000000000003</v>
      </c>
      <c r="L8">
        <v>20.22</v>
      </c>
      <c r="M8" s="12">
        <v>42606.347222222219</v>
      </c>
      <c r="N8" s="17">
        <f t="shared" si="1"/>
        <v>0.95138888888322981</v>
      </c>
      <c r="O8">
        <v>0.32200000000000001</v>
      </c>
      <c r="P8">
        <v>17.350000000000001</v>
      </c>
      <c r="Q8" s="12">
        <v>42607.400694444441</v>
      </c>
      <c r="R8" s="17">
        <f t="shared" si="2"/>
        <v>2.0048611111051287</v>
      </c>
      <c r="S8">
        <v>0.23200000000000001</v>
      </c>
      <c r="T8">
        <v>7.4</v>
      </c>
      <c r="U8" s="12">
        <v>42608.399305555555</v>
      </c>
      <c r="V8" s="17">
        <f t="shared" si="3"/>
        <v>3.0034722222189885</v>
      </c>
      <c r="W8">
        <v>0.24</v>
      </c>
      <c r="X8">
        <v>3.22</v>
      </c>
      <c r="Y8" s="12">
        <v>42609.448611111111</v>
      </c>
      <c r="Z8" s="17">
        <f xml:space="preserve"> Y8-C8</f>
        <v>4.0527777777751908</v>
      </c>
      <c r="AA8">
        <v>0.23100000000000001</v>
      </c>
      <c r="AB8">
        <v>2.86</v>
      </c>
      <c r="AC8" s="11">
        <v>42610.427777777775</v>
      </c>
      <c r="AD8" s="17">
        <f xml:space="preserve"> AC8-C8</f>
        <v>5.0319444444394321</v>
      </c>
      <c r="AE8">
        <v>0.19900000000000001</v>
      </c>
      <c r="AF8">
        <v>1.94</v>
      </c>
      <c r="AG8" s="12">
        <v>42611.42291666667</v>
      </c>
      <c r="AH8" s="17">
        <f xml:space="preserve"> AG8-C8</f>
        <v>6.0270833333343035</v>
      </c>
      <c r="AI8">
        <v>0.14599999999999999</v>
      </c>
      <c r="AJ8">
        <v>1.64</v>
      </c>
      <c r="AK8" s="12">
        <v>42612.425000000003</v>
      </c>
      <c r="AL8" s="17">
        <f xml:space="preserve"> AK8-C8</f>
        <v>7.0291666666671517</v>
      </c>
      <c r="AM8">
        <v>0.11</v>
      </c>
      <c r="AN8">
        <v>1.44</v>
      </c>
      <c r="AO8" s="12"/>
      <c r="AP8" s="17"/>
      <c r="AS8" s="12"/>
      <c r="AT8" s="17"/>
      <c r="AW8" s="12"/>
      <c r="AX8" s="17"/>
      <c r="BA8" s="12"/>
      <c r="BB8" s="17"/>
      <c r="BF8" s="17"/>
    </row>
    <row r="9" spans="1:60">
      <c r="A9">
        <v>5</v>
      </c>
      <c r="B9" t="s">
        <v>48</v>
      </c>
      <c r="C9" s="12">
        <v>42607.9375</v>
      </c>
      <c r="D9" t="s">
        <v>39</v>
      </c>
      <c r="E9" s="23">
        <v>42607.972916666666</v>
      </c>
      <c r="F9" s="17">
        <f t="shared" si="0"/>
        <v>3.5416666665696539E-2</v>
      </c>
      <c r="G9">
        <v>2.2400000000000002</v>
      </c>
      <c r="H9">
        <v>169.4</v>
      </c>
      <c r="I9" s="12">
        <v>42608.097916666666</v>
      </c>
      <c r="J9" s="17">
        <f t="shared" si="4"/>
        <v>0.16041666666569654</v>
      </c>
      <c r="K9">
        <v>6.93</v>
      </c>
      <c r="L9">
        <v>287</v>
      </c>
      <c r="M9" s="12">
        <v>42608.399305555555</v>
      </c>
      <c r="N9" s="17">
        <f t="shared" si="1"/>
        <v>0.46180555555474712</v>
      </c>
      <c r="O9">
        <v>7.01</v>
      </c>
      <c r="P9">
        <v>251.6</v>
      </c>
      <c r="Q9" s="12">
        <v>42609.401388888888</v>
      </c>
      <c r="R9" s="17">
        <f t="shared" si="2"/>
        <v>1.4638888888875954</v>
      </c>
      <c r="S9">
        <v>2.4900000000000002</v>
      </c>
      <c r="T9">
        <v>31.87</v>
      </c>
      <c r="U9" s="12">
        <v>42610.375</v>
      </c>
      <c r="V9" s="17">
        <f t="shared" si="3"/>
        <v>2.4375</v>
      </c>
      <c r="W9">
        <v>3.16</v>
      </c>
      <c r="X9">
        <v>9.64</v>
      </c>
      <c r="Y9" s="12">
        <v>42611.353472222225</v>
      </c>
      <c r="Z9" s="17">
        <f xml:space="preserve"> Y9-C9</f>
        <v>3.4159722222248092</v>
      </c>
      <c r="AA9">
        <v>3.82</v>
      </c>
      <c r="AB9">
        <v>6.12</v>
      </c>
      <c r="AC9" s="11">
        <v>42612.367361111108</v>
      </c>
      <c r="AD9" s="17">
        <f xml:space="preserve"> AC9-C9</f>
        <v>4.429861111108039</v>
      </c>
      <c r="AE9">
        <v>3.4</v>
      </c>
      <c r="AF9">
        <v>5.26</v>
      </c>
      <c r="AG9" s="12"/>
      <c r="AH9" s="17"/>
      <c r="AK9" s="12"/>
      <c r="AL9" s="17"/>
      <c r="AO9" s="12"/>
      <c r="AP9" s="17"/>
      <c r="AS9" s="12"/>
      <c r="AT9" s="17"/>
      <c r="AW9" s="12"/>
      <c r="AX9" s="17"/>
      <c r="BA9" s="12"/>
      <c r="BB9" s="17"/>
      <c r="BF9" s="17"/>
    </row>
    <row r="10" spans="1:60">
      <c r="A10">
        <v>6</v>
      </c>
      <c r="B10" t="s">
        <v>33</v>
      </c>
      <c r="C10" s="12">
        <v>42607.576388888891</v>
      </c>
      <c r="D10" t="s">
        <v>39</v>
      </c>
      <c r="E10" s="12">
        <v>42607.790972222225</v>
      </c>
      <c r="F10" s="17">
        <f t="shared" si="0"/>
        <v>0.21458333333430346</v>
      </c>
      <c r="G10">
        <v>0.34499999999999997</v>
      </c>
      <c r="H10">
        <v>45.42</v>
      </c>
      <c r="I10" s="12">
        <v>42608.091666666667</v>
      </c>
      <c r="J10" s="17">
        <f t="shared" si="4"/>
        <v>0.51527777777664596</v>
      </c>
      <c r="K10">
        <v>1.3</v>
      </c>
      <c r="L10">
        <v>60.54</v>
      </c>
      <c r="M10" s="12">
        <v>42608.387499999997</v>
      </c>
      <c r="N10" s="17">
        <f t="shared" si="1"/>
        <v>0.81111111110658385</v>
      </c>
      <c r="O10">
        <v>0.89300000000000002</v>
      </c>
      <c r="P10">
        <v>34.909999999999997</v>
      </c>
      <c r="Q10" s="12">
        <v>42609.44027777778</v>
      </c>
      <c r="R10" s="17">
        <f t="shared" si="2"/>
        <v>1.8638888888890506</v>
      </c>
      <c r="S10">
        <v>0.75900000000000001</v>
      </c>
      <c r="T10">
        <v>3.92</v>
      </c>
      <c r="U10" s="12">
        <v>42610.420138888891</v>
      </c>
      <c r="V10" s="17">
        <f t="shared" si="3"/>
        <v>2.84375</v>
      </c>
      <c r="W10">
        <v>1.02</v>
      </c>
      <c r="X10">
        <v>1.49</v>
      </c>
      <c r="Y10" s="12"/>
      <c r="Z10" s="17"/>
      <c r="AD10" s="17"/>
      <c r="AG10" s="12"/>
      <c r="AH10" s="17"/>
      <c r="AK10" s="12"/>
      <c r="AL10" s="17"/>
      <c r="AO10" s="12"/>
      <c r="AP10" s="17"/>
      <c r="AS10" s="12"/>
      <c r="AT10" s="17"/>
      <c r="AW10" s="12"/>
      <c r="AX10" s="17"/>
      <c r="BA10" s="12"/>
      <c r="BB10" s="17"/>
      <c r="BF10" s="17"/>
    </row>
    <row r="11" spans="1:60">
      <c r="A11">
        <v>7</v>
      </c>
      <c r="B11" t="s">
        <v>34</v>
      </c>
      <c r="C11" s="12">
        <v>42611.135416666664</v>
      </c>
      <c r="D11" t="s">
        <v>41</v>
      </c>
      <c r="E11" s="12">
        <v>42611.351388888892</v>
      </c>
      <c r="F11" s="17">
        <f t="shared" si="0"/>
        <v>0.21597222222771961</v>
      </c>
      <c r="G11">
        <v>9.6000000000000002E-2</v>
      </c>
      <c r="H11">
        <v>8.18</v>
      </c>
      <c r="I11" s="12">
        <v>42611.529166666667</v>
      </c>
      <c r="J11" s="17">
        <f t="shared" si="4"/>
        <v>0.39375000000291038</v>
      </c>
      <c r="K11">
        <v>0.245</v>
      </c>
      <c r="L11">
        <v>28.97</v>
      </c>
      <c r="M11" s="12">
        <v>42612.367361111108</v>
      </c>
      <c r="N11" s="17">
        <f t="shared" si="1"/>
        <v>1.2319444444437977</v>
      </c>
      <c r="O11">
        <v>0.63600000000000001</v>
      </c>
      <c r="P11">
        <v>36.69</v>
      </c>
      <c r="Q11" s="12">
        <v>42613.425694444442</v>
      </c>
      <c r="R11" s="17">
        <f t="shared" si="2"/>
        <v>2.2902777777781012</v>
      </c>
      <c r="S11">
        <v>0.47399999999999998</v>
      </c>
      <c r="T11">
        <v>6.5</v>
      </c>
      <c r="U11" s="12">
        <v>42614.412499999999</v>
      </c>
      <c r="V11" s="17">
        <f t="shared" si="3"/>
        <v>3.2770833333343035</v>
      </c>
      <c r="W11">
        <v>0.61399999999999999</v>
      </c>
      <c r="X11">
        <v>1.76</v>
      </c>
      <c r="Y11" s="12">
        <v>42615.404861111114</v>
      </c>
      <c r="Z11" s="17">
        <f xml:space="preserve"> Y11-C11</f>
        <v>4.2694444444496185</v>
      </c>
      <c r="AA11">
        <v>0.628</v>
      </c>
      <c r="AB11">
        <v>1.52</v>
      </c>
      <c r="AC11" s="11">
        <v>42616.406944444447</v>
      </c>
      <c r="AD11" s="17">
        <f xml:space="preserve"> AC11-C11</f>
        <v>5.2715277777824667</v>
      </c>
      <c r="AE11">
        <v>0.39</v>
      </c>
      <c r="AF11">
        <v>1.91</v>
      </c>
      <c r="AG11" s="12"/>
      <c r="AH11" s="17"/>
      <c r="AK11" s="12"/>
      <c r="AL11" s="17"/>
      <c r="AO11" s="12"/>
      <c r="AP11" s="17"/>
      <c r="AS11" s="12"/>
      <c r="AT11" s="17"/>
      <c r="AW11" s="12"/>
      <c r="AX11" s="17"/>
      <c r="BA11" s="12"/>
      <c r="BB11" s="17"/>
      <c r="BF11" s="17"/>
    </row>
    <row r="12" spans="1:60">
      <c r="A12">
        <v>8</v>
      </c>
      <c r="B12" t="s">
        <v>133</v>
      </c>
      <c r="C12" s="12">
        <v>42620.833333333336</v>
      </c>
      <c r="D12" t="s">
        <v>39</v>
      </c>
      <c r="E12" s="12">
        <v>42621.015972222223</v>
      </c>
      <c r="F12" s="17">
        <f t="shared" si="0"/>
        <v>0.18263888888759539</v>
      </c>
      <c r="G12">
        <v>0.153</v>
      </c>
      <c r="H12">
        <v>5.5</v>
      </c>
      <c r="I12" s="12">
        <v>42621.336805555555</v>
      </c>
      <c r="J12" s="17">
        <f t="shared" si="4"/>
        <v>0.50347222221898846</v>
      </c>
      <c r="K12">
        <v>0.155</v>
      </c>
      <c r="L12">
        <v>8.07</v>
      </c>
      <c r="M12" s="12">
        <v>42621.421527777777</v>
      </c>
      <c r="N12" s="17">
        <f t="shared" si="1"/>
        <v>0.58819444444088731</v>
      </c>
      <c r="O12">
        <v>0.17399999999999999</v>
      </c>
      <c r="P12">
        <v>8.24</v>
      </c>
      <c r="Q12" s="12">
        <v>42622.427777777775</v>
      </c>
      <c r="R12" s="17">
        <f t="shared" si="2"/>
        <v>1.5944444444394321</v>
      </c>
      <c r="S12">
        <v>0.113</v>
      </c>
      <c r="T12">
        <v>8.33</v>
      </c>
      <c r="U12" s="12">
        <v>42623.409722222219</v>
      </c>
      <c r="V12" s="17">
        <f t="shared" si="3"/>
        <v>2.5763888888832298</v>
      </c>
      <c r="W12">
        <v>0.114</v>
      </c>
      <c r="X12">
        <v>3.16</v>
      </c>
      <c r="Y12" s="12">
        <v>42624.418055555558</v>
      </c>
      <c r="Z12" s="17">
        <f xml:space="preserve"> Y12-C12</f>
        <v>3.5847222222218988</v>
      </c>
      <c r="AA12">
        <v>0.14199999999999999</v>
      </c>
      <c r="AB12">
        <v>2.65</v>
      </c>
      <c r="AC12" s="11">
        <v>42625.431944444441</v>
      </c>
      <c r="AD12" s="17">
        <f xml:space="preserve"> AC12-C12</f>
        <v>4.5986111111051287</v>
      </c>
      <c r="AE12">
        <v>7.0000000000000007E-2</v>
      </c>
      <c r="AF12">
        <v>3.24</v>
      </c>
      <c r="AG12" s="12"/>
      <c r="AH12" s="17"/>
      <c r="AK12" s="12"/>
      <c r="AL12" s="17"/>
      <c r="AO12" s="12"/>
      <c r="AP12" s="17"/>
      <c r="AS12" s="12"/>
      <c r="AT12" s="17"/>
      <c r="AW12" s="12"/>
      <c r="AX12" s="17"/>
      <c r="BA12" s="12"/>
      <c r="BB12" s="17"/>
      <c r="BF12" s="17"/>
    </row>
    <row r="13" spans="1:60">
      <c r="A13">
        <v>9</v>
      </c>
      <c r="B13" t="s">
        <v>142</v>
      </c>
      <c r="C13" s="12">
        <v>42623.333333333336</v>
      </c>
      <c r="D13" t="s">
        <v>44</v>
      </c>
      <c r="E13" s="12">
        <v>42623.696527777778</v>
      </c>
      <c r="F13" s="17">
        <f t="shared" si="0"/>
        <v>0.3631944444423425</v>
      </c>
      <c r="G13">
        <v>2.9000000000000001E-2</v>
      </c>
      <c r="H13">
        <v>4.37</v>
      </c>
      <c r="I13" s="12">
        <v>42624.418055555558</v>
      </c>
      <c r="J13" s="17">
        <f t="shared" si="4"/>
        <v>1.0847222222218988</v>
      </c>
      <c r="K13">
        <v>3.1E-2</v>
      </c>
      <c r="L13">
        <v>3.75</v>
      </c>
      <c r="M13" s="12">
        <v>42625.451388888891</v>
      </c>
      <c r="N13" s="17">
        <f t="shared" si="1"/>
        <v>2.1180555555547471</v>
      </c>
      <c r="O13">
        <v>3.5999999999999997E-2</v>
      </c>
      <c r="P13">
        <v>3.6</v>
      </c>
      <c r="Q13" s="12"/>
      <c r="R13" s="17"/>
      <c r="U13" s="12"/>
      <c r="V13" s="17"/>
      <c r="Y13" s="12"/>
      <c r="Z13" s="17"/>
      <c r="AD13" s="17"/>
      <c r="AG13" s="12"/>
      <c r="AH13" s="17"/>
      <c r="AK13" s="12"/>
      <c r="AL13" s="17"/>
      <c r="AO13" s="12"/>
      <c r="AP13" s="17"/>
      <c r="AS13" s="12"/>
      <c r="AT13" s="17"/>
      <c r="AW13" s="12"/>
      <c r="AX13" s="17"/>
      <c r="BA13" s="12"/>
      <c r="BB13" s="17"/>
      <c r="BF13" s="17"/>
    </row>
    <row r="14" spans="1:60">
      <c r="A14">
        <v>10</v>
      </c>
      <c r="B14" t="s">
        <v>147</v>
      </c>
      <c r="C14" s="12">
        <v>42622.625</v>
      </c>
      <c r="D14" t="s">
        <v>39</v>
      </c>
      <c r="E14" s="12">
        <v>42623.974305555559</v>
      </c>
      <c r="F14" s="17">
        <f t="shared" si="0"/>
        <v>1.3493055555591127</v>
      </c>
      <c r="G14">
        <v>1.78</v>
      </c>
      <c r="H14">
        <v>4.3899999999999997</v>
      </c>
      <c r="I14" s="12">
        <v>42624.418055555558</v>
      </c>
      <c r="J14" s="17">
        <f t="shared" si="4"/>
        <v>1.7930555555576575</v>
      </c>
      <c r="K14">
        <v>2.06</v>
      </c>
      <c r="L14">
        <v>3.18</v>
      </c>
      <c r="M14" s="12">
        <v>42625.451388888891</v>
      </c>
      <c r="N14" s="17">
        <f t="shared" si="1"/>
        <v>2.8263888888905058</v>
      </c>
      <c r="O14">
        <v>2.17</v>
      </c>
      <c r="P14">
        <v>2.0099999999999998</v>
      </c>
      <c r="Q14" s="12">
        <v>42625.768750000003</v>
      </c>
      <c r="R14" s="17">
        <f t="shared" ref="R14:R24" si="5" xml:space="preserve"> Q14-C14</f>
        <v>3.1437500000029104</v>
      </c>
      <c r="S14">
        <v>1.96</v>
      </c>
      <c r="T14">
        <v>2.23</v>
      </c>
      <c r="U14" s="12">
        <v>42626.402083333334</v>
      </c>
      <c r="V14" s="17">
        <f t="shared" ref="V14:V24" si="6" xml:space="preserve"> U14-C14</f>
        <v>3.7770833333343035</v>
      </c>
      <c r="W14">
        <v>1.67</v>
      </c>
      <c r="X14">
        <v>2.62</v>
      </c>
      <c r="Y14" s="12">
        <v>42627.438888888886</v>
      </c>
      <c r="Z14" s="17">
        <f t="shared" ref="Z14:Z24" si="7" xml:space="preserve"> Y14-C14</f>
        <v>4.8138888888861402</v>
      </c>
      <c r="AA14">
        <v>1.06</v>
      </c>
      <c r="AB14">
        <v>1.63</v>
      </c>
      <c r="AD14" s="17"/>
      <c r="AG14" s="12"/>
      <c r="AH14" s="17"/>
      <c r="AK14" s="12"/>
      <c r="AL14" s="17"/>
      <c r="AO14" s="12"/>
      <c r="AP14" s="17"/>
      <c r="AS14" s="12"/>
      <c r="AT14" s="17"/>
      <c r="AW14" s="12"/>
      <c r="AX14" s="17"/>
      <c r="BA14" s="12"/>
      <c r="BB14" s="17"/>
      <c r="BF14" s="17"/>
    </row>
    <row r="15" spans="1:60">
      <c r="A15">
        <v>11</v>
      </c>
      <c r="B15" t="s">
        <v>155</v>
      </c>
      <c r="C15" s="12">
        <v>42628.625</v>
      </c>
      <c r="D15" t="s">
        <v>44</v>
      </c>
      <c r="E15" s="12">
        <v>42628.830555555556</v>
      </c>
      <c r="F15" s="17">
        <f t="shared" si="0"/>
        <v>0.20555555555620231</v>
      </c>
      <c r="G15">
        <v>9.6000000000000002E-2</v>
      </c>
      <c r="H15">
        <v>5.73</v>
      </c>
      <c r="I15" s="12">
        <v>42628.990972222222</v>
      </c>
      <c r="J15" s="17">
        <f t="shared" si="4"/>
        <v>0.36597222222189885</v>
      </c>
      <c r="K15">
        <v>0.38900000000000001</v>
      </c>
      <c r="L15">
        <v>12.95</v>
      </c>
      <c r="M15" s="12">
        <v>42629.415972222225</v>
      </c>
      <c r="N15" s="17">
        <f t="shared" si="1"/>
        <v>0.79097222222480923</v>
      </c>
      <c r="O15">
        <v>0.79600000000000004</v>
      </c>
      <c r="P15">
        <v>23.55</v>
      </c>
      <c r="Q15" s="12">
        <v>42630.436111111114</v>
      </c>
      <c r="R15" s="17">
        <f t="shared" si="5"/>
        <v>1.8111111111138598</v>
      </c>
      <c r="S15">
        <v>0.436</v>
      </c>
      <c r="T15">
        <v>9.1199999999999992</v>
      </c>
      <c r="U15" s="12">
        <v>42631.434027777781</v>
      </c>
      <c r="V15" s="17">
        <f t="shared" si="6"/>
        <v>2.8090277777810115</v>
      </c>
      <c r="W15">
        <v>0.48699999999999999</v>
      </c>
      <c r="X15">
        <v>5.75</v>
      </c>
      <c r="Y15" s="12">
        <v>42632.398611111108</v>
      </c>
      <c r="Z15" s="17">
        <f t="shared" si="7"/>
        <v>3.773611111108039</v>
      </c>
      <c r="AA15">
        <v>0.52100000000000002</v>
      </c>
      <c r="AB15">
        <v>3.78</v>
      </c>
      <c r="AD15" s="17"/>
      <c r="AG15" s="12"/>
      <c r="AH15" s="17"/>
      <c r="AK15" s="12"/>
      <c r="AL15" s="17"/>
      <c r="AO15" s="12"/>
      <c r="AP15" s="17"/>
      <c r="AS15" s="12"/>
      <c r="AT15" s="17"/>
      <c r="AW15" s="12"/>
      <c r="AX15" s="17"/>
      <c r="BA15" s="12"/>
      <c r="BB15" s="17"/>
      <c r="BF15" s="17"/>
    </row>
    <row r="16" spans="1:60">
      <c r="A16">
        <v>12</v>
      </c>
      <c r="B16" t="s">
        <v>163</v>
      </c>
      <c r="C16" s="12">
        <v>42628.666666666664</v>
      </c>
      <c r="D16" t="s">
        <v>44</v>
      </c>
      <c r="E16" s="12">
        <v>42628.973611111112</v>
      </c>
      <c r="F16" s="17">
        <f t="shared" si="0"/>
        <v>0.30694444444816327</v>
      </c>
      <c r="G16">
        <v>18.239999999999998</v>
      </c>
      <c r="H16">
        <v>482.7</v>
      </c>
      <c r="I16" s="12">
        <v>42629.322916666664</v>
      </c>
      <c r="J16" s="17">
        <f t="shared" si="4"/>
        <v>0.65625</v>
      </c>
      <c r="K16">
        <v>11.91</v>
      </c>
      <c r="L16">
        <v>169.8</v>
      </c>
      <c r="M16" s="12">
        <v>42629.730555555558</v>
      </c>
      <c r="N16" s="17">
        <f t="shared" si="1"/>
        <v>1.0638888888934162</v>
      </c>
      <c r="O16">
        <v>8.33</v>
      </c>
      <c r="P16">
        <v>122.5</v>
      </c>
      <c r="Q16" s="12">
        <v>42630.470138888886</v>
      </c>
      <c r="R16" s="17">
        <f t="shared" si="5"/>
        <v>1.8034722222218988</v>
      </c>
      <c r="S16">
        <v>6.01</v>
      </c>
      <c r="T16">
        <v>24.54</v>
      </c>
      <c r="U16" s="12">
        <v>42631.434027777781</v>
      </c>
      <c r="V16" s="17">
        <f t="shared" si="6"/>
        <v>2.7673611111167702</v>
      </c>
      <c r="W16">
        <v>5.64</v>
      </c>
      <c r="X16">
        <v>6.44</v>
      </c>
      <c r="Y16" s="12">
        <v>42632.398611111108</v>
      </c>
      <c r="Z16" s="17">
        <f t="shared" si="7"/>
        <v>3.7319444444437977</v>
      </c>
      <c r="AA16">
        <v>5.68</v>
      </c>
      <c r="AB16">
        <v>3.63</v>
      </c>
      <c r="AC16" s="11">
        <v>42633.455555555556</v>
      </c>
      <c r="AD16" s="17">
        <f t="shared" ref="AD16:AD24" si="8" xml:space="preserve"> AC16-C16</f>
        <v>4.788888888891961</v>
      </c>
      <c r="AE16">
        <v>5.45</v>
      </c>
      <c r="AF16">
        <v>3.35</v>
      </c>
      <c r="AG16" s="12">
        <v>42635.442361111112</v>
      </c>
      <c r="AH16" s="17">
        <f xml:space="preserve"> AG16-C16</f>
        <v>6.7756944444481633</v>
      </c>
      <c r="AI16">
        <v>2.0699999999999998</v>
      </c>
      <c r="AJ16">
        <v>3.53</v>
      </c>
      <c r="AK16" s="12"/>
      <c r="AL16" s="17"/>
      <c r="AO16" s="12"/>
      <c r="AP16" s="17"/>
      <c r="AS16" s="12"/>
      <c r="AT16" s="17"/>
      <c r="AW16" s="12"/>
      <c r="AX16" s="17"/>
      <c r="BA16" s="12"/>
      <c r="BB16" s="17"/>
      <c r="BF16" s="17"/>
    </row>
    <row r="17" spans="1:60">
      <c r="A17">
        <v>13</v>
      </c>
      <c r="B17" t="s">
        <v>174</v>
      </c>
      <c r="C17" s="12">
        <v>42628.666666666664</v>
      </c>
      <c r="D17" t="s">
        <v>44</v>
      </c>
      <c r="E17" s="12">
        <v>42629.658333333333</v>
      </c>
      <c r="F17" s="17">
        <f t="shared" si="0"/>
        <v>0.99166666666860692</v>
      </c>
      <c r="G17">
        <v>3.87</v>
      </c>
      <c r="H17">
        <v>125.4</v>
      </c>
      <c r="I17" s="12">
        <v>42629.656944444447</v>
      </c>
      <c r="J17" s="17">
        <f t="shared" si="4"/>
        <v>0.99027777778246673</v>
      </c>
      <c r="K17">
        <v>3.87</v>
      </c>
      <c r="L17">
        <v>125.4</v>
      </c>
      <c r="M17" s="12">
        <v>42629.884027777778</v>
      </c>
      <c r="N17" s="17">
        <f t="shared" si="1"/>
        <v>1.2173611111138598</v>
      </c>
      <c r="O17">
        <v>2.9</v>
      </c>
      <c r="P17">
        <v>65.41</v>
      </c>
      <c r="Q17" s="12">
        <v>42630.436111111114</v>
      </c>
      <c r="R17" s="17">
        <f t="shared" si="5"/>
        <v>1.7694444444496185</v>
      </c>
      <c r="S17">
        <v>3.1</v>
      </c>
      <c r="T17">
        <v>22.77</v>
      </c>
      <c r="U17" s="12">
        <v>42631.434027777781</v>
      </c>
      <c r="V17" s="17">
        <f t="shared" si="6"/>
        <v>2.7673611111167702</v>
      </c>
      <c r="W17">
        <v>2.38</v>
      </c>
      <c r="X17">
        <v>7.29</v>
      </c>
      <c r="Y17" s="12">
        <v>42632.37777777778</v>
      </c>
      <c r="Z17" s="17">
        <f t="shared" si="7"/>
        <v>3.711111111115315</v>
      </c>
      <c r="AA17">
        <v>2.64</v>
      </c>
      <c r="AB17">
        <v>4.22</v>
      </c>
      <c r="AC17" s="11">
        <v>42633.431944444441</v>
      </c>
      <c r="AD17" s="17">
        <f t="shared" si="8"/>
        <v>4.765277777776646</v>
      </c>
      <c r="AE17">
        <v>2.4900000000000002</v>
      </c>
      <c r="AF17">
        <v>4.29</v>
      </c>
      <c r="AG17" s="12">
        <v>42634.447222222225</v>
      </c>
      <c r="AH17" s="17">
        <f xml:space="preserve"> AG17-C17</f>
        <v>5.7805555555605679</v>
      </c>
      <c r="AI17">
        <v>0.01</v>
      </c>
      <c r="AJ17">
        <v>1.89</v>
      </c>
      <c r="AK17" s="12">
        <v>42634.447222222225</v>
      </c>
      <c r="AL17" s="17">
        <f xml:space="preserve"> AK17-C17</f>
        <v>5.7805555555605679</v>
      </c>
      <c r="AM17">
        <v>2.0299999999999998</v>
      </c>
      <c r="AN17">
        <v>3.56</v>
      </c>
      <c r="AO17" s="12"/>
      <c r="AP17" s="17"/>
      <c r="AS17" s="12"/>
      <c r="AT17" s="17"/>
      <c r="AW17" s="12"/>
      <c r="AX17" s="17"/>
      <c r="BA17" s="12"/>
      <c r="BB17" s="17"/>
      <c r="BF17" s="17"/>
    </row>
    <row r="18" spans="1:60">
      <c r="A18">
        <v>14</v>
      </c>
      <c r="B18" t="s">
        <v>184</v>
      </c>
      <c r="C18" s="12">
        <v>42638.25</v>
      </c>
      <c r="D18" t="s">
        <v>39</v>
      </c>
      <c r="E18" s="12">
        <v>42638.814583333333</v>
      </c>
      <c r="F18" s="17">
        <f t="shared" si="0"/>
        <v>0.56458333333284827</v>
      </c>
      <c r="G18">
        <v>2.83</v>
      </c>
      <c r="H18">
        <v>210.7</v>
      </c>
      <c r="I18" s="12">
        <v>42639.022916666669</v>
      </c>
      <c r="J18" s="17">
        <f t="shared" si="4"/>
        <v>0.77291666666860692</v>
      </c>
      <c r="K18">
        <v>4.0999999999999996</v>
      </c>
      <c r="L18">
        <v>248.8</v>
      </c>
      <c r="M18" s="12">
        <v>42639.404861111114</v>
      </c>
      <c r="N18" s="17">
        <f t="shared" si="1"/>
        <v>1.1548611111138598</v>
      </c>
      <c r="O18">
        <v>2.44</v>
      </c>
      <c r="P18">
        <v>108.5</v>
      </c>
      <c r="Q18" s="12">
        <v>42639.854166666664</v>
      </c>
      <c r="R18" s="17">
        <f t="shared" si="5"/>
        <v>1.6041666666642413</v>
      </c>
      <c r="S18">
        <v>1.68</v>
      </c>
      <c r="T18">
        <v>24.3</v>
      </c>
      <c r="U18" s="12">
        <v>42640.387499999997</v>
      </c>
      <c r="V18" s="17">
        <f t="shared" si="6"/>
        <v>2.1374999999970896</v>
      </c>
      <c r="W18">
        <v>2.16</v>
      </c>
      <c r="X18">
        <v>11.5</v>
      </c>
      <c r="Y18" s="12">
        <v>42641.388194444444</v>
      </c>
      <c r="Z18" s="17">
        <f t="shared" si="7"/>
        <v>3.1381944444437977</v>
      </c>
      <c r="AA18">
        <v>2.87</v>
      </c>
      <c r="AB18">
        <v>4.5</v>
      </c>
      <c r="AC18" s="11">
        <v>42642.453472222223</v>
      </c>
      <c r="AD18" s="17">
        <f t="shared" si="8"/>
        <v>4.203472222223354</v>
      </c>
      <c r="AE18">
        <v>2.09</v>
      </c>
      <c r="AF18">
        <v>2.73</v>
      </c>
      <c r="AG18" s="12">
        <v>42643.414583333331</v>
      </c>
      <c r="AH18" s="17">
        <f xml:space="preserve"> AG18-C18</f>
        <v>5.1645833333313931</v>
      </c>
      <c r="AI18">
        <v>0.99199999999999999</v>
      </c>
      <c r="AJ18">
        <v>2.11</v>
      </c>
      <c r="AK18" s="12">
        <v>42644.421527777777</v>
      </c>
      <c r="AL18" s="17">
        <f xml:space="preserve"> AK18-C18</f>
        <v>6.171527777776646</v>
      </c>
      <c r="AM18">
        <v>0.45100000000000001</v>
      </c>
      <c r="AN18">
        <v>2.1</v>
      </c>
      <c r="AO18" s="12">
        <v>42645.401388888888</v>
      </c>
      <c r="AP18" s="17">
        <f xml:space="preserve"> AO18-C18</f>
        <v>7.1513888888875954</v>
      </c>
      <c r="AQ18">
        <v>0.20499999999999999</v>
      </c>
      <c r="AR18">
        <v>2.0499999999999998</v>
      </c>
      <c r="AS18" s="12"/>
      <c r="AT18" s="17"/>
      <c r="AW18" s="12"/>
      <c r="AX18" s="17"/>
      <c r="BA18" s="12"/>
      <c r="BB18" s="17"/>
      <c r="BF18" s="17"/>
    </row>
    <row r="19" spans="1:60">
      <c r="A19">
        <v>15</v>
      </c>
      <c r="B19" t="s">
        <v>197</v>
      </c>
      <c r="C19" s="12">
        <v>42637.75</v>
      </c>
      <c r="D19" t="s">
        <v>44</v>
      </c>
      <c r="E19" s="12">
        <v>42638.49722222222</v>
      </c>
      <c r="F19" s="17">
        <f t="shared" si="0"/>
        <v>0.74722222222044365</v>
      </c>
      <c r="G19">
        <v>1.44</v>
      </c>
      <c r="H19">
        <v>12.73</v>
      </c>
      <c r="I19" s="23">
        <v>42639.022916666669</v>
      </c>
      <c r="J19" s="20">
        <f t="shared" si="4"/>
        <v>1.2729166666686069</v>
      </c>
      <c r="K19">
        <v>2.0099999999999998</v>
      </c>
      <c r="L19">
        <v>13.87</v>
      </c>
      <c r="M19" s="12">
        <v>42639.365972222222</v>
      </c>
      <c r="N19" s="17">
        <f t="shared" si="1"/>
        <v>1.6159722222218988</v>
      </c>
      <c r="O19">
        <v>1.7</v>
      </c>
      <c r="P19">
        <v>11.42</v>
      </c>
      <c r="Q19" s="12">
        <v>42640.387499999997</v>
      </c>
      <c r="R19" s="17">
        <f t="shared" si="5"/>
        <v>2.6374999999970896</v>
      </c>
      <c r="S19">
        <v>1.89</v>
      </c>
      <c r="T19">
        <v>5.81</v>
      </c>
      <c r="U19" s="12">
        <v>42640.760416666664</v>
      </c>
      <c r="V19" s="17">
        <f t="shared" si="6"/>
        <v>3.0104166666642413</v>
      </c>
      <c r="W19">
        <v>1.72</v>
      </c>
      <c r="X19">
        <v>4.8099999999999996</v>
      </c>
      <c r="Y19" s="12">
        <v>42641.397916666669</v>
      </c>
      <c r="Z19" s="17">
        <f t="shared" si="7"/>
        <v>3.6479166666686069</v>
      </c>
      <c r="AA19">
        <v>1.69</v>
      </c>
      <c r="AB19">
        <v>3.58</v>
      </c>
      <c r="AC19" s="11">
        <v>42643.427083333336</v>
      </c>
      <c r="AD19" s="17">
        <f t="shared" si="8"/>
        <v>5.6770833333357587</v>
      </c>
      <c r="AE19">
        <v>0.73099999999999998</v>
      </c>
      <c r="AF19">
        <v>2.0499999999999998</v>
      </c>
      <c r="AG19" s="12"/>
      <c r="AH19" s="17"/>
      <c r="AK19" s="12"/>
      <c r="AL19" s="17"/>
      <c r="AO19" s="12"/>
      <c r="AP19" s="17"/>
      <c r="AS19" s="12"/>
      <c r="AT19" s="17"/>
      <c r="AW19" s="12"/>
      <c r="AX19" s="17"/>
      <c r="BA19" s="12"/>
      <c r="BB19" s="17"/>
      <c r="BF19" s="17"/>
    </row>
    <row r="20" spans="1:60">
      <c r="A20">
        <v>16</v>
      </c>
      <c r="B20" t="s">
        <v>205</v>
      </c>
      <c r="C20" s="12">
        <v>42639.041666666664</v>
      </c>
      <c r="D20" t="s">
        <v>41</v>
      </c>
      <c r="E20" s="12">
        <v>42639.527777777781</v>
      </c>
      <c r="F20" s="17">
        <f t="shared" si="0"/>
        <v>0.48611111111677019</v>
      </c>
      <c r="G20">
        <v>3.94</v>
      </c>
      <c r="H20">
        <v>257.3</v>
      </c>
      <c r="I20" s="12">
        <v>42639.54791666667</v>
      </c>
      <c r="J20" s="17">
        <f t="shared" si="4"/>
        <v>0.50625000000582077</v>
      </c>
      <c r="K20" s="24">
        <v>10</v>
      </c>
      <c r="L20" s="24" t="s">
        <v>209</v>
      </c>
      <c r="M20" s="23">
        <v>42639.847916666666</v>
      </c>
      <c r="N20" s="20">
        <f t="shared" si="1"/>
        <v>0.80625000000145519</v>
      </c>
      <c r="O20">
        <v>10.68</v>
      </c>
      <c r="P20">
        <v>260.3</v>
      </c>
      <c r="Q20" s="12">
        <v>42640.396527777775</v>
      </c>
      <c r="R20" s="17">
        <f t="shared" si="5"/>
        <v>1.3548611111109494</v>
      </c>
      <c r="S20">
        <v>7.18</v>
      </c>
      <c r="T20">
        <v>91.75</v>
      </c>
      <c r="U20" s="12">
        <v>42641.397916666669</v>
      </c>
      <c r="V20" s="17">
        <f t="shared" si="6"/>
        <v>2.3562500000043656</v>
      </c>
      <c r="W20">
        <v>4.9800000000000004</v>
      </c>
      <c r="X20">
        <v>10.56</v>
      </c>
      <c r="Y20" s="12">
        <v>42642.424305555556</v>
      </c>
      <c r="Z20" s="17">
        <f t="shared" si="7"/>
        <v>3.382638888891961</v>
      </c>
      <c r="AA20">
        <v>5.0999999999999996</v>
      </c>
      <c r="AB20">
        <v>5.04</v>
      </c>
      <c r="AC20" s="11">
        <v>42643.414583333331</v>
      </c>
      <c r="AD20" s="17">
        <f t="shared" si="8"/>
        <v>4.3729166666671517</v>
      </c>
      <c r="AE20">
        <v>4.45</v>
      </c>
      <c r="AF20">
        <v>4.91</v>
      </c>
      <c r="AG20" s="12">
        <v>42644.365277777775</v>
      </c>
      <c r="AH20" s="17">
        <f xml:space="preserve"> AG20-C20</f>
        <v>5.3236111111109494</v>
      </c>
      <c r="AI20">
        <v>3.22</v>
      </c>
      <c r="AJ20">
        <v>6.47</v>
      </c>
      <c r="AK20" s="12">
        <v>42646.470138888886</v>
      </c>
      <c r="AL20" s="17">
        <f xml:space="preserve"> AK20-C20</f>
        <v>7.4284722222218988</v>
      </c>
      <c r="AM20">
        <v>1.25</v>
      </c>
      <c r="AN20">
        <v>6.47</v>
      </c>
      <c r="AO20" s="12">
        <v>42647.409722222219</v>
      </c>
      <c r="AP20" s="17">
        <f xml:space="preserve"> AO20-C20</f>
        <v>8.3680555555547471</v>
      </c>
      <c r="AQ20">
        <v>0.74399999999999999</v>
      </c>
      <c r="AR20">
        <v>5.29</v>
      </c>
      <c r="AS20" s="12"/>
      <c r="AT20" s="17"/>
      <c r="AW20" s="12"/>
      <c r="AX20" s="17"/>
      <c r="BA20" s="12"/>
      <c r="BB20" s="17"/>
      <c r="BF20" s="17"/>
    </row>
    <row r="21" spans="1:60" s="19" customFormat="1">
      <c r="A21" s="24">
        <v>17</v>
      </c>
      <c r="B21" s="24" t="s">
        <v>218</v>
      </c>
      <c r="C21" s="23">
        <v>42639.041666666664</v>
      </c>
      <c r="D21" s="24" t="s">
        <v>44</v>
      </c>
      <c r="E21" s="23">
        <v>42639.416666666664</v>
      </c>
      <c r="F21" s="20">
        <f t="shared" si="0"/>
        <v>0.375</v>
      </c>
      <c r="G21" s="24">
        <v>7.01</v>
      </c>
      <c r="H21" s="24" t="s">
        <v>209</v>
      </c>
      <c r="I21" s="23">
        <v>42639.892361111109</v>
      </c>
      <c r="J21" s="20">
        <f t="shared" si="4"/>
        <v>0.85069444444525288</v>
      </c>
      <c r="K21" s="24">
        <v>5.27</v>
      </c>
      <c r="L21" s="24">
        <v>429.5</v>
      </c>
      <c r="M21" s="23">
        <v>42640.4</v>
      </c>
      <c r="N21" s="20">
        <f t="shared" si="1"/>
        <v>1.3583333333372138</v>
      </c>
      <c r="O21" s="24">
        <v>4.95</v>
      </c>
      <c r="P21" s="24">
        <v>184.8</v>
      </c>
      <c r="Q21" s="23">
        <v>42641.397916666669</v>
      </c>
      <c r="R21" s="20">
        <f t="shared" si="5"/>
        <v>2.3562500000043656</v>
      </c>
      <c r="S21" s="24">
        <v>3.43</v>
      </c>
      <c r="T21" s="24">
        <v>18.03</v>
      </c>
      <c r="U21" s="23">
        <v>42642.453472222223</v>
      </c>
      <c r="V21" s="20">
        <f t="shared" si="6"/>
        <v>3.4118055555591127</v>
      </c>
      <c r="W21" s="24">
        <v>4.01</v>
      </c>
      <c r="X21" s="24">
        <v>5.81</v>
      </c>
      <c r="Y21" s="23">
        <v>42643.416666666664</v>
      </c>
      <c r="Z21" s="20">
        <f t="shared" si="7"/>
        <v>4.375</v>
      </c>
      <c r="AA21" s="24">
        <v>4.7</v>
      </c>
      <c r="AB21" s="24">
        <v>3.55</v>
      </c>
      <c r="AC21" s="25">
        <v>42644.361111111109</v>
      </c>
      <c r="AD21" s="20">
        <f t="shared" si="8"/>
        <v>5.3194444444452529</v>
      </c>
      <c r="AE21" s="24">
        <v>3.72</v>
      </c>
      <c r="AF21" s="24">
        <v>3.18</v>
      </c>
      <c r="AG21" s="23">
        <v>42645.396527777775</v>
      </c>
      <c r="AH21" s="20">
        <f xml:space="preserve"> AG21-C21</f>
        <v>6.3548611111109494</v>
      </c>
      <c r="AI21" s="24">
        <v>3.06</v>
      </c>
      <c r="AJ21" s="24">
        <v>2.12</v>
      </c>
      <c r="AK21" s="23"/>
      <c r="AL21" s="20"/>
      <c r="AM21" s="24"/>
      <c r="AN21" s="24"/>
      <c r="AO21" s="23"/>
      <c r="AP21" s="20"/>
      <c r="AQ21" s="24"/>
      <c r="AR21" s="24"/>
      <c r="AS21" s="23"/>
      <c r="AT21" s="20"/>
      <c r="AU21" s="24"/>
      <c r="AV21" s="24"/>
      <c r="AW21" s="23"/>
      <c r="AX21" s="20"/>
      <c r="AY21" s="24"/>
      <c r="AZ21" s="24"/>
      <c r="BA21" s="23"/>
      <c r="BB21" s="20"/>
      <c r="BC21" s="24"/>
      <c r="BD21" s="24"/>
      <c r="BE21" s="24"/>
      <c r="BF21" s="20"/>
      <c r="BG21" s="24"/>
      <c r="BH21" s="24"/>
    </row>
    <row r="22" spans="1:60">
      <c r="A22">
        <v>18</v>
      </c>
      <c r="B22" t="s">
        <v>227</v>
      </c>
      <c r="C22" s="12">
        <v>42640.041666666664</v>
      </c>
      <c r="D22" t="s">
        <v>39</v>
      </c>
      <c r="E22" s="12">
        <v>42640.790277777778</v>
      </c>
      <c r="F22" s="17">
        <f t="shared" si="0"/>
        <v>0.74861111111385981</v>
      </c>
      <c r="G22">
        <v>11.24</v>
      </c>
      <c r="H22">
        <v>237.4</v>
      </c>
      <c r="I22" s="12">
        <v>42640.906944444447</v>
      </c>
      <c r="J22" s="17">
        <f t="shared" si="4"/>
        <v>0.86527777778246673</v>
      </c>
      <c r="K22">
        <v>7.79</v>
      </c>
      <c r="L22">
        <v>250.8</v>
      </c>
      <c r="M22" s="12">
        <v>42641.404166666667</v>
      </c>
      <c r="N22" s="17">
        <f t="shared" si="1"/>
        <v>1.3625000000029104</v>
      </c>
      <c r="O22">
        <v>5.03</v>
      </c>
      <c r="P22">
        <v>103.3</v>
      </c>
      <c r="Q22" s="12">
        <v>42642.453472222223</v>
      </c>
      <c r="R22" s="17">
        <f t="shared" si="5"/>
        <v>2.4118055555591127</v>
      </c>
      <c r="S22">
        <v>2.84</v>
      </c>
      <c r="T22">
        <v>14.89</v>
      </c>
      <c r="U22" s="12">
        <v>42643.414583333331</v>
      </c>
      <c r="V22" s="17">
        <f t="shared" si="6"/>
        <v>3.3729166666671517</v>
      </c>
      <c r="W22">
        <v>3.69</v>
      </c>
      <c r="X22">
        <v>4.0999999999999996</v>
      </c>
      <c r="Y22" s="12">
        <v>42644.368750000001</v>
      </c>
      <c r="Z22" s="17">
        <f t="shared" si="7"/>
        <v>4.3270833333372138</v>
      </c>
      <c r="AA22">
        <v>4.5599999999999996</v>
      </c>
      <c r="AB22">
        <v>2.65</v>
      </c>
      <c r="AC22" s="11">
        <v>42645.396527777775</v>
      </c>
      <c r="AD22" s="17">
        <f t="shared" si="8"/>
        <v>5.3548611111109494</v>
      </c>
      <c r="AE22">
        <v>3.98</v>
      </c>
      <c r="AF22">
        <v>1.9</v>
      </c>
      <c r="AG22" s="12">
        <v>42646.429861111108</v>
      </c>
      <c r="AH22" s="17">
        <f xml:space="preserve"> AG22-C22</f>
        <v>6.3881944444437977</v>
      </c>
      <c r="AI22">
        <v>2.27</v>
      </c>
      <c r="AJ22">
        <v>1.62</v>
      </c>
      <c r="AK22" s="12">
        <v>42647.377083333333</v>
      </c>
      <c r="AL22" s="17">
        <f xml:space="preserve"> AK22-C22</f>
        <v>7.3354166666686069</v>
      </c>
      <c r="AM22">
        <v>1.65</v>
      </c>
      <c r="AN22">
        <v>1.58</v>
      </c>
      <c r="AO22" s="12">
        <v>42647.977777777778</v>
      </c>
      <c r="AP22" s="17">
        <f xml:space="preserve"> AO22-C22</f>
        <v>7.9361111111138598</v>
      </c>
      <c r="AQ22">
        <v>1.5</v>
      </c>
      <c r="AR22">
        <v>2.37</v>
      </c>
      <c r="AS22" s="12">
        <v>42648.38958333333</v>
      </c>
      <c r="AT22" s="17">
        <f>AS22-C22</f>
        <v>8.3479166666656965</v>
      </c>
      <c r="AU22">
        <v>1.3</v>
      </c>
      <c r="AV22">
        <v>4.1900000000000004</v>
      </c>
      <c r="AW22" s="12">
        <v>42648.756249999999</v>
      </c>
      <c r="AX22" s="17">
        <f>AW22-C22</f>
        <v>8.7145833333343035</v>
      </c>
      <c r="AY22">
        <v>1.1599999999999999</v>
      </c>
      <c r="AZ22">
        <v>3.67</v>
      </c>
      <c r="BA22" s="12">
        <v>42650.393055555556</v>
      </c>
      <c r="BB22" s="17">
        <f>BA22-C22</f>
        <v>10.351388888891961</v>
      </c>
      <c r="BC22">
        <v>0.71099999999999997</v>
      </c>
      <c r="BD22">
        <v>1.7</v>
      </c>
      <c r="BE22" s="12">
        <v>42651.397222222222</v>
      </c>
      <c r="BF22" s="17">
        <f>BE22-C22</f>
        <v>11.355555555557657</v>
      </c>
      <c r="BG22">
        <v>0.54</v>
      </c>
      <c r="BH22">
        <v>1.52</v>
      </c>
    </row>
    <row r="23" spans="1:60" s="24" customFormat="1">
      <c r="A23" s="24">
        <v>19</v>
      </c>
      <c r="B23" s="24" t="s">
        <v>249</v>
      </c>
      <c r="C23" s="23">
        <v>42648.4375</v>
      </c>
      <c r="D23" s="24" t="s">
        <v>39</v>
      </c>
      <c r="E23" s="23">
        <v>42648.888888888891</v>
      </c>
      <c r="F23" s="20">
        <f t="shared" si="0"/>
        <v>0.45138888889050577</v>
      </c>
      <c r="G23" s="24">
        <v>28.39</v>
      </c>
      <c r="H23" s="24">
        <v>377.7</v>
      </c>
      <c r="I23" s="23">
        <v>42649.05</v>
      </c>
      <c r="J23" s="20">
        <f t="shared" si="4"/>
        <v>0.61250000000291038</v>
      </c>
      <c r="K23" s="24">
        <v>15.65</v>
      </c>
      <c r="L23" s="24">
        <v>304</v>
      </c>
      <c r="M23" s="23">
        <v>42649.393055555556</v>
      </c>
      <c r="N23" s="20">
        <f t="shared" si="1"/>
        <v>0.95555555555620231</v>
      </c>
      <c r="O23" s="24">
        <v>9.9700000000000006</v>
      </c>
      <c r="P23" s="24">
        <v>228.4</v>
      </c>
      <c r="Q23" s="23">
        <v>42651.397222222222</v>
      </c>
      <c r="R23" s="20">
        <f t="shared" si="5"/>
        <v>2.9597222222218988</v>
      </c>
      <c r="S23" s="24">
        <v>2.66</v>
      </c>
      <c r="T23" s="24">
        <v>3.94</v>
      </c>
      <c r="U23" s="23">
        <v>42652.384722222225</v>
      </c>
      <c r="V23" s="20">
        <f t="shared" si="6"/>
        <v>3.9472222222248092</v>
      </c>
      <c r="W23" s="24">
        <v>2.27</v>
      </c>
      <c r="X23" s="24">
        <v>5.23</v>
      </c>
      <c r="Y23" s="23">
        <v>42653.392361111109</v>
      </c>
      <c r="Z23" s="20">
        <f t="shared" si="7"/>
        <v>4.9548611111094942</v>
      </c>
      <c r="AA23" s="24">
        <v>1.76</v>
      </c>
      <c r="AB23" s="24">
        <v>5.68</v>
      </c>
      <c r="AC23" s="25">
        <v>42654.434027777781</v>
      </c>
      <c r="AD23" s="20">
        <f t="shared" si="8"/>
        <v>5.9965277777810115</v>
      </c>
      <c r="AE23" s="24">
        <v>1.46</v>
      </c>
      <c r="AF23" s="24">
        <v>6.34</v>
      </c>
      <c r="AG23" s="23"/>
      <c r="AH23" s="20"/>
      <c r="AK23" s="23"/>
      <c r="AL23" s="20"/>
      <c r="AO23" s="23"/>
      <c r="AP23" s="20"/>
      <c r="AS23" s="23"/>
      <c r="AT23" s="20"/>
      <c r="AW23" s="23"/>
      <c r="BB23" s="20"/>
      <c r="BF23" s="20"/>
    </row>
    <row r="24" spans="1:60">
      <c r="A24">
        <v>20</v>
      </c>
      <c r="B24" t="s">
        <v>258</v>
      </c>
      <c r="C24" s="12">
        <v>42652</v>
      </c>
      <c r="D24" t="s">
        <v>41</v>
      </c>
      <c r="E24" s="12">
        <v>42653.623611111114</v>
      </c>
      <c r="F24" s="17">
        <f t="shared" si="0"/>
        <v>1.6236111111138598</v>
      </c>
      <c r="G24">
        <v>5.74</v>
      </c>
      <c r="H24">
        <v>292.39999999999998</v>
      </c>
      <c r="I24" s="12">
        <v>42653.833333333336</v>
      </c>
      <c r="J24" s="17">
        <f t="shared" si="4"/>
        <v>1.8333333333357587</v>
      </c>
      <c r="K24">
        <v>8.74</v>
      </c>
      <c r="L24">
        <v>345.5</v>
      </c>
      <c r="M24" s="12">
        <v>42654.493750000001</v>
      </c>
      <c r="N24" s="17">
        <f t="shared" si="1"/>
        <v>2.4937500000014552</v>
      </c>
      <c r="O24">
        <v>3.3</v>
      </c>
      <c r="P24">
        <v>151.19999999999999</v>
      </c>
      <c r="Q24" s="12">
        <v>42655.40347222222</v>
      </c>
      <c r="R24" s="17">
        <f t="shared" si="5"/>
        <v>3.4034722222204437</v>
      </c>
      <c r="S24">
        <v>3.26</v>
      </c>
      <c r="T24">
        <v>17.02</v>
      </c>
      <c r="U24" s="12">
        <v>42656.381249999999</v>
      </c>
      <c r="V24" s="17">
        <f t="shared" si="6"/>
        <v>4.3812499999985448</v>
      </c>
      <c r="W24">
        <v>3.36</v>
      </c>
      <c r="X24">
        <v>5.85</v>
      </c>
      <c r="Y24" s="12">
        <v>42657.434027777781</v>
      </c>
      <c r="Z24" s="17">
        <f t="shared" si="7"/>
        <v>5.4340277777810115</v>
      </c>
      <c r="AA24">
        <v>3.01</v>
      </c>
      <c r="AB24">
        <v>3.24</v>
      </c>
      <c r="AC24" s="11">
        <v>42657.793749999997</v>
      </c>
      <c r="AD24" s="17">
        <f t="shared" si="8"/>
        <v>5.7937499999970896</v>
      </c>
      <c r="AE24">
        <v>2.57</v>
      </c>
      <c r="AF24">
        <v>3.05</v>
      </c>
      <c r="AG24" s="12">
        <v>42658.466666666667</v>
      </c>
      <c r="AH24" s="17">
        <f xml:space="preserve"> AG24-C24</f>
        <v>6.4666666666671517</v>
      </c>
      <c r="AI24">
        <v>1.29</v>
      </c>
      <c r="AJ24">
        <v>2.74</v>
      </c>
      <c r="AK24" s="12">
        <v>42659.46875</v>
      </c>
      <c r="AL24" s="17">
        <f xml:space="preserve"> AK24-C24</f>
        <v>7.46875</v>
      </c>
      <c r="AM24">
        <v>0.57899999999999996</v>
      </c>
      <c r="AN24">
        <v>2.65</v>
      </c>
      <c r="AO24" s="12">
        <v>42660.447916666664</v>
      </c>
      <c r="AP24" s="17">
        <f xml:space="preserve"> AO24-C24</f>
        <v>8.4479166666642413</v>
      </c>
      <c r="AQ24">
        <v>0.30499999999999999</v>
      </c>
      <c r="AR24">
        <v>3.24</v>
      </c>
      <c r="AS24" s="12"/>
      <c r="AT24" s="17"/>
      <c r="AW24" s="12"/>
      <c r="BB24" s="17"/>
      <c r="BF24" s="17"/>
    </row>
    <row r="25" spans="1:60">
      <c r="Y25" s="12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9"/>
  <sheetViews>
    <sheetView topLeftCell="K1" workbookViewId="0">
      <selection activeCell="R6" sqref="R6:AB6"/>
    </sheetView>
  </sheetViews>
  <sheetFormatPr defaultColWidth="11.42578125" defaultRowHeight="15"/>
  <cols>
    <col min="2" max="2" width="9.42578125" bestFit="1" customWidth="1"/>
    <col min="6" max="6" width="11.28515625" bestFit="1" customWidth="1"/>
  </cols>
  <sheetData>
    <row r="1" spans="1:32">
      <c r="A1" s="28" t="s">
        <v>328</v>
      </c>
    </row>
    <row r="2" spans="1:32">
      <c r="A2" s="24" t="s">
        <v>329</v>
      </c>
      <c r="B2" s="24"/>
      <c r="C2" s="24"/>
      <c r="D2" s="24"/>
    </row>
    <row r="3" spans="1:32">
      <c r="A3" s="33" t="s">
        <v>305</v>
      </c>
      <c r="B3" s="33"/>
      <c r="C3" s="33"/>
      <c r="D3" s="33"/>
      <c r="E3" s="33"/>
      <c r="F3" s="33"/>
      <c r="G3" s="33"/>
      <c r="H3" s="33"/>
      <c r="I3" s="33"/>
      <c r="J3" s="22"/>
      <c r="K3" s="22"/>
      <c r="L3" s="22"/>
      <c r="M3" s="22"/>
      <c r="N3" s="22"/>
      <c r="O3" s="22"/>
      <c r="P3" s="22"/>
      <c r="Q3" s="33" t="s">
        <v>326</v>
      </c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22"/>
    </row>
    <row r="4" spans="1:32">
      <c r="A4" s="21" t="s">
        <v>304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2"/>
      <c r="Q4" s="21" t="s">
        <v>304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</row>
    <row r="5" spans="1:32">
      <c r="A5" s="21" t="s">
        <v>306</v>
      </c>
      <c r="B5" s="18">
        <f>STEMI_ORGANIZZATI!F5</f>
        <v>2.7548611111124046</v>
      </c>
      <c r="D5" s="17">
        <f>STEMI_ORGANIZZATI!N5</f>
        <v>2.8923611111094942</v>
      </c>
      <c r="E5" s="17">
        <f>STEMI_ORGANIZZATI!R5</f>
        <v>3.9152777777781012</v>
      </c>
      <c r="F5" s="17">
        <f>STEMI_ORGANIZZATI!V5</f>
        <v>5.5881944444408873</v>
      </c>
      <c r="G5" s="17"/>
      <c r="H5" s="17"/>
      <c r="I5" s="17"/>
      <c r="J5" s="17"/>
      <c r="K5" s="17"/>
      <c r="L5" s="17"/>
      <c r="M5" s="17"/>
      <c r="N5" s="17"/>
      <c r="O5" s="17"/>
      <c r="P5" s="22"/>
      <c r="Q5" s="21" t="s">
        <v>306</v>
      </c>
      <c r="R5" s="14">
        <f>STEMI_ORGANIZZATI!G5</f>
        <v>0.81399999999999995</v>
      </c>
      <c r="S5">
        <f>STEMI_ORGANIZZATI!O5</f>
        <v>0.96699999999999997</v>
      </c>
      <c r="T5">
        <f>STEMI_ORGANIZZATI!S5</f>
        <v>0.84799999999999998</v>
      </c>
      <c r="U5">
        <f>STEMI_ORGANIZZATI!W5</f>
        <v>0.90900000000000003</v>
      </c>
      <c r="AF5" s="22"/>
    </row>
    <row r="6" spans="1:32">
      <c r="A6" s="21" t="s">
        <v>307</v>
      </c>
      <c r="B6" s="18">
        <f>STEMI_ORGANIZZATI!F6</f>
        <v>0.19722222222480923</v>
      </c>
      <c r="D6" s="17">
        <f>STEMI_ORGANIZZATI!N6</f>
        <v>0.53749999999854481</v>
      </c>
      <c r="E6" s="17">
        <f>STEMI_ORGANIZZATI!R6</f>
        <v>0.60694444444379769</v>
      </c>
      <c r="F6" s="17">
        <f>STEMI_ORGANIZZATI!V6</f>
        <v>1.640277777776646</v>
      </c>
      <c r="G6" s="17">
        <f>STEMI_ORGANIZZATI!Z6</f>
        <v>2.6493055555547471</v>
      </c>
      <c r="H6" s="17">
        <f>STEMI_ORGANIZZATI!AD6</f>
        <v>3.0381944444452529</v>
      </c>
      <c r="I6" s="17">
        <f>STEMI_ORGANIZZATI!AH6</f>
        <v>3.6624999999985448</v>
      </c>
      <c r="J6" s="17">
        <f>STEMI_ORGANIZZATI!AL6</f>
        <v>4.6437500000029104</v>
      </c>
      <c r="K6" s="17">
        <f>STEMI_ORGANIZZATI!AP6</f>
        <v>5.6034722222248092</v>
      </c>
      <c r="L6" s="17">
        <f>STEMI_ORGANIZZATI!AT6</f>
        <v>6.6222222222204437</v>
      </c>
      <c r="M6" s="17">
        <f>STEMI_ORGANIZZATI!AX6</f>
        <v>7.7013888888905058</v>
      </c>
      <c r="N6" s="17"/>
      <c r="O6" s="17"/>
      <c r="P6" s="22"/>
      <c r="Q6" s="21" t="s">
        <v>307</v>
      </c>
      <c r="R6" s="14">
        <f>STEMI_ORGANIZZATI!G6</f>
        <v>9.8000000000000004E-2</v>
      </c>
      <c r="S6">
        <f>STEMI_ORGANIZZATI!O6</f>
        <v>0.13</v>
      </c>
      <c r="T6">
        <f>STEMI_ORGANIZZATI!S6</f>
        <v>0.13100000000000001</v>
      </c>
      <c r="U6">
        <f>STEMI_ORGANIZZATI!W6</f>
        <v>0.16300000000000001</v>
      </c>
      <c r="V6">
        <f>STEMI_ORGANIZZATI!AA6</f>
        <v>0.15</v>
      </c>
      <c r="W6">
        <f>STEMI_ORGANIZZATI!AE6</f>
        <v>0.14699999999999999</v>
      </c>
      <c r="X6">
        <f>STEMI_ORGANIZZATI!AI6</f>
        <v>0.17799999999999999</v>
      </c>
      <c r="Y6">
        <f>STEMI_ORGANIZZATI!AM6</f>
        <v>0.18099999999999999</v>
      </c>
      <c r="Z6">
        <f>STEMI_ORGANIZZATI!AQ6</f>
        <v>0.183</v>
      </c>
      <c r="AA6">
        <f>STEMI_ORGANIZZATI!AU6</f>
        <v>0.13900000000000001</v>
      </c>
      <c r="AB6">
        <f>STEMI_ORGANIZZATI!AY6</f>
        <v>9.4E-2</v>
      </c>
      <c r="AF6" s="22"/>
    </row>
    <row r="7" spans="1:32">
      <c r="A7" s="21" t="s">
        <v>308</v>
      </c>
      <c r="B7" s="17">
        <f>STEMI_ORGANIZZATI!F7</f>
        <v>0.25</v>
      </c>
      <c r="C7" s="17">
        <f>STEMI_ORGANIZZATI!J7</f>
        <v>0.43611111110658385</v>
      </c>
      <c r="D7" s="17">
        <f>STEMI_ORGANIZZATI!N7</f>
        <v>0.788888888884685</v>
      </c>
      <c r="E7" s="17">
        <f>STEMI_ORGANIZZATI!R7</f>
        <v>1.8111111111065838</v>
      </c>
      <c r="F7" s="17">
        <f>STEMI_ORGANIZZATI!V7</f>
        <v>2.8090277777737356</v>
      </c>
      <c r="G7" s="17">
        <f>STEMI_ORGANIZZATI!Z7</f>
        <v>3.8576388888832298</v>
      </c>
      <c r="H7" s="17">
        <f>STEMI_ORGANIZZATI!AD7</f>
        <v>4.8416666666671517</v>
      </c>
      <c r="I7" s="17">
        <f>STEMI_ORGANIZZATI!AH7</f>
        <v>6.8374999999941792</v>
      </c>
      <c r="J7" s="17"/>
      <c r="K7" s="17"/>
      <c r="L7" s="17"/>
      <c r="M7" s="17"/>
      <c r="N7" s="17"/>
      <c r="O7" s="17"/>
      <c r="P7" s="22"/>
      <c r="Q7" s="21" t="s">
        <v>308</v>
      </c>
      <c r="R7">
        <f>STEMI_ORGANIZZATI!G7</f>
        <v>12.9</v>
      </c>
      <c r="S7">
        <f>STEMI_ORGANIZZATI!K7</f>
        <v>6.94</v>
      </c>
      <c r="T7">
        <f>STEMI_ORGANIZZATI!O7</f>
        <v>4.58</v>
      </c>
      <c r="U7">
        <f>STEMI_ORGANIZZATI!S7</f>
        <v>2.93</v>
      </c>
      <c r="V7">
        <f>STEMI_ORGANIZZATI!W7</f>
        <v>4.08</v>
      </c>
      <c r="W7">
        <f>STEMI_ORGANIZZATI!AA7</f>
        <v>3.72</v>
      </c>
      <c r="X7">
        <f>STEMI_ORGANIZZATI!AE7</f>
        <v>2.41</v>
      </c>
      <c r="Y7">
        <f>STEMI_ORGANIZZATI!AI7</f>
        <v>0.67400000000000004</v>
      </c>
      <c r="AF7" s="22"/>
    </row>
    <row r="8" spans="1:32">
      <c r="A8" s="21" t="s">
        <v>309</v>
      </c>
      <c r="B8" s="17">
        <f>STEMI_ORGANIZZATI!F8</f>
        <v>0.21111111110803904</v>
      </c>
      <c r="C8" s="17">
        <f>STEMI_ORGANIZZATI!J8</f>
        <v>0.42986111110803904</v>
      </c>
      <c r="D8" s="17">
        <f>STEMI_ORGANIZZATI!N8</f>
        <v>0.95138888888322981</v>
      </c>
      <c r="E8" s="17">
        <f>STEMI_ORGANIZZATI!R8</f>
        <v>2.0048611111051287</v>
      </c>
      <c r="F8" s="17">
        <f>STEMI_ORGANIZZATI!V8</f>
        <v>3.0034722222189885</v>
      </c>
      <c r="G8" s="17">
        <f>STEMI_ORGANIZZATI!Z8</f>
        <v>4.0527777777751908</v>
      </c>
      <c r="H8" s="17">
        <f>STEMI_ORGANIZZATI!AD8</f>
        <v>5.0319444444394321</v>
      </c>
      <c r="I8" s="17">
        <f>STEMI_ORGANIZZATI!AH8</f>
        <v>6.0270833333343035</v>
      </c>
      <c r="J8" s="17">
        <f>STEMI_ORGANIZZATI!AL8</f>
        <v>7.0291666666671517</v>
      </c>
      <c r="K8" s="17"/>
      <c r="L8" s="17"/>
      <c r="M8" s="17"/>
      <c r="N8" s="17"/>
      <c r="O8" s="17"/>
      <c r="P8" s="22"/>
      <c r="Q8" s="21" t="s">
        <v>309</v>
      </c>
      <c r="R8">
        <f>STEMI_ORGANIZZATI!G8</f>
        <v>0.189</v>
      </c>
      <c r="S8">
        <f>STEMI_ORGANIZZATI!K8</f>
        <v>0.46800000000000003</v>
      </c>
      <c r="T8">
        <f>STEMI_ORGANIZZATI!O8</f>
        <v>0.32200000000000001</v>
      </c>
      <c r="U8">
        <f>STEMI_ORGANIZZATI!S8</f>
        <v>0.23200000000000001</v>
      </c>
      <c r="V8">
        <f>STEMI_ORGANIZZATI!W8</f>
        <v>0.24</v>
      </c>
      <c r="W8">
        <f>STEMI_ORGANIZZATI!AA8</f>
        <v>0.23100000000000001</v>
      </c>
      <c r="X8">
        <f>STEMI_ORGANIZZATI!AE8</f>
        <v>0.19900000000000001</v>
      </c>
      <c r="Y8">
        <f>STEMI_ORGANIZZATI!AI8</f>
        <v>0.14599999999999999</v>
      </c>
      <c r="Z8">
        <f>STEMI_ORGANIZZATI!AM8</f>
        <v>0.11</v>
      </c>
      <c r="AF8" s="22"/>
    </row>
    <row r="9" spans="1:32">
      <c r="A9" s="21" t="s">
        <v>310</v>
      </c>
      <c r="B9" s="20">
        <f>STEMI_ORGANIZZATI!F9</f>
        <v>3.5416666665696539E-2</v>
      </c>
      <c r="C9" s="17">
        <f>STEMI_ORGANIZZATI!J9</f>
        <v>0.16041666666569654</v>
      </c>
      <c r="D9" s="17">
        <f>STEMI_ORGANIZZATI!N9</f>
        <v>0.46180555555474712</v>
      </c>
      <c r="E9" s="17">
        <f>STEMI_ORGANIZZATI!R9</f>
        <v>1.4638888888875954</v>
      </c>
      <c r="F9" s="17">
        <f>STEMI_ORGANIZZATI!V9</f>
        <v>2.4375</v>
      </c>
      <c r="G9" s="17">
        <f>STEMI_ORGANIZZATI!Z9</f>
        <v>3.4159722222248092</v>
      </c>
      <c r="H9" s="17">
        <f>STEMI_ORGANIZZATI!AD9</f>
        <v>4.429861111108039</v>
      </c>
      <c r="I9" s="17"/>
      <c r="J9" s="17"/>
      <c r="K9" s="17"/>
      <c r="L9" s="17"/>
      <c r="M9" s="17"/>
      <c r="N9" s="17"/>
      <c r="O9" s="17"/>
      <c r="P9" s="22"/>
      <c r="Q9" s="21" t="s">
        <v>310</v>
      </c>
      <c r="R9" s="24">
        <f>STEMI_ORGANIZZATI!G9</f>
        <v>2.2400000000000002</v>
      </c>
      <c r="S9">
        <f>STEMI_ORGANIZZATI!K9</f>
        <v>6.93</v>
      </c>
      <c r="T9">
        <f>STEMI_ORGANIZZATI!O9</f>
        <v>7.01</v>
      </c>
      <c r="U9">
        <f>STEMI_ORGANIZZATI!S9</f>
        <v>2.4900000000000002</v>
      </c>
      <c r="V9">
        <f>STEMI_ORGANIZZATI!W9</f>
        <v>3.16</v>
      </c>
      <c r="W9">
        <f>STEMI_ORGANIZZATI!AA9</f>
        <v>3.82</v>
      </c>
      <c r="X9">
        <f>STEMI_ORGANIZZATI!AE9</f>
        <v>3.4</v>
      </c>
      <c r="AF9" s="22"/>
    </row>
    <row r="10" spans="1:32">
      <c r="A10" s="21" t="s">
        <v>311</v>
      </c>
      <c r="B10" s="17">
        <f>STEMI_ORGANIZZATI!F10</f>
        <v>0.21458333333430346</v>
      </c>
      <c r="C10" s="17">
        <f>STEMI_ORGANIZZATI!J10</f>
        <v>0.51527777777664596</v>
      </c>
      <c r="D10" s="17">
        <f>STEMI_ORGANIZZATI!N10</f>
        <v>0.81111111110658385</v>
      </c>
      <c r="E10" s="17">
        <f>STEMI_ORGANIZZATI!R10</f>
        <v>1.8638888888890506</v>
      </c>
      <c r="F10" s="17">
        <f>STEMI_ORGANIZZATI!V10</f>
        <v>2.84375</v>
      </c>
      <c r="G10" s="17"/>
      <c r="H10" s="17"/>
      <c r="I10" s="17"/>
      <c r="J10" s="17"/>
      <c r="K10" s="17"/>
      <c r="L10" s="17"/>
      <c r="M10" s="17"/>
      <c r="N10" s="17"/>
      <c r="O10" s="17"/>
      <c r="P10" s="22"/>
      <c r="Q10" s="21" t="s">
        <v>311</v>
      </c>
      <c r="R10">
        <f>STEMI_ORGANIZZATI!G10</f>
        <v>0.34499999999999997</v>
      </c>
      <c r="S10">
        <f>STEMI_ORGANIZZATI!K10</f>
        <v>1.3</v>
      </c>
      <c r="T10">
        <f>STEMI_ORGANIZZATI!O10</f>
        <v>0.89300000000000002</v>
      </c>
      <c r="U10">
        <f>STEMI_ORGANIZZATI!S10</f>
        <v>0.75900000000000001</v>
      </c>
      <c r="V10">
        <f>STEMI_ORGANIZZATI!W10</f>
        <v>1.02</v>
      </c>
      <c r="AF10" s="22"/>
    </row>
    <row r="11" spans="1:32">
      <c r="A11" s="21" t="s">
        <v>312</v>
      </c>
      <c r="B11" s="17">
        <f>STEMI_ORGANIZZATI!F11</f>
        <v>0.21597222222771961</v>
      </c>
      <c r="C11" s="17">
        <f>STEMI_ORGANIZZATI!J11</f>
        <v>0.39375000000291038</v>
      </c>
      <c r="D11" s="17">
        <f>STEMI_ORGANIZZATI!N11</f>
        <v>1.2319444444437977</v>
      </c>
      <c r="E11" s="17">
        <f>STEMI_ORGANIZZATI!R11</f>
        <v>2.2902777777781012</v>
      </c>
      <c r="F11" s="17">
        <f>STEMI_ORGANIZZATI!V11</f>
        <v>3.2770833333343035</v>
      </c>
      <c r="G11" s="17">
        <f>STEMI_ORGANIZZATI!Z11</f>
        <v>4.2694444444496185</v>
      </c>
      <c r="H11" s="17">
        <f>STEMI_ORGANIZZATI!AD11</f>
        <v>5.2715277777824667</v>
      </c>
      <c r="I11" s="17"/>
      <c r="J11" s="17"/>
      <c r="K11" s="17"/>
      <c r="L11" s="17"/>
      <c r="M11" s="17"/>
      <c r="N11" s="17"/>
      <c r="O11" s="17"/>
      <c r="P11" s="22"/>
      <c r="Q11" s="21" t="s">
        <v>312</v>
      </c>
      <c r="R11">
        <f>STEMI_ORGANIZZATI!G11</f>
        <v>9.6000000000000002E-2</v>
      </c>
      <c r="S11">
        <f>STEMI_ORGANIZZATI!K11</f>
        <v>0.245</v>
      </c>
      <c r="T11">
        <f>STEMI_ORGANIZZATI!O11</f>
        <v>0.63600000000000001</v>
      </c>
      <c r="U11">
        <f>STEMI_ORGANIZZATI!S11</f>
        <v>0.47399999999999998</v>
      </c>
      <c r="V11">
        <f>STEMI_ORGANIZZATI!W11</f>
        <v>0.61399999999999999</v>
      </c>
      <c r="W11">
        <f>STEMI_ORGANIZZATI!AA11</f>
        <v>0.628</v>
      </c>
      <c r="X11">
        <f>STEMI_ORGANIZZATI!AE11</f>
        <v>0.39</v>
      </c>
      <c r="AF11" s="22"/>
    </row>
    <row r="12" spans="1:32">
      <c r="A12" s="21" t="s">
        <v>313</v>
      </c>
      <c r="B12" s="17">
        <f>STEMI_ORGANIZZATI!F12</f>
        <v>0.18263888888759539</v>
      </c>
      <c r="C12" s="17">
        <f>STEMI_ORGANIZZATI!J12</f>
        <v>0.50347222221898846</v>
      </c>
      <c r="D12" s="17">
        <f>STEMI_ORGANIZZATI!N12</f>
        <v>0.58819444444088731</v>
      </c>
      <c r="E12" s="17">
        <f>STEMI_ORGANIZZATI!R12</f>
        <v>1.5944444444394321</v>
      </c>
      <c r="F12" s="17">
        <f>STEMI_ORGANIZZATI!V12</f>
        <v>2.5763888888832298</v>
      </c>
      <c r="G12" s="17">
        <f>STEMI_ORGANIZZATI!Z12</f>
        <v>3.5847222222218988</v>
      </c>
      <c r="H12" s="17">
        <f>STEMI_ORGANIZZATI!AD12</f>
        <v>4.5986111111051287</v>
      </c>
      <c r="I12" s="17"/>
      <c r="J12" s="17"/>
      <c r="K12" s="17"/>
      <c r="L12" s="17"/>
      <c r="M12" s="17"/>
      <c r="N12" s="17"/>
      <c r="O12" s="17"/>
      <c r="P12" s="22"/>
      <c r="Q12" s="21" t="s">
        <v>313</v>
      </c>
      <c r="R12">
        <f>STEMI_ORGANIZZATI!G12</f>
        <v>0.153</v>
      </c>
      <c r="S12">
        <f>STEMI_ORGANIZZATI!K12</f>
        <v>0.155</v>
      </c>
      <c r="T12">
        <f>STEMI_ORGANIZZATI!O12</f>
        <v>0.17399999999999999</v>
      </c>
      <c r="U12">
        <f>STEMI_ORGANIZZATI!S12</f>
        <v>0.113</v>
      </c>
      <c r="V12">
        <f>STEMI_ORGANIZZATI!W12</f>
        <v>0.114</v>
      </c>
      <c r="W12">
        <f>STEMI_ORGANIZZATI!AA12</f>
        <v>0.14199999999999999</v>
      </c>
      <c r="X12">
        <f>STEMI_ORGANIZZATI!AE12</f>
        <v>7.0000000000000007E-2</v>
      </c>
      <c r="AF12" s="22"/>
    </row>
    <row r="13" spans="1:32">
      <c r="A13" s="21" t="s">
        <v>314</v>
      </c>
      <c r="B13" s="17">
        <f>STEMI_ORGANIZZATI!F13</f>
        <v>0.3631944444423425</v>
      </c>
      <c r="C13" s="17">
        <f>STEMI_ORGANIZZATI!J13</f>
        <v>1.0847222222218988</v>
      </c>
      <c r="D13" s="17">
        <f>STEMI_ORGANIZZATI!N13</f>
        <v>2.1180555555547471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2"/>
      <c r="Q13" s="21" t="s">
        <v>314</v>
      </c>
      <c r="R13">
        <f>STEMI_ORGANIZZATI!G13</f>
        <v>2.9000000000000001E-2</v>
      </c>
      <c r="S13">
        <f>STEMI_ORGANIZZATI!K13</f>
        <v>3.1E-2</v>
      </c>
      <c r="T13">
        <f>STEMI_ORGANIZZATI!O13</f>
        <v>3.5999999999999997E-2</v>
      </c>
      <c r="AF13" s="22"/>
    </row>
    <row r="14" spans="1:32">
      <c r="A14" s="21" t="s">
        <v>315</v>
      </c>
      <c r="B14" s="17">
        <f>STEMI_ORGANIZZATI!F14</f>
        <v>1.3493055555591127</v>
      </c>
      <c r="C14" s="17">
        <f>STEMI_ORGANIZZATI!J14</f>
        <v>1.7930555555576575</v>
      </c>
      <c r="D14" s="17">
        <f>STEMI_ORGANIZZATI!N14</f>
        <v>2.8263888888905058</v>
      </c>
      <c r="E14" s="17">
        <f>STEMI_ORGANIZZATI!R14</f>
        <v>3.1437500000029104</v>
      </c>
      <c r="F14" s="17">
        <f>STEMI_ORGANIZZATI!V14</f>
        <v>3.7770833333343035</v>
      </c>
      <c r="G14" s="17">
        <f>STEMI_ORGANIZZATI!Z14</f>
        <v>4.8138888888861402</v>
      </c>
      <c r="H14" s="17"/>
      <c r="I14" s="17"/>
      <c r="J14" s="17"/>
      <c r="K14" s="17"/>
      <c r="L14" s="17"/>
      <c r="M14" s="17"/>
      <c r="N14" s="17"/>
      <c r="O14" s="17"/>
      <c r="P14" s="22"/>
      <c r="Q14" s="21" t="s">
        <v>315</v>
      </c>
      <c r="R14">
        <f>STEMI_ORGANIZZATI!G14</f>
        <v>1.78</v>
      </c>
      <c r="S14">
        <f>STEMI_ORGANIZZATI!K14</f>
        <v>2.06</v>
      </c>
      <c r="T14">
        <f>STEMI_ORGANIZZATI!O14</f>
        <v>2.17</v>
      </c>
      <c r="U14">
        <f>STEMI_ORGANIZZATI!S14</f>
        <v>1.96</v>
      </c>
      <c r="V14">
        <f>STEMI_ORGANIZZATI!W14</f>
        <v>1.67</v>
      </c>
      <c r="W14">
        <f>STEMI_ORGANIZZATI!AA14</f>
        <v>1.06</v>
      </c>
      <c r="AF14" s="22"/>
    </row>
    <row r="15" spans="1:32">
      <c r="A15" s="21" t="s">
        <v>316</v>
      </c>
      <c r="B15" s="17">
        <f>STEMI_ORGANIZZATI!F15</f>
        <v>0.20555555555620231</v>
      </c>
      <c r="C15" s="17">
        <f>STEMI_ORGANIZZATI!J15</f>
        <v>0.36597222222189885</v>
      </c>
      <c r="D15" s="17">
        <f>STEMI_ORGANIZZATI!N15</f>
        <v>0.79097222222480923</v>
      </c>
      <c r="E15" s="17">
        <f>STEMI_ORGANIZZATI!R15</f>
        <v>1.8111111111138598</v>
      </c>
      <c r="F15" s="17">
        <f>STEMI_ORGANIZZATI!V15</f>
        <v>2.8090277777810115</v>
      </c>
      <c r="G15" s="17">
        <f>STEMI_ORGANIZZATI!Z15</f>
        <v>3.773611111108039</v>
      </c>
      <c r="H15" s="17"/>
      <c r="I15" s="17"/>
      <c r="J15" s="17"/>
      <c r="K15" s="17"/>
      <c r="L15" s="17"/>
      <c r="M15" s="17"/>
      <c r="N15" s="17"/>
      <c r="O15" s="17"/>
      <c r="P15" s="22"/>
      <c r="Q15" s="21" t="s">
        <v>316</v>
      </c>
      <c r="R15">
        <f>STEMI_ORGANIZZATI!G15</f>
        <v>9.6000000000000002E-2</v>
      </c>
      <c r="S15">
        <f>STEMI_ORGANIZZATI!K15</f>
        <v>0.38900000000000001</v>
      </c>
      <c r="T15">
        <f>STEMI_ORGANIZZATI!O15</f>
        <v>0.79600000000000004</v>
      </c>
      <c r="U15">
        <f>STEMI_ORGANIZZATI!S15</f>
        <v>0.436</v>
      </c>
      <c r="V15">
        <f>STEMI_ORGANIZZATI!W15</f>
        <v>0.48699999999999999</v>
      </c>
      <c r="W15">
        <f>STEMI_ORGANIZZATI!AA15</f>
        <v>0.52100000000000002</v>
      </c>
      <c r="AF15" s="22"/>
    </row>
    <row r="16" spans="1:32">
      <c r="A16" s="21" t="s">
        <v>317</v>
      </c>
      <c r="B16" s="17">
        <f>STEMI_ORGANIZZATI!F16</f>
        <v>0.30694444444816327</v>
      </c>
      <c r="C16" s="17">
        <f>STEMI_ORGANIZZATI!J16</f>
        <v>0.65625</v>
      </c>
      <c r="D16" s="17">
        <f>STEMI_ORGANIZZATI!N16</f>
        <v>1.0638888888934162</v>
      </c>
      <c r="E16" s="17">
        <f>STEMI_ORGANIZZATI!R16</f>
        <v>1.8034722222218988</v>
      </c>
      <c r="F16" s="17">
        <f>STEMI_ORGANIZZATI!V16</f>
        <v>2.7673611111167702</v>
      </c>
      <c r="G16" s="17">
        <f>STEMI_ORGANIZZATI!Z16</f>
        <v>3.7319444444437977</v>
      </c>
      <c r="H16" s="17">
        <f>STEMI_ORGANIZZATI!AD16</f>
        <v>4.788888888891961</v>
      </c>
      <c r="I16" s="17">
        <f>STEMI_ORGANIZZATI!AH16</f>
        <v>6.7756944444481633</v>
      </c>
      <c r="J16" s="17"/>
      <c r="K16" s="17"/>
      <c r="L16" s="17"/>
      <c r="M16" s="17"/>
      <c r="N16" s="17"/>
      <c r="O16" s="17"/>
      <c r="P16" s="22"/>
      <c r="Q16" s="21" t="s">
        <v>317</v>
      </c>
      <c r="R16">
        <f>STEMI_ORGANIZZATI!G16</f>
        <v>18.239999999999998</v>
      </c>
      <c r="S16">
        <f>STEMI_ORGANIZZATI!K16</f>
        <v>11.91</v>
      </c>
      <c r="T16">
        <f>STEMI_ORGANIZZATI!O16</f>
        <v>8.33</v>
      </c>
      <c r="U16">
        <f>STEMI_ORGANIZZATI!S16</f>
        <v>6.01</v>
      </c>
      <c r="V16">
        <f>STEMI_ORGANIZZATI!W16</f>
        <v>5.64</v>
      </c>
      <c r="W16">
        <f>STEMI_ORGANIZZATI!AA16</f>
        <v>5.68</v>
      </c>
      <c r="X16">
        <f>STEMI_ORGANIZZATI!AE16</f>
        <v>5.45</v>
      </c>
      <c r="Y16">
        <f>STEMI_ORGANIZZATI!AI16</f>
        <v>2.0699999999999998</v>
      </c>
      <c r="AF16" s="22"/>
    </row>
    <row r="17" spans="1:32">
      <c r="A17" s="21" t="s">
        <v>318</v>
      </c>
      <c r="B17" s="17">
        <f>STEMI_ORGANIZZATI!F17</f>
        <v>0.99166666666860692</v>
      </c>
      <c r="C17" s="17">
        <f>STEMI_ORGANIZZATI!J17</f>
        <v>0.99027777778246673</v>
      </c>
      <c r="D17" s="17">
        <f>STEMI_ORGANIZZATI!N17</f>
        <v>1.2173611111138598</v>
      </c>
      <c r="E17" s="17">
        <f>STEMI_ORGANIZZATI!R17</f>
        <v>1.7694444444496185</v>
      </c>
      <c r="F17" s="17">
        <f>STEMI_ORGANIZZATI!V17</f>
        <v>2.7673611111167702</v>
      </c>
      <c r="G17" s="17">
        <f>STEMI_ORGANIZZATI!Z17</f>
        <v>3.711111111115315</v>
      </c>
      <c r="H17" s="17">
        <f>STEMI_ORGANIZZATI!AD17</f>
        <v>4.765277777776646</v>
      </c>
      <c r="I17" s="17">
        <f>STEMI_ORGANIZZATI!AH17</f>
        <v>5.7805555555605679</v>
      </c>
      <c r="J17" s="17">
        <f>STEMI_ORGANIZZATI!AL17</f>
        <v>5.7805555555605679</v>
      </c>
      <c r="K17" s="17"/>
      <c r="L17" s="17"/>
      <c r="M17" s="17"/>
      <c r="N17" s="17"/>
      <c r="O17" s="17"/>
      <c r="P17" s="22"/>
      <c r="Q17" s="21" t="s">
        <v>318</v>
      </c>
      <c r="R17">
        <f>STEMI_ORGANIZZATI!G17</f>
        <v>3.87</v>
      </c>
      <c r="S17">
        <f>STEMI_ORGANIZZATI!K17</f>
        <v>3.87</v>
      </c>
      <c r="T17">
        <f>STEMI_ORGANIZZATI!O17</f>
        <v>2.9</v>
      </c>
      <c r="U17">
        <f>STEMI_ORGANIZZATI!S17</f>
        <v>3.1</v>
      </c>
      <c r="V17">
        <f>STEMI_ORGANIZZATI!W17</f>
        <v>2.38</v>
      </c>
      <c r="W17">
        <f>STEMI_ORGANIZZATI!AA17</f>
        <v>2.64</v>
      </c>
      <c r="X17">
        <f>STEMI_ORGANIZZATI!AE17</f>
        <v>2.4900000000000002</v>
      </c>
      <c r="Y17">
        <f>STEMI_ORGANIZZATI!AI17</f>
        <v>0.01</v>
      </c>
      <c r="Z17">
        <f>STEMI_ORGANIZZATI!AM17</f>
        <v>2.0299999999999998</v>
      </c>
      <c r="AF17" s="22"/>
    </row>
    <row r="18" spans="1:32">
      <c r="A18" s="21" t="s">
        <v>319</v>
      </c>
      <c r="B18" s="17">
        <f>STEMI_ORGANIZZATI!F18</f>
        <v>0.56458333333284827</v>
      </c>
      <c r="C18" s="17">
        <f>STEMI_ORGANIZZATI!J18</f>
        <v>0.77291666666860692</v>
      </c>
      <c r="D18" s="17">
        <f>STEMI_ORGANIZZATI!N18</f>
        <v>1.1548611111138598</v>
      </c>
      <c r="E18" s="17">
        <f>STEMI_ORGANIZZATI!R18</f>
        <v>1.6041666666642413</v>
      </c>
      <c r="F18" s="17">
        <f>STEMI_ORGANIZZATI!V18</f>
        <v>2.1374999999970896</v>
      </c>
      <c r="G18" s="17">
        <f>STEMI_ORGANIZZATI!Z18</f>
        <v>3.1381944444437977</v>
      </c>
      <c r="H18" s="17">
        <f>STEMI_ORGANIZZATI!AD18</f>
        <v>4.203472222223354</v>
      </c>
      <c r="I18" s="17">
        <f>STEMI_ORGANIZZATI!AH18</f>
        <v>5.1645833333313931</v>
      </c>
      <c r="J18" s="17">
        <f>STEMI_ORGANIZZATI!AL18</f>
        <v>6.171527777776646</v>
      </c>
      <c r="K18" s="17">
        <f>STEMI_ORGANIZZATI!AP18</f>
        <v>7.1513888888875954</v>
      </c>
      <c r="L18" s="17"/>
      <c r="M18" s="17"/>
      <c r="N18" s="17"/>
      <c r="O18" s="17"/>
      <c r="P18" s="22"/>
      <c r="Q18" s="21" t="s">
        <v>319</v>
      </c>
      <c r="R18">
        <f>STEMI_ORGANIZZATI!G18</f>
        <v>2.83</v>
      </c>
      <c r="S18">
        <f>STEMI_ORGANIZZATI!K18</f>
        <v>4.0999999999999996</v>
      </c>
      <c r="T18">
        <f>STEMI_ORGANIZZATI!O18</f>
        <v>2.44</v>
      </c>
      <c r="U18">
        <f>STEMI_ORGANIZZATI!S18</f>
        <v>1.68</v>
      </c>
      <c r="V18">
        <f>STEMI_ORGANIZZATI!W18</f>
        <v>2.16</v>
      </c>
      <c r="W18">
        <f>STEMI_ORGANIZZATI!AA18</f>
        <v>2.87</v>
      </c>
      <c r="X18">
        <f>STEMI_ORGANIZZATI!AE18</f>
        <v>2.09</v>
      </c>
      <c r="Y18">
        <f>STEMI_ORGANIZZATI!AI18</f>
        <v>0.99199999999999999</v>
      </c>
      <c r="Z18">
        <f>STEMI_ORGANIZZATI!AM18</f>
        <v>0.45100000000000001</v>
      </c>
      <c r="AA18">
        <f>STEMI_ORGANIZZATI!AQ18</f>
        <v>0.20499999999999999</v>
      </c>
      <c r="AF18" s="22"/>
    </row>
    <row r="19" spans="1:32">
      <c r="A19" s="21" t="s">
        <v>320</v>
      </c>
      <c r="B19" s="17">
        <f>STEMI_ORGANIZZATI!F19</f>
        <v>0.74722222222044365</v>
      </c>
      <c r="C19" s="20">
        <f>STEMI_ORGANIZZATI!J19</f>
        <v>1.2729166666686069</v>
      </c>
      <c r="D19" s="17">
        <f>STEMI_ORGANIZZATI!N19</f>
        <v>1.6159722222218988</v>
      </c>
      <c r="E19" s="17">
        <f>STEMI_ORGANIZZATI!R19</f>
        <v>2.6374999999970896</v>
      </c>
      <c r="F19" s="17">
        <f>STEMI_ORGANIZZATI!V19</f>
        <v>3.0104166666642413</v>
      </c>
      <c r="G19" s="17">
        <f>STEMI_ORGANIZZATI!Z19</f>
        <v>3.6479166666686069</v>
      </c>
      <c r="H19" s="17">
        <f>STEMI_ORGANIZZATI!AD19</f>
        <v>5.6770833333357587</v>
      </c>
      <c r="I19" s="17"/>
      <c r="J19" s="17"/>
      <c r="K19" s="17"/>
      <c r="L19" s="17"/>
      <c r="M19" s="17"/>
      <c r="N19" s="17"/>
      <c r="O19" s="17"/>
      <c r="P19" s="22"/>
      <c r="Q19" s="21" t="s">
        <v>320</v>
      </c>
      <c r="R19">
        <f>STEMI_ORGANIZZATI!G19</f>
        <v>1.44</v>
      </c>
      <c r="S19" s="24">
        <f>STEMI_ORGANIZZATI!K19</f>
        <v>2.0099999999999998</v>
      </c>
      <c r="T19">
        <f>STEMI_ORGANIZZATI!O19</f>
        <v>1.7</v>
      </c>
      <c r="U19">
        <f>STEMI_ORGANIZZATI!S19</f>
        <v>1.89</v>
      </c>
      <c r="V19">
        <f>STEMI_ORGANIZZATI!W19</f>
        <v>1.72</v>
      </c>
      <c r="W19">
        <f>STEMI_ORGANIZZATI!AA19</f>
        <v>1.69</v>
      </c>
      <c r="X19">
        <f>STEMI_ORGANIZZATI!AE19</f>
        <v>0.73099999999999998</v>
      </c>
      <c r="AF19" s="22"/>
    </row>
    <row r="20" spans="1:32">
      <c r="A20" s="21" t="s">
        <v>321</v>
      </c>
      <c r="B20" s="17">
        <f>STEMI_ORGANIZZATI!F20</f>
        <v>0.48611111111677019</v>
      </c>
      <c r="C20" s="17">
        <f>STEMI_ORGANIZZATI!J20</f>
        <v>0.50625000000582077</v>
      </c>
      <c r="D20" s="20">
        <f>STEMI_ORGANIZZATI!N20</f>
        <v>0.80625000000145519</v>
      </c>
      <c r="E20" s="17">
        <f>STEMI_ORGANIZZATI!R20</f>
        <v>1.3548611111109494</v>
      </c>
      <c r="F20" s="17">
        <f>STEMI_ORGANIZZATI!V20</f>
        <v>2.3562500000043656</v>
      </c>
      <c r="G20" s="17">
        <f>STEMI_ORGANIZZATI!Z20</f>
        <v>3.382638888891961</v>
      </c>
      <c r="H20" s="17">
        <f>STEMI_ORGANIZZATI!AD20</f>
        <v>4.3729166666671517</v>
      </c>
      <c r="I20" s="17">
        <f>STEMI_ORGANIZZATI!AH20</f>
        <v>5.3236111111109494</v>
      </c>
      <c r="J20" s="17">
        <f>STEMI_ORGANIZZATI!AL20</f>
        <v>7.4284722222218988</v>
      </c>
      <c r="K20" s="17">
        <f>STEMI_ORGANIZZATI!AP20</f>
        <v>8.3680555555547471</v>
      </c>
      <c r="L20" s="17"/>
      <c r="M20" s="17"/>
      <c r="N20" s="17"/>
      <c r="O20" s="17"/>
      <c r="P20" s="22"/>
      <c r="Q20" s="21" t="s">
        <v>321</v>
      </c>
      <c r="R20">
        <f>STEMI_ORGANIZZATI!G20</f>
        <v>3.94</v>
      </c>
      <c r="S20">
        <f>STEMI_ORGANIZZATI!K20</f>
        <v>10</v>
      </c>
      <c r="T20" s="24">
        <f>STEMI_ORGANIZZATI!O20</f>
        <v>10.68</v>
      </c>
      <c r="U20">
        <f>STEMI_ORGANIZZATI!S20</f>
        <v>7.18</v>
      </c>
      <c r="V20">
        <f>STEMI_ORGANIZZATI!W20</f>
        <v>4.9800000000000004</v>
      </c>
      <c r="W20">
        <f>STEMI_ORGANIZZATI!AA20</f>
        <v>5.0999999999999996</v>
      </c>
      <c r="X20">
        <f>STEMI_ORGANIZZATI!AE20</f>
        <v>4.45</v>
      </c>
      <c r="Y20">
        <f>STEMI_ORGANIZZATI!AI20</f>
        <v>3.22</v>
      </c>
      <c r="Z20">
        <f>STEMI_ORGANIZZATI!AM20</f>
        <v>1.25</v>
      </c>
      <c r="AA20">
        <f>STEMI_ORGANIZZATI!AQ20</f>
        <v>0.74399999999999999</v>
      </c>
      <c r="AF20" s="22"/>
    </row>
    <row r="21" spans="1:32">
      <c r="A21" s="24" t="s">
        <v>322</v>
      </c>
      <c r="B21" s="20">
        <f>STEMI_ORGANIZZATI!F21</f>
        <v>0.375</v>
      </c>
      <c r="C21" s="20">
        <f>STEMI_ORGANIZZATI!J21</f>
        <v>0.85069444444525288</v>
      </c>
      <c r="D21" s="20">
        <f>STEMI_ORGANIZZATI!N21</f>
        <v>1.3583333333372138</v>
      </c>
      <c r="E21" s="20">
        <f>STEMI_ORGANIZZATI!R21</f>
        <v>2.3562500000043656</v>
      </c>
      <c r="F21" s="20">
        <f>STEMI_ORGANIZZATI!V21</f>
        <v>3.4118055555591127</v>
      </c>
      <c r="G21" s="20">
        <f>STEMI_ORGANIZZATI!Z21</f>
        <v>4.375</v>
      </c>
      <c r="H21" s="20">
        <f>STEMI_ORGANIZZATI!AD21</f>
        <v>5.3194444444452529</v>
      </c>
      <c r="I21" s="20">
        <f>STEMI_ORGANIZZATI!AH21</f>
        <v>6.3548611111109494</v>
      </c>
      <c r="J21" s="20"/>
      <c r="K21" s="20"/>
      <c r="L21" s="20"/>
      <c r="M21" s="20"/>
      <c r="N21" s="20"/>
      <c r="O21" s="20"/>
      <c r="P21" s="22"/>
      <c r="Q21" s="24" t="s">
        <v>322</v>
      </c>
      <c r="R21" s="24">
        <f>STEMI_ORGANIZZATI!G21</f>
        <v>7.01</v>
      </c>
      <c r="S21" s="24">
        <f>STEMI_ORGANIZZATI!K21</f>
        <v>5.27</v>
      </c>
      <c r="T21" s="24">
        <f>STEMI_ORGANIZZATI!O21</f>
        <v>4.95</v>
      </c>
      <c r="U21" s="24">
        <f>STEMI_ORGANIZZATI!S21</f>
        <v>3.43</v>
      </c>
      <c r="V21" s="24">
        <f>STEMI_ORGANIZZATI!W21</f>
        <v>4.01</v>
      </c>
      <c r="W21" s="24">
        <f>STEMI_ORGANIZZATI!AA21</f>
        <v>4.7</v>
      </c>
      <c r="X21" s="24">
        <f>STEMI_ORGANIZZATI!AE21</f>
        <v>3.72</v>
      </c>
      <c r="Y21" s="24">
        <f>STEMI_ORGANIZZATI!AI21</f>
        <v>3.06</v>
      </c>
      <c r="Z21" s="24"/>
      <c r="AA21" s="24"/>
      <c r="AB21" s="24"/>
      <c r="AC21" s="24"/>
      <c r="AD21" s="24"/>
      <c r="AE21" s="24"/>
      <c r="AF21" s="22"/>
    </row>
    <row r="22" spans="1:32">
      <c r="A22" s="21" t="s">
        <v>323</v>
      </c>
      <c r="B22" s="17">
        <f>STEMI_ORGANIZZATI!F22</f>
        <v>0.74861111111385981</v>
      </c>
      <c r="C22" s="17">
        <f>STEMI_ORGANIZZATI!J22</f>
        <v>0.86527777778246673</v>
      </c>
      <c r="D22" s="17">
        <f>STEMI_ORGANIZZATI!N22</f>
        <v>1.3625000000029104</v>
      </c>
      <c r="E22" s="17">
        <f>STEMI_ORGANIZZATI!R22</f>
        <v>2.4118055555591127</v>
      </c>
      <c r="F22" s="17">
        <f>STEMI_ORGANIZZATI!V22</f>
        <v>3.3729166666671517</v>
      </c>
      <c r="G22" s="17">
        <f>STEMI_ORGANIZZATI!Z22</f>
        <v>4.3270833333372138</v>
      </c>
      <c r="H22" s="17">
        <f>STEMI_ORGANIZZATI!AD22</f>
        <v>5.3548611111109494</v>
      </c>
      <c r="I22" s="17">
        <f>STEMI_ORGANIZZATI!AH22</f>
        <v>6.3881944444437977</v>
      </c>
      <c r="J22" s="17">
        <f>STEMI_ORGANIZZATI!AL22</f>
        <v>7.3354166666686069</v>
      </c>
      <c r="K22" s="17">
        <f>STEMI_ORGANIZZATI!AP22</f>
        <v>7.9361111111138598</v>
      </c>
      <c r="L22" s="17">
        <f>STEMI_ORGANIZZATI!AT22</f>
        <v>8.3479166666656965</v>
      </c>
      <c r="M22" s="17">
        <f>STEMI_ORGANIZZATI!AX22</f>
        <v>8.7145833333343035</v>
      </c>
      <c r="N22" s="17">
        <f>STEMI_ORGANIZZATI!BB22</f>
        <v>10.351388888891961</v>
      </c>
      <c r="O22" s="17">
        <f>STEMI_ORGANIZZATI!BF22</f>
        <v>11.355555555557657</v>
      </c>
      <c r="P22" s="22"/>
      <c r="Q22" s="21" t="s">
        <v>323</v>
      </c>
      <c r="R22">
        <f>STEMI_ORGANIZZATI!G22</f>
        <v>11.24</v>
      </c>
      <c r="S22">
        <f>STEMI_ORGANIZZATI!K22</f>
        <v>7.79</v>
      </c>
      <c r="T22">
        <f>STEMI_ORGANIZZATI!O22</f>
        <v>5.03</v>
      </c>
      <c r="U22">
        <f>STEMI_ORGANIZZATI!S22</f>
        <v>2.84</v>
      </c>
      <c r="V22">
        <f>STEMI_ORGANIZZATI!W22</f>
        <v>3.69</v>
      </c>
      <c r="W22">
        <f>STEMI_ORGANIZZATI!AA22</f>
        <v>4.5599999999999996</v>
      </c>
      <c r="X22">
        <f>STEMI_ORGANIZZATI!AE22</f>
        <v>3.98</v>
      </c>
      <c r="Y22">
        <f>STEMI_ORGANIZZATI!AI22</f>
        <v>2.27</v>
      </c>
      <c r="Z22">
        <f>STEMI_ORGANIZZATI!AM22</f>
        <v>1.65</v>
      </c>
      <c r="AA22">
        <f>STEMI_ORGANIZZATI!AQ22</f>
        <v>1.5</v>
      </c>
      <c r="AB22">
        <f>STEMI_ORGANIZZATI!AU22</f>
        <v>1.3</v>
      </c>
      <c r="AC22">
        <f>STEMI_ORGANIZZATI!AY22</f>
        <v>1.1599999999999999</v>
      </c>
      <c r="AD22">
        <f>STEMI_ORGANIZZATI!BC22</f>
        <v>0.71099999999999997</v>
      </c>
      <c r="AE22">
        <f>STEMI_ORGANIZZATI!BG22</f>
        <v>0.54</v>
      </c>
      <c r="AF22" s="22"/>
    </row>
    <row r="23" spans="1:32">
      <c r="A23" s="24" t="s">
        <v>324</v>
      </c>
      <c r="B23" s="20">
        <f>STEMI_ORGANIZZATI!F23</f>
        <v>0.45138888889050577</v>
      </c>
      <c r="C23" s="20">
        <f>STEMI_ORGANIZZATI!J23</f>
        <v>0.61250000000291038</v>
      </c>
      <c r="D23" s="20">
        <f>STEMI_ORGANIZZATI!N23</f>
        <v>0.95555555555620231</v>
      </c>
      <c r="E23" s="20">
        <f>STEMI_ORGANIZZATI!R23</f>
        <v>2.9597222222218988</v>
      </c>
      <c r="F23" s="20">
        <f>STEMI_ORGANIZZATI!V23</f>
        <v>3.9472222222248092</v>
      </c>
      <c r="G23" s="20">
        <f>STEMI_ORGANIZZATI!Z23</f>
        <v>4.9548611111094942</v>
      </c>
      <c r="H23" s="20">
        <f>STEMI_ORGANIZZATI!AD23</f>
        <v>5.9965277777810115</v>
      </c>
      <c r="I23" s="20"/>
      <c r="J23" s="20"/>
      <c r="K23" s="20"/>
      <c r="L23" s="20"/>
      <c r="M23" s="20"/>
      <c r="N23" s="20"/>
      <c r="O23" s="20"/>
      <c r="P23" s="22"/>
      <c r="Q23" s="24" t="s">
        <v>324</v>
      </c>
      <c r="R23" s="24">
        <f>STEMI_ORGANIZZATI!G23</f>
        <v>28.39</v>
      </c>
      <c r="S23" s="24">
        <f>STEMI_ORGANIZZATI!K23</f>
        <v>15.65</v>
      </c>
      <c r="T23" s="24">
        <f>STEMI_ORGANIZZATI!O23</f>
        <v>9.9700000000000006</v>
      </c>
      <c r="U23" s="24">
        <f>STEMI_ORGANIZZATI!S23</f>
        <v>2.66</v>
      </c>
      <c r="V23" s="24">
        <f>STEMI_ORGANIZZATI!W23</f>
        <v>2.27</v>
      </c>
      <c r="W23" s="24">
        <f>STEMI_ORGANIZZATI!AA23</f>
        <v>1.76</v>
      </c>
      <c r="X23" s="24">
        <f>STEMI_ORGANIZZATI!AE23</f>
        <v>1.46</v>
      </c>
      <c r="Y23" s="24"/>
      <c r="Z23" s="24"/>
      <c r="AA23" s="24"/>
      <c r="AB23" s="24"/>
      <c r="AC23" s="24"/>
      <c r="AD23" s="24"/>
      <c r="AE23" s="24"/>
      <c r="AF23" s="22"/>
    </row>
    <row r="24" spans="1:32">
      <c r="A24" s="21" t="s">
        <v>325</v>
      </c>
      <c r="B24" s="17">
        <f>STEMI_ORGANIZZATI!F24</f>
        <v>1.6236111111138598</v>
      </c>
      <c r="C24" s="17">
        <f>STEMI_ORGANIZZATI!J24</f>
        <v>1.8333333333357587</v>
      </c>
      <c r="D24" s="17">
        <f>STEMI_ORGANIZZATI!N24</f>
        <v>2.4937500000014552</v>
      </c>
      <c r="E24" s="17">
        <f>STEMI_ORGANIZZATI!R24</f>
        <v>3.4034722222204437</v>
      </c>
      <c r="F24" s="17">
        <f>STEMI_ORGANIZZATI!V24</f>
        <v>4.3812499999985448</v>
      </c>
      <c r="G24" s="17">
        <f>STEMI_ORGANIZZATI!Z24</f>
        <v>5.4340277777810115</v>
      </c>
      <c r="H24" s="17">
        <f>STEMI_ORGANIZZATI!AD24</f>
        <v>5.7937499999970896</v>
      </c>
      <c r="I24" s="17">
        <f>STEMI_ORGANIZZATI!AH24</f>
        <v>6.4666666666671517</v>
      </c>
      <c r="J24" s="17">
        <f>STEMI_ORGANIZZATI!AL24</f>
        <v>7.46875</v>
      </c>
      <c r="K24" s="17">
        <f>STEMI_ORGANIZZATI!AP24</f>
        <v>8.4479166666642413</v>
      </c>
      <c r="L24" s="17"/>
      <c r="M24" s="17"/>
      <c r="N24" s="17"/>
      <c r="O24" s="17"/>
      <c r="P24" s="22"/>
      <c r="Q24" s="21" t="s">
        <v>325</v>
      </c>
      <c r="R24">
        <f>STEMI_ORGANIZZATI!G24</f>
        <v>5.74</v>
      </c>
      <c r="S24">
        <f>STEMI_ORGANIZZATI!K24</f>
        <v>8.74</v>
      </c>
      <c r="T24">
        <f>STEMI_ORGANIZZATI!O24</f>
        <v>3.3</v>
      </c>
      <c r="U24">
        <f>STEMI_ORGANIZZATI!S24</f>
        <v>3.26</v>
      </c>
      <c r="V24">
        <f>STEMI_ORGANIZZATI!W24</f>
        <v>3.36</v>
      </c>
      <c r="W24">
        <f>STEMI_ORGANIZZATI!AA24</f>
        <v>3.01</v>
      </c>
      <c r="X24">
        <f>STEMI_ORGANIZZATI!AE24</f>
        <v>2.57</v>
      </c>
      <c r="Y24">
        <f>STEMI_ORGANIZZATI!AI24</f>
        <v>1.29</v>
      </c>
      <c r="Z24">
        <f>STEMI_ORGANIZZATI!AM24</f>
        <v>0.57899999999999996</v>
      </c>
      <c r="AA24">
        <f>STEMI_ORGANIZZATI!AQ24</f>
        <v>0.30499999999999999</v>
      </c>
      <c r="AF24" s="22"/>
    </row>
    <row r="25" spans="1:3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spans="1:32">
      <c r="A26" s="24" t="s">
        <v>353</v>
      </c>
      <c r="B26" s="24"/>
      <c r="C26" s="24"/>
      <c r="D26" s="24"/>
      <c r="E26" s="24"/>
    </row>
    <row r="27" spans="1:32">
      <c r="A27" s="33" t="s">
        <v>305</v>
      </c>
      <c r="B27" s="33"/>
      <c r="C27" s="33"/>
      <c r="D27" s="33"/>
      <c r="E27" s="33"/>
      <c r="F27" s="33"/>
      <c r="G27" s="33"/>
      <c r="H27" s="33"/>
      <c r="I27" s="33"/>
      <c r="J27" s="22"/>
      <c r="K27" s="22"/>
      <c r="L27" s="22"/>
      <c r="M27" s="22"/>
      <c r="N27" s="22"/>
      <c r="O27" s="22"/>
      <c r="P27" s="22"/>
    </row>
    <row r="28" spans="1:32">
      <c r="A28" s="21" t="s">
        <v>304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</row>
    <row r="29" spans="1:32">
      <c r="A29" s="21" t="s">
        <v>306</v>
      </c>
      <c r="B29" s="14">
        <f>STEMI_ORGANIZZATI!F5*24</f>
        <v>66.116666666697711</v>
      </c>
      <c r="C29">
        <f>STEMI_ORGANIZZATI!N5*24</f>
        <v>69.416666666627862</v>
      </c>
      <c r="D29">
        <f>STEMI_ORGANIZZATI!R5*24</f>
        <v>93.966666666674428</v>
      </c>
      <c r="E29">
        <f>STEMI_ORGANIZZATI!V5*24</f>
        <v>134.1166666665813</v>
      </c>
      <c r="P29" s="22"/>
    </row>
    <row r="30" spans="1:32">
      <c r="A30" s="21" t="s">
        <v>307</v>
      </c>
      <c r="B30" s="14">
        <f>STEMI_ORGANIZZATI!F6*24</f>
        <v>4.7333333333954215</v>
      </c>
      <c r="C30">
        <f>STEMI_ORGANIZZATI!N6*24</f>
        <v>12.899999999965075</v>
      </c>
      <c r="D30">
        <f>STEMI_ORGANIZZATI!R6*24</f>
        <v>14.566666666651145</v>
      </c>
      <c r="E30">
        <f>STEMI_ORGANIZZATI!V6*24</f>
        <v>39.366666666639503</v>
      </c>
      <c r="F30">
        <f>STEMI_ORGANIZZATI!Z6*24</f>
        <v>63.583333333313931</v>
      </c>
      <c r="G30">
        <f>STEMI_ORGANIZZATI!AD6*24</f>
        <v>72.916666666686069</v>
      </c>
      <c r="H30">
        <f>STEMI_ORGANIZZATI!AH6*24</f>
        <v>87.899999999965075</v>
      </c>
      <c r="I30">
        <f>STEMI_ORGANIZZATI!AL6*24</f>
        <v>111.45000000006985</v>
      </c>
      <c r="J30">
        <f>STEMI_ORGANIZZATI!AP6*24</f>
        <v>134.48333333339542</v>
      </c>
      <c r="K30">
        <f>STEMI_ORGANIZZATI!AT6*24</f>
        <v>158.93333333329065</v>
      </c>
      <c r="L30">
        <f>STEMI_ORGANIZZATI!AX6*24</f>
        <v>184.83333333337214</v>
      </c>
      <c r="P30" s="22"/>
    </row>
    <row r="31" spans="1:32">
      <c r="A31" s="21" t="s">
        <v>308</v>
      </c>
      <c r="B31">
        <f>STEMI_ORGANIZZATI!F7*24</f>
        <v>6</v>
      </c>
      <c r="C31">
        <f>STEMI_ORGANIZZATI!J7*24</f>
        <v>10.466666666558012</v>
      </c>
      <c r="D31">
        <f>STEMI_ORGANIZZATI!N7*24</f>
        <v>18.93333333323244</v>
      </c>
      <c r="E31">
        <f>STEMI_ORGANIZZATI!R7*24</f>
        <v>43.466666666558012</v>
      </c>
      <c r="F31">
        <f>STEMI_ORGANIZZATI!V7*24</f>
        <v>67.416666666569654</v>
      </c>
      <c r="G31">
        <f>STEMI_ORGANIZZATI!Z7*24</f>
        <v>92.583333333197515</v>
      </c>
      <c r="H31">
        <f>STEMI_ORGANIZZATI!AD7*24</f>
        <v>116.20000000001164</v>
      </c>
      <c r="I31">
        <f>STEMI_ORGANIZZATI!AH7*24</f>
        <v>164.0999999998603</v>
      </c>
      <c r="P31" s="22"/>
    </row>
    <row r="32" spans="1:32">
      <c r="A32" s="21" t="s">
        <v>309</v>
      </c>
      <c r="B32">
        <f>STEMI_ORGANIZZATI!F8*24</f>
        <v>5.066666666592937</v>
      </c>
      <c r="C32">
        <f>STEMI_ORGANIZZATI!J8*24</f>
        <v>10.316666666592937</v>
      </c>
      <c r="D32">
        <f>STEMI_ORGANIZZATI!N8*24</f>
        <v>22.833333333197515</v>
      </c>
      <c r="E32">
        <f>STEMI_ORGANIZZATI!R8*24</f>
        <v>48.116666666523088</v>
      </c>
      <c r="F32">
        <f>STEMI_ORGANIZZATI!V8*24</f>
        <v>72.083333333255723</v>
      </c>
      <c r="G32">
        <f>STEMI_ORGANIZZATI!Z8*24</f>
        <v>97.266666666604578</v>
      </c>
      <c r="H32">
        <f>STEMI_ORGANIZZATI!AD8*24</f>
        <v>120.76666666654637</v>
      </c>
      <c r="I32">
        <f>STEMI_ORGANIZZATI!AH8*24</f>
        <v>144.65000000002328</v>
      </c>
      <c r="J32">
        <f>STEMI_ORGANIZZATI!AL8*24</f>
        <v>168.70000000001164</v>
      </c>
      <c r="P32" s="22"/>
    </row>
    <row r="33" spans="1:16">
      <c r="A33" s="21" t="s">
        <v>310</v>
      </c>
      <c r="B33">
        <f>STEMI_ORGANIZZATI!F9*24</f>
        <v>0.84999999997671694</v>
      </c>
      <c r="C33">
        <f>STEMI_ORGANIZZATI!J9*24</f>
        <v>3.8499999999767169</v>
      </c>
      <c r="D33">
        <f>STEMI_ORGANIZZATI!N9*24</f>
        <v>11.083333333313931</v>
      </c>
      <c r="E33">
        <f>STEMI_ORGANIZZATI!R9*24</f>
        <v>35.133333333302289</v>
      </c>
      <c r="F33">
        <f>STEMI_ORGANIZZATI!V9*24</f>
        <v>58.5</v>
      </c>
      <c r="G33">
        <f>STEMI_ORGANIZZATI!Z9*24</f>
        <v>81.983333333395422</v>
      </c>
      <c r="H33">
        <f>STEMI_ORGANIZZATI!AD9*24</f>
        <v>106.31666666659294</v>
      </c>
      <c r="P33" s="22"/>
    </row>
    <row r="34" spans="1:16">
      <c r="A34" s="21" t="s">
        <v>311</v>
      </c>
      <c r="B34">
        <f>STEMI_ORGANIZZATI!F10*24</f>
        <v>5.1500000000232831</v>
      </c>
      <c r="C34">
        <f>STEMI_ORGANIZZATI!J10*24</f>
        <v>12.366666666639503</v>
      </c>
      <c r="D34">
        <f>STEMI_ORGANIZZATI!N10*24</f>
        <v>19.466666666558012</v>
      </c>
      <c r="E34">
        <f>STEMI_ORGANIZZATI!R10*24</f>
        <v>44.733333333337214</v>
      </c>
      <c r="F34">
        <f>STEMI_ORGANIZZATI!V10*24</f>
        <v>68.25</v>
      </c>
      <c r="P34" s="22"/>
    </row>
    <row r="35" spans="1:16">
      <c r="A35" s="21" t="s">
        <v>312</v>
      </c>
      <c r="B35">
        <f>STEMI_ORGANIZZATI!F11*24</f>
        <v>5.1833333334652707</v>
      </c>
      <c r="C35">
        <f>STEMI_ORGANIZZATI!J11*24</f>
        <v>9.4500000000698492</v>
      </c>
      <c r="D35">
        <f>STEMI_ORGANIZZATI!N11*24</f>
        <v>29.566666666651145</v>
      </c>
      <c r="E35">
        <f>STEMI_ORGANIZZATI!R11*24</f>
        <v>54.966666666674428</v>
      </c>
      <c r="F35">
        <f>STEMI_ORGANIZZATI!V11*24</f>
        <v>78.650000000023283</v>
      </c>
      <c r="G35">
        <f>STEMI_ORGANIZZATI!Z11*24</f>
        <v>102.46666666679084</v>
      </c>
      <c r="H35">
        <f>STEMI_ORGANIZZATI!AD11*24</f>
        <v>126.5166666667792</v>
      </c>
      <c r="P35" s="22"/>
    </row>
    <row r="36" spans="1:16">
      <c r="A36" s="21" t="s">
        <v>313</v>
      </c>
      <c r="B36">
        <f>STEMI_ORGANIZZATI!F12*24</f>
        <v>4.3833333333022892</v>
      </c>
      <c r="C36">
        <f>STEMI_ORGANIZZATI!J12*24</f>
        <v>12.083333333255723</v>
      </c>
      <c r="D36">
        <f>STEMI_ORGANIZZATI!N12*24</f>
        <v>14.116666666581295</v>
      </c>
      <c r="E36">
        <f>STEMI_ORGANIZZATI!R12*24</f>
        <v>38.266666666546371</v>
      </c>
      <c r="F36">
        <f>STEMI_ORGANIZZATI!V12*24</f>
        <v>61.833333333197515</v>
      </c>
      <c r="G36">
        <f>STEMI_ORGANIZZATI!Z12*24</f>
        <v>86.033333333325572</v>
      </c>
      <c r="H36">
        <f>STEMI_ORGANIZZATI!AD12*24</f>
        <v>110.36666666652309</v>
      </c>
      <c r="P36" s="22"/>
    </row>
    <row r="37" spans="1:16">
      <c r="A37" s="21" t="s">
        <v>314</v>
      </c>
      <c r="B37">
        <f>STEMI_ORGANIZZATI!F13*24</f>
        <v>8.71666666661622</v>
      </c>
      <c r="C37">
        <f>STEMI_ORGANIZZATI!J13*24</f>
        <v>26.033333333325572</v>
      </c>
      <c r="D37">
        <f>STEMI_ORGANIZZATI!N13*24</f>
        <v>50.833333333313931</v>
      </c>
      <c r="P37" s="22"/>
    </row>
    <row r="38" spans="1:16">
      <c r="A38" s="21" t="s">
        <v>315</v>
      </c>
      <c r="B38">
        <f>STEMI_ORGANIZZATI!F14*24</f>
        <v>32.383333333418705</v>
      </c>
      <c r="C38">
        <f>STEMI_ORGANIZZATI!J14*24</f>
        <v>43.03333333338378</v>
      </c>
      <c r="D38">
        <f>STEMI_ORGANIZZATI!N14*24</f>
        <v>67.833333333372138</v>
      </c>
      <c r="E38">
        <f>STEMI_ORGANIZZATI!R14*24</f>
        <v>75.450000000069849</v>
      </c>
      <c r="F38">
        <f>STEMI_ORGANIZZATI!V14*24</f>
        <v>90.650000000023283</v>
      </c>
      <c r="G38">
        <f>STEMI_ORGANIZZATI!Z14*24</f>
        <v>115.53333333326736</v>
      </c>
      <c r="P38" s="22"/>
    </row>
    <row r="39" spans="1:16">
      <c r="A39" s="21" t="s">
        <v>316</v>
      </c>
      <c r="B39">
        <f>STEMI_ORGANIZZATI!F15*24</f>
        <v>4.9333333333488554</v>
      </c>
      <c r="C39">
        <f>STEMI_ORGANIZZATI!J15*24</f>
        <v>8.7833333333255723</v>
      </c>
      <c r="D39">
        <f>STEMI_ORGANIZZATI!N15*24</f>
        <v>18.983333333395422</v>
      </c>
      <c r="E39">
        <f>STEMI_ORGANIZZATI!R15*24</f>
        <v>43.466666666732635</v>
      </c>
      <c r="F39">
        <f>STEMI_ORGANIZZATI!V15*24</f>
        <v>67.416666666744277</v>
      </c>
      <c r="G39">
        <f>STEMI_ORGANIZZATI!Z15*24</f>
        <v>90.566666666592937</v>
      </c>
      <c r="P39" s="22"/>
    </row>
    <row r="40" spans="1:16">
      <c r="A40" s="21" t="s">
        <v>317</v>
      </c>
      <c r="B40">
        <f>STEMI_ORGANIZZATI!F16*24</f>
        <v>7.3666666667559184</v>
      </c>
      <c r="C40">
        <f>STEMI_ORGANIZZATI!J16*24</f>
        <v>15.75</v>
      </c>
      <c r="D40">
        <f>STEMI_ORGANIZZATI!N16*24</f>
        <v>25.533333333441988</v>
      </c>
      <c r="E40">
        <f>STEMI_ORGANIZZATI!R16*24</f>
        <v>43.283333333325572</v>
      </c>
      <c r="F40">
        <f>STEMI_ORGANIZZATI!V16*24</f>
        <v>66.416666666802485</v>
      </c>
      <c r="G40">
        <f>STEMI_ORGANIZZATI!Z16*24</f>
        <v>89.566666666651145</v>
      </c>
      <c r="H40">
        <f>STEMI_ORGANIZZATI!AD16*24</f>
        <v>114.93333333340706</v>
      </c>
      <c r="I40">
        <f>STEMI_ORGANIZZATI!AH16*24</f>
        <v>162.61666666675592</v>
      </c>
      <c r="P40" s="22"/>
    </row>
    <row r="41" spans="1:16">
      <c r="A41" s="21" t="s">
        <v>318</v>
      </c>
      <c r="B41">
        <f>STEMI_ORGANIZZATI!F17*24</f>
        <v>23.800000000046566</v>
      </c>
      <c r="C41">
        <f>STEMI_ORGANIZZATI!J17*24</f>
        <v>23.766666666779201</v>
      </c>
      <c r="D41">
        <f>STEMI_ORGANIZZATI!N17*24</f>
        <v>29.216666666732635</v>
      </c>
      <c r="E41">
        <f>STEMI_ORGANIZZATI!R17*24</f>
        <v>42.466666666790843</v>
      </c>
      <c r="F41">
        <f>STEMI_ORGANIZZATI!V17*24</f>
        <v>66.416666666802485</v>
      </c>
      <c r="G41">
        <f>STEMI_ORGANIZZATI!Z17*24</f>
        <v>89.06666666676756</v>
      </c>
      <c r="H41">
        <f>STEMI_ORGANIZZATI!AD17*24</f>
        <v>114.3666666666395</v>
      </c>
      <c r="I41">
        <f>STEMI_ORGANIZZATI!AH17*24</f>
        <v>138.73333333345363</v>
      </c>
      <c r="J41">
        <f>STEMI_ORGANIZZATI!AL17*24</f>
        <v>138.73333333345363</v>
      </c>
      <c r="P41" s="22"/>
    </row>
    <row r="42" spans="1:16">
      <c r="A42" s="21" t="s">
        <v>319</v>
      </c>
      <c r="B42">
        <f>STEMI_ORGANIZZATI!F18*24</f>
        <v>13.549999999988358</v>
      </c>
      <c r="C42">
        <f>STEMI_ORGANIZZATI!J18*24</f>
        <v>18.550000000046566</v>
      </c>
      <c r="D42">
        <f>STEMI_ORGANIZZATI!N18*24</f>
        <v>27.716666666732635</v>
      </c>
      <c r="E42">
        <f>STEMI_ORGANIZZATI!R18*24</f>
        <v>38.499999999941792</v>
      </c>
      <c r="F42">
        <f>STEMI_ORGANIZZATI!V18*24</f>
        <v>51.299999999930151</v>
      </c>
      <c r="G42">
        <f>STEMI_ORGANIZZATI!Z18*24</f>
        <v>75.316666666651145</v>
      </c>
      <c r="H42">
        <f>STEMI_ORGANIZZATI!AD18*24</f>
        <v>100.8833333333605</v>
      </c>
      <c r="I42">
        <f>STEMI_ORGANIZZATI!AH18*24</f>
        <v>123.94999999995343</v>
      </c>
      <c r="J42">
        <f>STEMI_ORGANIZZATI!AL18*24</f>
        <v>148.1166666666395</v>
      </c>
      <c r="K42">
        <f>STEMI_ORGANIZZATI!AP18*24</f>
        <v>171.63333333330229</v>
      </c>
      <c r="P42" s="22"/>
    </row>
    <row r="43" spans="1:16">
      <c r="A43" s="21" t="s">
        <v>320</v>
      </c>
      <c r="B43">
        <f>STEMI_ORGANIZZATI!F19*24</f>
        <v>17.933333333290648</v>
      </c>
      <c r="C43">
        <f>STEMI_ORGANIZZATI!J19*24</f>
        <v>30.550000000046566</v>
      </c>
      <c r="D43">
        <f>STEMI_ORGANIZZATI!N19*24</f>
        <v>38.783333333325572</v>
      </c>
      <c r="E43">
        <f>STEMI_ORGANIZZATI!R19*24</f>
        <v>63.299999999930151</v>
      </c>
      <c r="F43">
        <f>STEMI_ORGANIZZATI!V19*24</f>
        <v>72.249999999941792</v>
      </c>
      <c r="G43">
        <f>STEMI_ORGANIZZATI!Z19*24</f>
        <v>87.550000000046566</v>
      </c>
      <c r="H43">
        <f>STEMI_ORGANIZZATI!AD19*24</f>
        <v>136.25000000005821</v>
      </c>
      <c r="P43" s="22"/>
    </row>
    <row r="44" spans="1:16">
      <c r="A44" s="21" t="s">
        <v>321</v>
      </c>
      <c r="B44">
        <f>STEMI_ORGANIZZATI!F20*24</f>
        <v>11.666666666802485</v>
      </c>
      <c r="C44">
        <f>STEMI_ORGANIZZATI!J20*24</f>
        <v>12.150000000139698</v>
      </c>
      <c r="D44">
        <f>STEMI_ORGANIZZATI!N20*24</f>
        <v>19.350000000034925</v>
      </c>
      <c r="E44">
        <f>STEMI_ORGANIZZATI!R20*24</f>
        <v>32.516666666662786</v>
      </c>
      <c r="F44">
        <f>STEMI_ORGANIZZATI!V20*24</f>
        <v>56.550000000104774</v>
      </c>
      <c r="G44">
        <f>STEMI_ORGANIZZATI!Z20*24</f>
        <v>81.183333333407063</v>
      </c>
      <c r="H44">
        <f>STEMI_ORGANIZZATI!AD20*24</f>
        <v>104.95000000001164</v>
      </c>
      <c r="I44">
        <f>STEMI_ORGANIZZATI!AH20*24</f>
        <v>127.76666666666279</v>
      </c>
      <c r="J44">
        <f>STEMI_ORGANIZZATI!AL20*24</f>
        <v>178.28333333332557</v>
      </c>
      <c r="K44">
        <f>STEMI_ORGANIZZATI!AP20*24</f>
        <v>200.83333333331393</v>
      </c>
      <c r="P44" s="22"/>
    </row>
    <row r="45" spans="1:16">
      <c r="A45" s="24" t="s">
        <v>322</v>
      </c>
      <c r="B45">
        <f>STEMI_ORGANIZZATI!F21*24</f>
        <v>9</v>
      </c>
      <c r="C45">
        <f>STEMI_ORGANIZZATI!J21*24</f>
        <v>20.416666666686069</v>
      </c>
      <c r="D45">
        <f>STEMI_ORGANIZZATI!N21*24</f>
        <v>32.600000000093132</v>
      </c>
      <c r="E45">
        <f>STEMI_ORGANIZZATI!R21*24</f>
        <v>56.550000000104774</v>
      </c>
      <c r="F45">
        <f>STEMI_ORGANIZZATI!V21*24</f>
        <v>81.883333333418705</v>
      </c>
      <c r="G45">
        <f>STEMI_ORGANIZZATI!Z21*24</f>
        <v>105</v>
      </c>
      <c r="H45">
        <f>STEMI_ORGANIZZATI!AD21*24</f>
        <v>127.66666666668607</v>
      </c>
      <c r="I45">
        <f>STEMI_ORGANIZZATI!AH21*24</f>
        <v>152.51666666666279</v>
      </c>
      <c r="P45" s="22"/>
    </row>
    <row r="46" spans="1:16">
      <c r="A46" s="21" t="s">
        <v>323</v>
      </c>
      <c r="B46">
        <f>STEMI_ORGANIZZATI!F22*24</f>
        <v>17.966666666732635</v>
      </c>
      <c r="C46">
        <f>STEMI_ORGANIZZATI!J22*24</f>
        <v>20.766666666779201</v>
      </c>
      <c r="D46">
        <f>STEMI_ORGANIZZATI!N22*24</f>
        <v>32.700000000069849</v>
      </c>
      <c r="E46">
        <f>STEMI_ORGANIZZATI!R22*24</f>
        <v>57.883333333418705</v>
      </c>
      <c r="F46">
        <f>STEMI_ORGANIZZATI!V22*24</f>
        <v>80.950000000011642</v>
      </c>
      <c r="G46">
        <f>STEMI_ORGANIZZATI!Z22*24</f>
        <v>103.85000000009313</v>
      </c>
      <c r="H46">
        <f>STEMI_ORGANIZZATI!AD22*24</f>
        <v>128.51666666666279</v>
      </c>
      <c r="I46">
        <f>STEMI_ORGANIZZATI!AH22*24</f>
        <v>153.31666666665114</v>
      </c>
      <c r="J46">
        <f>STEMI_ORGANIZZATI!AL22*24</f>
        <v>176.05000000004657</v>
      </c>
      <c r="K46">
        <f>STEMI_ORGANIZZATI!AP22*24</f>
        <v>190.46666666673264</v>
      </c>
      <c r="L46">
        <f>STEMI_ORGANIZZATI!AT22*24</f>
        <v>200.34999999997672</v>
      </c>
      <c r="M46">
        <f>STEMI_ORGANIZZATI!AX22*24</f>
        <v>209.15000000002328</v>
      </c>
      <c r="N46">
        <f>STEMI_ORGANIZZATI!BB22*24</f>
        <v>248.43333333340706</v>
      </c>
      <c r="O46">
        <f>STEMI_ORGANIZZATI!BF22*24</f>
        <v>272.53333333338378</v>
      </c>
      <c r="P46" s="22"/>
    </row>
    <row r="47" spans="1:16">
      <c r="A47" s="24" t="s">
        <v>324</v>
      </c>
      <c r="B47">
        <f>STEMI_ORGANIZZATI!F23*24</f>
        <v>10.833333333372138</v>
      </c>
      <c r="C47">
        <f>STEMI_ORGANIZZATI!J23*24</f>
        <v>14.700000000069849</v>
      </c>
      <c r="D47">
        <f>STEMI_ORGANIZZATI!N23*24</f>
        <v>22.933333333348855</v>
      </c>
      <c r="E47">
        <f>STEMI_ORGANIZZATI!R23*24</f>
        <v>71.033333333325572</v>
      </c>
      <c r="F47">
        <f>STEMI_ORGANIZZATI!V23*24</f>
        <v>94.733333333395422</v>
      </c>
      <c r="G47">
        <f>STEMI_ORGANIZZATI!Z23*24</f>
        <v>118.91666666662786</v>
      </c>
      <c r="H47">
        <f>STEMI_ORGANIZZATI!AD23*24</f>
        <v>143.91666666674428</v>
      </c>
      <c r="P47" s="22"/>
    </row>
    <row r="48" spans="1:16">
      <c r="A48" s="21" t="s">
        <v>325</v>
      </c>
      <c r="B48">
        <f>STEMI_ORGANIZZATI!F24*24</f>
        <v>38.966666666732635</v>
      </c>
      <c r="C48">
        <f>STEMI_ORGANIZZATI!J24*24</f>
        <v>44.000000000058208</v>
      </c>
      <c r="D48">
        <f>STEMI_ORGANIZZATI!N24*24</f>
        <v>59.850000000034925</v>
      </c>
      <c r="E48">
        <f>STEMI_ORGANIZZATI!R24*24</f>
        <v>81.683333333290648</v>
      </c>
      <c r="F48">
        <f>STEMI_ORGANIZZATI!V24*24</f>
        <v>105.14999999996508</v>
      </c>
      <c r="G48">
        <f>STEMI_ORGANIZZATI!Z24*24</f>
        <v>130.41666666674428</v>
      </c>
      <c r="H48">
        <f>STEMI_ORGANIZZATI!AD24*24</f>
        <v>139.04999999993015</v>
      </c>
      <c r="I48">
        <f>STEMI_ORGANIZZATI!AH24*24</f>
        <v>155.20000000001164</v>
      </c>
      <c r="J48">
        <f>STEMI_ORGANIZZATI!AL24*24</f>
        <v>179.25</v>
      </c>
      <c r="K48">
        <f>STEMI_ORGANIZZATI!AP24*24</f>
        <v>202.74999999994179</v>
      </c>
      <c r="P48" s="22"/>
    </row>
    <row r="49" spans="1:1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</sheetData>
  <mergeCells count="3">
    <mergeCell ref="A3:I3"/>
    <mergeCell ref="Q3:AE3"/>
    <mergeCell ref="A27:I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69"/>
  <sheetViews>
    <sheetView topLeftCell="A84" workbookViewId="0">
      <selection activeCell="J50" sqref="J50"/>
    </sheetView>
  </sheetViews>
  <sheetFormatPr defaultColWidth="11.42578125" defaultRowHeight="15"/>
  <cols>
    <col min="1" max="1" width="11.85546875" bestFit="1" customWidth="1"/>
  </cols>
  <sheetData>
    <row r="1" spans="1:15">
      <c r="A1" s="21" t="s">
        <v>330</v>
      </c>
      <c r="B1" s="21" t="s">
        <v>333</v>
      </c>
      <c r="C1" s="21"/>
      <c r="D1" s="21"/>
      <c r="E1" s="21"/>
      <c r="F1" s="21"/>
      <c r="H1" s="21" t="s">
        <v>304</v>
      </c>
      <c r="I1" s="21" t="s">
        <v>343</v>
      </c>
      <c r="J1" s="21"/>
      <c r="K1" s="21"/>
      <c r="L1" s="21"/>
      <c r="M1" s="21"/>
      <c r="N1" s="21"/>
    </row>
    <row r="2" spans="1:15">
      <c r="A2" s="29" t="s">
        <v>331</v>
      </c>
      <c r="B2" s="30">
        <f>STEMI_TEMPO_ACQUISIZIONE!B5</f>
        <v>2.7548611111124046</v>
      </c>
      <c r="C2" s="30">
        <f>STEMI_TEMPO_ACQUISIZIONE!D5</f>
        <v>2.8923611111094942</v>
      </c>
      <c r="D2" s="30">
        <f>STEMI_TEMPO_ACQUISIZIONE!E5</f>
        <v>3.9152777777781012</v>
      </c>
      <c r="E2" s="30">
        <f>STEMI_TEMPO_ACQUISIZIONE!F5</f>
        <v>5.5881944444408873</v>
      </c>
      <c r="G2" s="17"/>
      <c r="H2" s="30" t="s">
        <v>331</v>
      </c>
      <c r="I2" s="30">
        <f>STEMI_TEMPO_ACQUISIZIONE!B15</f>
        <v>0.20555555555620231</v>
      </c>
      <c r="J2" s="30">
        <f>STEMI_TEMPO_ACQUISIZIONE!C15</f>
        <v>0.36597222222189885</v>
      </c>
      <c r="K2" s="30">
        <f>STEMI_TEMPO_ACQUISIZIONE!D15</f>
        <v>0.79097222222480923</v>
      </c>
      <c r="L2" s="30">
        <f>STEMI_TEMPO_ACQUISIZIONE!E15</f>
        <v>1.8111111111138598</v>
      </c>
      <c r="M2" s="30">
        <f>STEMI_TEMPO_ACQUISIZIONE!F15</f>
        <v>2.8090277777810115</v>
      </c>
      <c r="N2" s="30">
        <f>STEMI_TEMPO_ACQUISIZIONE!G15</f>
        <v>3.773611111108039</v>
      </c>
      <c r="O2" s="17"/>
    </row>
    <row r="3" spans="1:15">
      <c r="A3" s="31" t="s">
        <v>332</v>
      </c>
      <c r="B3" s="31">
        <f>STEMI_TEMPO_ACQUISIZIONE!R5</f>
        <v>0.81399999999999995</v>
      </c>
      <c r="C3" s="31">
        <f>STEMI_TEMPO_ACQUISIZIONE!S5</f>
        <v>0.96699999999999997</v>
      </c>
      <c r="D3" s="31">
        <f>STEMI_TEMPO_ACQUISIZIONE!T5</f>
        <v>0.84799999999999998</v>
      </c>
      <c r="E3" s="31">
        <f>STEMI_TEMPO_ACQUISIZIONE!U5</f>
        <v>0.90900000000000003</v>
      </c>
      <c r="H3" s="31" t="s">
        <v>332</v>
      </c>
      <c r="I3" s="31">
        <f>STEMI_TEMPO_ACQUISIZIONE!R15</f>
        <v>9.6000000000000002E-2</v>
      </c>
      <c r="J3" s="31">
        <f>STEMI_TEMPO_ACQUISIZIONE!S15</f>
        <v>0.38900000000000001</v>
      </c>
      <c r="K3" s="31">
        <f>STEMI_TEMPO_ACQUISIZIONE!T15</f>
        <v>0.79600000000000004</v>
      </c>
      <c r="L3" s="31">
        <f>STEMI_TEMPO_ACQUISIZIONE!U15</f>
        <v>0.436</v>
      </c>
      <c r="M3" s="31">
        <f>STEMI_TEMPO_ACQUISIZIONE!V15</f>
        <v>0.48699999999999999</v>
      </c>
      <c r="N3" s="31">
        <f>STEMI_TEMPO_ACQUISIZIONE!W15</f>
        <v>0.52100000000000002</v>
      </c>
    </row>
    <row r="19" spans="1:23">
      <c r="A19" s="21" t="s">
        <v>330</v>
      </c>
      <c r="B19" s="21" t="s">
        <v>334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O19" s="21" t="s">
        <v>304</v>
      </c>
      <c r="P19" s="21" t="s">
        <v>344</v>
      </c>
      <c r="Q19" s="21"/>
      <c r="R19" s="21"/>
      <c r="S19" s="21"/>
      <c r="T19" s="21"/>
      <c r="U19" s="21"/>
      <c r="V19" s="21"/>
      <c r="W19" s="21"/>
    </row>
    <row r="20" spans="1:23">
      <c r="A20" s="29" t="s">
        <v>331</v>
      </c>
      <c r="B20" s="30">
        <f>STEMI_TEMPO_ACQUISIZIONE!B6</f>
        <v>0.19722222222480923</v>
      </c>
      <c r="C20" s="30">
        <f>STEMI_TEMPO_ACQUISIZIONE!D6</f>
        <v>0.53749999999854481</v>
      </c>
      <c r="D20" s="30">
        <f>STEMI_TEMPO_ACQUISIZIONE!E6</f>
        <v>0.60694444444379769</v>
      </c>
      <c r="E20" s="30">
        <f>STEMI_TEMPO_ACQUISIZIONE!F6</f>
        <v>1.640277777776646</v>
      </c>
      <c r="F20" s="30">
        <f>STEMI_TEMPO_ACQUISIZIONE!G6</f>
        <v>2.6493055555547471</v>
      </c>
      <c r="G20" s="30">
        <f>STEMI_TEMPO_ACQUISIZIONE!H6</f>
        <v>3.0381944444452529</v>
      </c>
      <c r="H20" s="30">
        <f>STEMI_TEMPO_ACQUISIZIONE!I6</f>
        <v>3.6624999999985448</v>
      </c>
      <c r="I20" s="30">
        <f>STEMI_TEMPO_ACQUISIZIONE!J6</f>
        <v>4.6437500000029104</v>
      </c>
      <c r="J20" s="30">
        <f>STEMI_TEMPO_ACQUISIZIONE!K6</f>
        <v>5.6034722222248092</v>
      </c>
      <c r="K20" s="30">
        <f>STEMI_TEMPO_ACQUISIZIONE!L6</f>
        <v>6.6222222222204437</v>
      </c>
      <c r="L20" s="30">
        <f>STEMI_TEMPO_ACQUISIZIONE!M6</f>
        <v>7.7013888888905058</v>
      </c>
      <c r="O20" s="29" t="s">
        <v>331</v>
      </c>
      <c r="P20" s="30">
        <f>STEMI_TEMPO_ACQUISIZIONE!B16</f>
        <v>0.30694444444816327</v>
      </c>
      <c r="Q20" s="30">
        <f>STEMI_TEMPO_ACQUISIZIONE!C16</f>
        <v>0.65625</v>
      </c>
      <c r="R20" s="30">
        <f>STEMI_TEMPO_ACQUISIZIONE!D16</f>
        <v>1.0638888888934162</v>
      </c>
      <c r="S20" s="30">
        <f>STEMI_TEMPO_ACQUISIZIONE!E16</f>
        <v>1.8034722222218988</v>
      </c>
      <c r="T20" s="30">
        <f>STEMI_TEMPO_ACQUISIZIONE!F16</f>
        <v>2.7673611111167702</v>
      </c>
      <c r="U20" s="30">
        <f>STEMI_TEMPO_ACQUISIZIONE!G16</f>
        <v>3.7319444444437977</v>
      </c>
      <c r="V20" s="30">
        <f>STEMI_TEMPO_ACQUISIZIONE!H16</f>
        <v>4.788888888891961</v>
      </c>
      <c r="W20" s="30">
        <f>STEMI_TEMPO_ACQUISIZIONE!I16</f>
        <v>6.7756944444481633</v>
      </c>
    </row>
    <row r="21" spans="1:23">
      <c r="A21" s="31" t="s">
        <v>332</v>
      </c>
      <c r="B21" s="31">
        <f>STEMI_TEMPO_ACQUISIZIONE!R6</f>
        <v>9.8000000000000004E-2</v>
      </c>
      <c r="C21" s="31">
        <f>STEMI_TEMPO_ACQUISIZIONE!S6</f>
        <v>0.13</v>
      </c>
      <c r="D21" s="31">
        <f>STEMI_TEMPO_ACQUISIZIONE!T6</f>
        <v>0.13100000000000001</v>
      </c>
      <c r="E21" s="31">
        <f>STEMI_TEMPO_ACQUISIZIONE!U6</f>
        <v>0.16300000000000001</v>
      </c>
      <c r="F21" s="31">
        <f>STEMI_TEMPO_ACQUISIZIONE!V6</f>
        <v>0.15</v>
      </c>
      <c r="G21" s="31">
        <f>STEMI_TEMPO_ACQUISIZIONE!W6</f>
        <v>0.14699999999999999</v>
      </c>
      <c r="H21" s="31">
        <f>STEMI_TEMPO_ACQUISIZIONE!X6</f>
        <v>0.17799999999999999</v>
      </c>
      <c r="I21" s="31">
        <f>STEMI_TEMPO_ACQUISIZIONE!Y6</f>
        <v>0.18099999999999999</v>
      </c>
      <c r="J21" s="31">
        <f>STEMI_TEMPO_ACQUISIZIONE!Z6</f>
        <v>0.183</v>
      </c>
      <c r="K21" s="31">
        <f>STEMI_TEMPO_ACQUISIZIONE!AA6</f>
        <v>0.13900000000000001</v>
      </c>
      <c r="L21" s="31">
        <f>STEMI_TEMPO_ACQUISIZIONE!AB6</f>
        <v>9.4E-2</v>
      </c>
      <c r="O21" s="31" t="s">
        <v>332</v>
      </c>
      <c r="P21" s="31">
        <f>STEMI_TEMPO_ACQUISIZIONE!R16</f>
        <v>18.239999999999998</v>
      </c>
      <c r="Q21" s="31">
        <f>STEMI_TEMPO_ACQUISIZIONE!S16</f>
        <v>11.91</v>
      </c>
      <c r="R21" s="31">
        <f>STEMI_TEMPO_ACQUISIZIONE!T16</f>
        <v>8.33</v>
      </c>
      <c r="S21" s="31">
        <f>STEMI_TEMPO_ACQUISIZIONE!U16</f>
        <v>6.01</v>
      </c>
      <c r="T21" s="31">
        <f>STEMI_TEMPO_ACQUISIZIONE!V16</f>
        <v>5.64</v>
      </c>
      <c r="U21" s="31">
        <f>STEMI_TEMPO_ACQUISIZIONE!W16</f>
        <v>5.68</v>
      </c>
      <c r="V21" s="31">
        <f>STEMI_TEMPO_ACQUISIZIONE!X16</f>
        <v>5.45</v>
      </c>
      <c r="W21" s="31">
        <f>STEMI_TEMPO_ACQUISIZIONE!Y16</f>
        <v>2.0699999999999998</v>
      </c>
    </row>
    <row r="37" spans="1:20">
      <c r="A37" s="21" t="s">
        <v>330</v>
      </c>
      <c r="B37" s="21" t="s">
        <v>335</v>
      </c>
      <c r="C37" s="21"/>
      <c r="D37" s="21"/>
      <c r="E37" s="21"/>
      <c r="F37" s="21"/>
      <c r="G37" s="21"/>
      <c r="H37" s="21"/>
      <c r="I37" s="21"/>
    </row>
    <row r="38" spans="1:20">
      <c r="A38" s="29" t="s">
        <v>331</v>
      </c>
      <c r="B38" s="30">
        <f>STEMI_TEMPO_ACQUISIZIONE!B7</f>
        <v>0.25</v>
      </c>
      <c r="C38" s="30">
        <f>STEMI_TEMPO_ACQUISIZIONE!C7</f>
        <v>0.43611111110658385</v>
      </c>
      <c r="D38" s="30">
        <f>STEMI_TEMPO_ACQUISIZIONE!D7</f>
        <v>0.788888888884685</v>
      </c>
      <c r="E38" s="30">
        <f>STEMI_TEMPO_ACQUISIZIONE!E7</f>
        <v>1.8111111111065838</v>
      </c>
      <c r="F38" s="30">
        <f>STEMI_TEMPO_ACQUISIZIONE!F7</f>
        <v>2.8090277777737356</v>
      </c>
      <c r="G38" s="30">
        <f>STEMI_TEMPO_ACQUISIZIONE!G7</f>
        <v>3.8576388888832298</v>
      </c>
      <c r="H38" s="30">
        <f>STEMI_TEMPO_ACQUISIZIONE!H7</f>
        <v>4.8416666666671517</v>
      </c>
      <c r="I38" s="30">
        <f>STEMI_TEMPO_ACQUISIZIONE!I7</f>
        <v>6.8374999999941792</v>
      </c>
      <c r="J38" s="17"/>
      <c r="K38" s="32" t="s">
        <v>304</v>
      </c>
      <c r="L38" s="32" t="s">
        <v>345</v>
      </c>
      <c r="M38" s="21"/>
      <c r="N38" s="21"/>
      <c r="O38" s="21"/>
      <c r="P38" s="21"/>
      <c r="Q38" s="21"/>
      <c r="R38" s="21"/>
      <c r="S38" s="21"/>
      <c r="T38" s="21"/>
    </row>
    <row r="39" spans="1:20">
      <c r="A39" s="31" t="s">
        <v>332</v>
      </c>
      <c r="B39" s="31">
        <f>STEMI_TEMPO_ACQUISIZIONE!R7</f>
        <v>12.9</v>
      </c>
      <c r="C39" s="31">
        <f>STEMI_TEMPO_ACQUISIZIONE!S7</f>
        <v>6.94</v>
      </c>
      <c r="D39" s="31">
        <f>STEMI_TEMPO_ACQUISIZIONE!T7</f>
        <v>4.58</v>
      </c>
      <c r="E39" s="31">
        <f>STEMI_TEMPO_ACQUISIZIONE!U7</f>
        <v>2.93</v>
      </c>
      <c r="F39" s="31">
        <f>STEMI_TEMPO_ACQUISIZIONE!V7</f>
        <v>4.08</v>
      </c>
      <c r="G39" s="31">
        <f>STEMI_TEMPO_ACQUISIZIONE!W7</f>
        <v>3.72</v>
      </c>
      <c r="H39" s="31">
        <f>STEMI_TEMPO_ACQUISIZIONE!X7</f>
        <v>2.41</v>
      </c>
      <c r="I39" s="31">
        <f>STEMI_TEMPO_ACQUISIZIONE!Y7</f>
        <v>0.67400000000000004</v>
      </c>
      <c r="K39" s="29" t="s">
        <v>331</v>
      </c>
      <c r="L39" s="30">
        <f>STEMI_TEMPO_ACQUISIZIONE!B17</f>
        <v>0.99166666666860692</v>
      </c>
      <c r="M39" s="30">
        <f>STEMI_TEMPO_ACQUISIZIONE!C17</f>
        <v>0.99027777778246673</v>
      </c>
      <c r="N39" s="30">
        <f>STEMI_TEMPO_ACQUISIZIONE!D17</f>
        <v>1.2173611111138598</v>
      </c>
      <c r="O39" s="30">
        <f>STEMI_TEMPO_ACQUISIZIONE!E17</f>
        <v>1.7694444444496185</v>
      </c>
      <c r="P39" s="30">
        <f>STEMI_TEMPO_ACQUISIZIONE!F17</f>
        <v>2.7673611111167702</v>
      </c>
      <c r="Q39" s="30">
        <f>STEMI_TEMPO_ACQUISIZIONE!G17</f>
        <v>3.711111111115315</v>
      </c>
      <c r="R39" s="30">
        <f>STEMI_TEMPO_ACQUISIZIONE!H17</f>
        <v>4.765277777776646</v>
      </c>
      <c r="S39" s="30">
        <f>STEMI_TEMPO_ACQUISIZIONE!I17</f>
        <v>5.7805555555605679</v>
      </c>
      <c r="T39" s="30">
        <f>STEMI_TEMPO_ACQUISIZIONE!J17</f>
        <v>5.7805555555605679</v>
      </c>
    </row>
    <row r="40" spans="1:20">
      <c r="K40" s="31" t="s">
        <v>332</v>
      </c>
      <c r="L40" s="31">
        <f>STEMI_TEMPO_ACQUISIZIONE!R17</f>
        <v>3.87</v>
      </c>
      <c r="M40" s="31">
        <f>STEMI_TEMPO_ACQUISIZIONE!S17</f>
        <v>3.87</v>
      </c>
      <c r="N40" s="31">
        <f>STEMI_TEMPO_ACQUISIZIONE!T17</f>
        <v>2.9</v>
      </c>
      <c r="O40" s="31">
        <f>STEMI_TEMPO_ACQUISIZIONE!U17</f>
        <v>3.1</v>
      </c>
      <c r="P40" s="31">
        <f>STEMI_TEMPO_ACQUISIZIONE!V17</f>
        <v>2.38</v>
      </c>
      <c r="Q40" s="31">
        <f>STEMI_TEMPO_ACQUISIZIONE!W17</f>
        <v>2.64</v>
      </c>
      <c r="R40" s="31">
        <f>STEMI_TEMPO_ACQUISIZIONE!X17</f>
        <v>2.4900000000000002</v>
      </c>
      <c r="S40" s="31">
        <f>STEMI_TEMPO_ACQUISIZIONE!Y17</f>
        <v>0.01</v>
      </c>
      <c r="T40" s="31">
        <f>STEMI_TEMPO_ACQUISIZIONE!Z17</f>
        <v>2.0299999999999998</v>
      </c>
    </row>
    <row r="55" spans="1:22">
      <c r="A55" s="21" t="s">
        <v>330</v>
      </c>
      <c r="B55" s="21" t="s">
        <v>336</v>
      </c>
      <c r="C55" s="21"/>
      <c r="D55" s="21"/>
      <c r="E55" s="21"/>
      <c r="F55" s="21"/>
      <c r="G55" s="21"/>
      <c r="H55" s="21"/>
      <c r="I55" s="21"/>
      <c r="J55" s="21"/>
      <c r="L55" s="21" t="s">
        <v>304</v>
      </c>
      <c r="M55" s="21" t="s">
        <v>346</v>
      </c>
      <c r="N55" s="21"/>
      <c r="O55" s="21"/>
      <c r="P55" s="21"/>
      <c r="Q55" s="21"/>
      <c r="R55" s="21"/>
      <c r="S55" s="21"/>
      <c r="T55" s="21"/>
      <c r="U55" s="21"/>
      <c r="V55" s="21"/>
    </row>
    <row r="56" spans="1:22">
      <c r="A56" s="29" t="s">
        <v>331</v>
      </c>
      <c r="B56" s="30">
        <f>STEMI_TEMPO_ACQUISIZIONE!B8</f>
        <v>0.21111111110803904</v>
      </c>
      <c r="C56" s="30">
        <f>STEMI_TEMPO_ACQUISIZIONE!C8</f>
        <v>0.42986111110803904</v>
      </c>
      <c r="D56" s="30">
        <f>STEMI_TEMPO_ACQUISIZIONE!D8</f>
        <v>0.95138888888322981</v>
      </c>
      <c r="E56" s="30">
        <f>STEMI_TEMPO_ACQUISIZIONE!E8</f>
        <v>2.0048611111051287</v>
      </c>
      <c r="F56" s="30">
        <f>STEMI_TEMPO_ACQUISIZIONE!F8</f>
        <v>3.0034722222189885</v>
      </c>
      <c r="G56" s="30">
        <f>STEMI_TEMPO_ACQUISIZIONE!G8</f>
        <v>4.0527777777751908</v>
      </c>
      <c r="H56" s="30">
        <f>STEMI_TEMPO_ACQUISIZIONE!H8</f>
        <v>5.0319444444394321</v>
      </c>
      <c r="I56" s="30">
        <f>STEMI_TEMPO_ACQUISIZIONE!I8</f>
        <v>6.0270833333343035</v>
      </c>
      <c r="J56" s="30">
        <f>STEMI_TEMPO_ACQUISIZIONE!J8</f>
        <v>7.0291666666671517</v>
      </c>
      <c r="L56" s="29" t="s">
        <v>331</v>
      </c>
      <c r="M56" s="30">
        <f>STEMI_TEMPO_ACQUISIZIONE!B18</f>
        <v>0.56458333333284827</v>
      </c>
      <c r="N56" s="30">
        <f>STEMI_TEMPO_ACQUISIZIONE!C18</f>
        <v>0.77291666666860692</v>
      </c>
      <c r="O56" s="30">
        <f>STEMI_TEMPO_ACQUISIZIONE!D18</f>
        <v>1.1548611111138598</v>
      </c>
      <c r="P56" s="30">
        <f>STEMI_TEMPO_ACQUISIZIONE!E18</f>
        <v>1.6041666666642413</v>
      </c>
      <c r="Q56" s="30">
        <f>STEMI_TEMPO_ACQUISIZIONE!F18</f>
        <v>2.1374999999970896</v>
      </c>
      <c r="R56" s="30">
        <f>STEMI_TEMPO_ACQUISIZIONE!G18</f>
        <v>3.1381944444437977</v>
      </c>
      <c r="S56" s="30">
        <f>STEMI_TEMPO_ACQUISIZIONE!H18</f>
        <v>4.203472222223354</v>
      </c>
      <c r="T56" s="30">
        <f>STEMI_TEMPO_ACQUISIZIONE!I18</f>
        <v>5.1645833333313931</v>
      </c>
      <c r="U56" s="30">
        <f>STEMI_TEMPO_ACQUISIZIONE!J18</f>
        <v>6.171527777776646</v>
      </c>
      <c r="V56" s="30">
        <f>STEMI_TEMPO_ACQUISIZIONE!K18</f>
        <v>7.1513888888875954</v>
      </c>
    </row>
    <row r="57" spans="1:22">
      <c r="A57" s="31" t="s">
        <v>332</v>
      </c>
      <c r="B57" s="31">
        <f>STEMI_TEMPO_ACQUISIZIONE!R8</f>
        <v>0.189</v>
      </c>
      <c r="C57" s="31">
        <f>STEMI_TEMPO_ACQUISIZIONE!S8</f>
        <v>0.46800000000000003</v>
      </c>
      <c r="D57" s="31">
        <f>STEMI_TEMPO_ACQUISIZIONE!T8</f>
        <v>0.32200000000000001</v>
      </c>
      <c r="E57" s="31">
        <f>STEMI_TEMPO_ACQUISIZIONE!U8</f>
        <v>0.23200000000000001</v>
      </c>
      <c r="F57" s="31">
        <f>STEMI_TEMPO_ACQUISIZIONE!V8</f>
        <v>0.24</v>
      </c>
      <c r="G57" s="31">
        <f>STEMI_TEMPO_ACQUISIZIONE!W8</f>
        <v>0.23100000000000001</v>
      </c>
      <c r="H57" s="31">
        <f>STEMI_TEMPO_ACQUISIZIONE!X8</f>
        <v>0.19900000000000001</v>
      </c>
      <c r="I57" s="31">
        <f>STEMI_TEMPO_ACQUISIZIONE!Y8</f>
        <v>0.14599999999999999</v>
      </c>
      <c r="J57" s="31">
        <f>STEMI_TEMPO_ACQUISIZIONE!Z8</f>
        <v>0.11</v>
      </c>
      <c r="L57" s="31" t="s">
        <v>332</v>
      </c>
      <c r="M57" s="31">
        <f>STEMI_TEMPO_ACQUISIZIONE!R18</f>
        <v>2.83</v>
      </c>
      <c r="N57" s="31">
        <f>STEMI_TEMPO_ACQUISIZIONE!S18</f>
        <v>4.0999999999999996</v>
      </c>
      <c r="O57" s="31">
        <f>STEMI_TEMPO_ACQUISIZIONE!T18</f>
        <v>2.44</v>
      </c>
      <c r="P57" s="31">
        <f>STEMI_TEMPO_ACQUISIZIONE!U18</f>
        <v>1.68</v>
      </c>
      <c r="Q57" s="31">
        <f>STEMI_TEMPO_ACQUISIZIONE!V18</f>
        <v>2.16</v>
      </c>
      <c r="R57" s="31">
        <f>STEMI_TEMPO_ACQUISIZIONE!W18</f>
        <v>2.87</v>
      </c>
      <c r="S57" s="31">
        <f>STEMI_TEMPO_ACQUISIZIONE!X18</f>
        <v>2.09</v>
      </c>
      <c r="T57" s="31">
        <f>STEMI_TEMPO_ACQUISIZIONE!Y18</f>
        <v>0.99199999999999999</v>
      </c>
      <c r="U57" s="31">
        <f>STEMI_TEMPO_ACQUISIZIONE!Z18</f>
        <v>0.45100000000000001</v>
      </c>
      <c r="V57" s="31">
        <f>STEMI_TEMPO_ACQUISIZIONE!AA18</f>
        <v>0.20499999999999999</v>
      </c>
    </row>
    <row r="73" spans="1:19">
      <c r="A73" s="21" t="s">
        <v>330</v>
      </c>
      <c r="B73" s="21" t="s">
        <v>337</v>
      </c>
      <c r="C73" s="21"/>
      <c r="D73" s="21"/>
      <c r="E73" s="21"/>
      <c r="F73" s="21"/>
      <c r="G73" s="21"/>
      <c r="H73" s="21"/>
      <c r="I73" s="21"/>
      <c r="J73" s="21"/>
      <c r="L73" s="21" t="s">
        <v>304</v>
      </c>
      <c r="M73" s="21" t="s">
        <v>347</v>
      </c>
      <c r="N73" s="21"/>
      <c r="O73" s="21"/>
      <c r="P73" s="21"/>
      <c r="Q73" s="21"/>
      <c r="R73" s="21"/>
      <c r="S73" s="21"/>
    </row>
    <row r="74" spans="1:19">
      <c r="A74" s="29" t="s">
        <v>331</v>
      </c>
      <c r="B74" s="30">
        <f>STEMI_TEMPO_ACQUISIZIONE!B9</f>
        <v>3.5416666665696539E-2</v>
      </c>
      <c r="C74" s="30">
        <f>STEMI_TEMPO_ACQUISIZIONE!C9</f>
        <v>0.16041666666569654</v>
      </c>
      <c r="D74" s="30">
        <f>STEMI_TEMPO_ACQUISIZIONE!D9</f>
        <v>0.46180555555474712</v>
      </c>
      <c r="E74" s="30">
        <f>STEMI_TEMPO_ACQUISIZIONE!E9</f>
        <v>1.4638888888875954</v>
      </c>
      <c r="F74" s="30">
        <f>STEMI_TEMPO_ACQUISIZIONE!F9</f>
        <v>2.4375</v>
      </c>
      <c r="G74" s="30">
        <f>STEMI_TEMPO_ACQUISIZIONE!G9</f>
        <v>3.4159722222248092</v>
      </c>
      <c r="H74" s="30">
        <f>STEMI_TEMPO_ACQUISIZIONE!H9</f>
        <v>4.429861111108039</v>
      </c>
      <c r="L74" s="29" t="s">
        <v>331</v>
      </c>
      <c r="M74" s="30">
        <f>STEMI_TEMPO_ACQUISIZIONE!B19</f>
        <v>0.74722222222044365</v>
      </c>
      <c r="N74" s="30">
        <f>STEMI_TEMPO_ACQUISIZIONE!C19</f>
        <v>1.2729166666686069</v>
      </c>
      <c r="O74" s="30">
        <f>STEMI_TEMPO_ACQUISIZIONE!D19</f>
        <v>1.6159722222218988</v>
      </c>
      <c r="P74" s="30">
        <f>STEMI_TEMPO_ACQUISIZIONE!E19</f>
        <v>2.6374999999970896</v>
      </c>
      <c r="Q74" s="30">
        <f>STEMI_TEMPO_ACQUISIZIONE!F19</f>
        <v>3.0104166666642413</v>
      </c>
      <c r="R74" s="30">
        <f>STEMI_TEMPO_ACQUISIZIONE!G19</f>
        <v>3.6479166666686069</v>
      </c>
      <c r="S74" s="30">
        <f>STEMI_TEMPO_ACQUISIZIONE!H19</f>
        <v>5.6770833333357587</v>
      </c>
    </row>
    <row r="75" spans="1:19">
      <c r="A75" s="31" t="s">
        <v>332</v>
      </c>
      <c r="B75" s="31">
        <f>STEMI_TEMPO_ACQUISIZIONE!R9</f>
        <v>2.2400000000000002</v>
      </c>
      <c r="C75" s="31">
        <f>STEMI_TEMPO_ACQUISIZIONE!S9</f>
        <v>6.93</v>
      </c>
      <c r="D75" s="31">
        <f>STEMI_TEMPO_ACQUISIZIONE!T9</f>
        <v>7.01</v>
      </c>
      <c r="E75" s="31">
        <f>STEMI_TEMPO_ACQUISIZIONE!U9</f>
        <v>2.4900000000000002</v>
      </c>
      <c r="F75" s="31">
        <f>STEMI_TEMPO_ACQUISIZIONE!V9</f>
        <v>3.16</v>
      </c>
      <c r="G75" s="31">
        <f>STEMI_TEMPO_ACQUISIZIONE!W9</f>
        <v>3.82</v>
      </c>
      <c r="H75" s="31">
        <f>STEMI_TEMPO_ACQUISIZIONE!X9</f>
        <v>3.4</v>
      </c>
      <c r="L75" s="31" t="s">
        <v>332</v>
      </c>
      <c r="M75" s="31">
        <f>STEMI_TEMPO_ACQUISIZIONE!R19</f>
        <v>1.44</v>
      </c>
      <c r="N75" s="31">
        <f>STEMI_TEMPO_ACQUISIZIONE!S19</f>
        <v>2.0099999999999998</v>
      </c>
      <c r="O75" s="31">
        <f>STEMI_TEMPO_ACQUISIZIONE!T19</f>
        <v>1.7</v>
      </c>
      <c r="P75" s="31">
        <f>STEMI_TEMPO_ACQUISIZIONE!U19</f>
        <v>1.89</v>
      </c>
      <c r="Q75" s="31">
        <f>STEMI_TEMPO_ACQUISIZIONE!V19</f>
        <v>1.72</v>
      </c>
      <c r="R75" s="31">
        <f>STEMI_TEMPO_ACQUISIZIONE!W19</f>
        <v>1.69</v>
      </c>
      <c r="S75" s="31">
        <f>STEMI_TEMPO_ACQUISIZIONE!X19</f>
        <v>0.73099999999999998</v>
      </c>
    </row>
    <row r="91" spans="1:20">
      <c r="A91" s="21" t="s">
        <v>330</v>
      </c>
      <c r="B91" s="21" t="s">
        <v>338</v>
      </c>
      <c r="C91" s="21"/>
      <c r="D91" s="21"/>
      <c r="E91" s="21"/>
      <c r="F91" s="21"/>
      <c r="G91" s="21"/>
      <c r="H91" s="21"/>
    </row>
    <row r="92" spans="1:20">
      <c r="A92" s="29" t="s">
        <v>331</v>
      </c>
      <c r="B92" s="30">
        <f>STEMI_TEMPO_ACQUISIZIONE!B10</f>
        <v>0.21458333333430346</v>
      </c>
      <c r="C92" s="30">
        <f>STEMI_TEMPO_ACQUISIZIONE!C10</f>
        <v>0.51527777777664596</v>
      </c>
      <c r="D92" s="30">
        <f>STEMI_TEMPO_ACQUISIZIONE!D10</f>
        <v>0.81111111110658385</v>
      </c>
      <c r="E92" s="30">
        <f>STEMI_TEMPO_ACQUISIZIONE!E10</f>
        <v>1.8638888888890506</v>
      </c>
      <c r="F92" s="30">
        <f>STEMI_TEMPO_ACQUISIZIONE!F10</f>
        <v>2.84375</v>
      </c>
      <c r="G92" s="30"/>
      <c r="H92" s="30"/>
      <c r="J92" s="21" t="s">
        <v>304</v>
      </c>
      <c r="K92" s="21" t="s">
        <v>348</v>
      </c>
      <c r="L92" s="21"/>
      <c r="M92" s="21"/>
      <c r="N92" s="21"/>
      <c r="O92" s="21"/>
      <c r="P92" s="21"/>
      <c r="Q92" s="21"/>
      <c r="R92" s="21"/>
      <c r="S92" s="21"/>
      <c r="T92" s="21"/>
    </row>
    <row r="93" spans="1:20">
      <c r="A93" s="31" t="s">
        <v>332</v>
      </c>
      <c r="B93" s="31">
        <f>STEMI_TEMPO_ACQUISIZIONE!R10</f>
        <v>0.34499999999999997</v>
      </c>
      <c r="C93" s="31">
        <f>STEMI_TEMPO_ACQUISIZIONE!S10</f>
        <v>1.3</v>
      </c>
      <c r="D93" s="31">
        <f>STEMI_TEMPO_ACQUISIZIONE!T10</f>
        <v>0.89300000000000002</v>
      </c>
      <c r="E93" s="31">
        <f>STEMI_TEMPO_ACQUISIZIONE!U10</f>
        <v>0.75900000000000001</v>
      </c>
      <c r="F93" s="31">
        <f>STEMI_TEMPO_ACQUISIZIONE!V10</f>
        <v>1.02</v>
      </c>
      <c r="G93" s="31"/>
      <c r="H93" s="31"/>
      <c r="J93" s="29" t="s">
        <v>331</v>
      </c>
      <c r="K93" s="30">
        <f>STEMI_TEMPO_ACQUISIZIONE!B20</f>
        <v>0.48611111111677019</v>
      </c>
      <c r="L93" s="30">
        <f>STEMI_TEMPO_ACQUISIZIONE!C20</f>
        <v>0.50625000000582077</v>
      </c>
      <c r="M93" s="30">
        <f>STEMI_TEMPO_ACQUISIZIONE!D20</f>
        <v>0.80625000000145519</v>
      </c>
      <c r="N93" s="30">
        <f>STEMI_TEMPO_ACQUISIZIONE!E20</f>
        <v>1.3548611111109494</v>
      </c>
      <c r="O93" s="30">
        <f>STEMI_TEMPO_ACQUISIZIONE!F20</f>
        <v>2.3562500000043656</v>
      </c>
      <c r="P93" s="30">
        <f>STEMI_TEMPO_ACQUISIZIONE!G20</f>
        <v>3.382638888891961</v>
      </c>
      <c r="Q93" s="30">
        <f>STEMI_TEMPO_ACQUISIZIONE!H20</f>
        <v>4.3729166666671517</v>
      </c>
      <c r="R93" s="30">
        <f>STEMI_TEMPO_ACQUISIZIONE!I20</f>
        <v>5.3236111111109494</v>
      </c>
      <c r="S93" s="30">
        <f>STEMI_TEMPO_ACQUISIZIONE!J20</f>
        <v>7.4284722222218988</v>
      </c>
      <c r="T93" s="30">
        <f>STEMI_TEMPO_ACQUISIZIONE!K20</f>
        <v>8.3680555555547471</v>
      </c>
    </row>
    <row r="94" spans="1:20">
      <c r="J94" s="31" t="s">
        <v>332</v>
      </c>
      <c r="K94" s="31">
        <f>STEMI_TEMPO_ACQUISIZIONE!R20</f>
        <v>3.94</v>
      </c>
      <c r="L94" s="31">
        <f>STEMI_TEMPO_ACQUISIZIONE!S20</f>
        <v>10</v>
      </c>
      <c r="M94" s="31">
        <f>STEMI_TEMPO_ACQUISIZIONE!T20</f>
        <v>10.68</v>
      </c>
      <c r="N94" s="31">
        <f>STEMI_TEMPO_ACQUISIZIONE!U20</f>
        <v>7.18</v>
      </c>
      <c r="O94" s="31">
        <f>STEMI_TEMPO_ACQUISIZIONE!V20</f>
        <v>4.9800000000000004</v>
      </c>
      <c r="P94" s="31">
        <f>STEMI_TEMPO_ACQUISIZIONE!W20</f>
        <v>5.0999999999999996</v>
      </c>
      <c r="Q94" s="31">
        <f>STEMI_TEMPO_ACQUISIZIONE!X20</f>
        <v>4.45</v>
      </c>
      <c r="R94" s="31">
        <f>STEMI_TEMPO_ACQUISIZIONE!Y20</f>
        <v>3.22</v>
      </c>
      <c r="S94" s="31">
        <f>STEMI_TEMPO_ACQUISIZIONE!Z20</f>
        <v>1.25</v>
      </c>
      <c r="T94" s="31">
        <f>STEMI_TEMPO_ACQUISIZIONE!AA20</f>
        <v>0.74399999999999999</v>
      </c>
    </row>
    <row r="109" spans="1:18">
      <c r="A109" s="21" t="s">
        <v>304</v>
      </c>
      <c r="B109" s="21" t="s">
        <v>339</v>
      </c>
      <c r="C109" s="21"/>
      <c r="D109" s="21"/>
      <c r="E109" s="21"/>
      <c r="F109" s="21"/>
      <c r="G109" s="21"/>
      <c r="H109" s="21"/>
    </row>
    <row r="110" spans="1:18">
      <c r="A110" s="29" t="s">
        <v>331</v>
      </c>
      <c r="B110" s="30">
        <f>STEMI_TEMPO_ACQUISIZIONE!B11</f>
        <v>0.21597222222771961</v>
      </c>
      <c r="C110" s="30">
        <f>STEMI_TEMPO_ACQUISIZIONE!C11</f>
        <v>0.39375000000291038</v>
      </c>
      <c r="D110" s="30">
        <f>STEMI_TEMPO_ACQUISIZIONE!D11</f>
        <v>1.2319444444437977</v>
      </c>
      <c r="E110" s="30">
        <f>STEMI_TEMPO_ACQUISIZIONE!E11</f>
        <v>2.2902777777781012</v>
      </c>
      <c r="F110" s="30">
        <f>STEMI_TEMPO_ACQUISIZIONE!F11</f>
        <v>3.2770833333343035</v>
      </c>
      <c r="G110" s="30">
        <f>STEMI_TEMPO_ACQUISIZIONE!G11</f>
        <v>4.2694444444496185</v>
      </c>
      <c r="H110" s="30">
        <f>STEMI_TEMPO_ACQUISIZIONE!H11</f>
        <v>5.2715277777824667</v>
      </c>
      <c r="I110" s="17"/>
      <c r="J110" s="21" t="s">
        <v>304</v>
      </c>
      <c r="K110" s="21" t="s">
        <v>349</v>
      </c>
      <c r="L110" s="21"/>
      <c r="M110" s="21"/>
      <c r="N110" s="21"/>
      <c r="O110" s="21"/>
      <c r="P110" s="21"/>
      <c r="Q110" s="21"/>
      <c r="R110" s="21"/>
    </row>
    <row r="111" spans="1:18">
      <c r="A111" s="31" t="s">
        <v>332</v>
      </c>
      <c r="B111" s="31">
        <f>STEMI_TEMPO_ACQUISIZIONE!R11</f>
        <v>9.6000000000000002E-2</v>
      </c>
      <c r="C111" s="31">
        <f>STEMI_TEMPO_ACQUISIZIONE!S11</f>
        <v>0.245</v>
      </c>
      <c r="D111" s="31">
        <f>STEMI_TEMPO_ACQUISIZIONE!T11</f>
        <v>0.63600000000000001</v>
      </c>
      <c r="E111" s="31">
        <f>STEMI_TEMPO_ACQUISIZIONE!U11</f>
        <v>0.47399999999999998</v>
      </c>
      <c r="F111" s="31">
        <f>STEMI_TEMPO_ACQUISIZIONE!V11</f>
        <v>0.61399999999999999</v>
      </c>
      <c r="G111" s="31">
        <f>STEMI_TEMPO_ACQUISIZIONE!W11</f>
        <v>0.628</v>
      </c>
      <c r="H111" s="31">
        <f>STEMI_TEMPO_ACQUISIZIONE!X11</f>
        <v>0.39</v>
      </c>
      <c r="J111" s="29" t="s">
        <v>331</v>
      </c>
      <c r="K111" s="30">
        <f>STEMI_TEMPO_ACQUISIZIONE!B21</f>
        <v>0.375</v>
      </c>
      <c r="L111" s="30">
        <f>STEMI_TEMPO_ACQUISIZIONE!C21</f>
        <v>0.85069444444525288</v>
      </c>
      <c r="M111" s="30">
        <f>STEMI_TEMPO_ACQUISIZIONE!D21</f>
        <v>1.3583333333372138</v>
      </c>
      <c r="N111" s="30">
        <f>STEMI_TEMPO_ACQUISIZIONE!E21</f>
        <v>2.3562500000043656</v>
      </c>
      <c r="O111" s="30">
        <f>STEMI_TEMPO_ACQUISIZIONE!F21</f>
        <v>3.4118055555591127</v>
      </c>
      <c r="P111" s="30">
        <f>STEMI_TEMPO_ACQUISIZIONE!G21</f>
        <v>4.375</v>
      </c>
      <c r="Q111" s="30">
        <f>STEMI_TEMPO_ACQUISIZIONE!H21</f>
        <v>5.3194444444452529</v>
      </c>
      <c r="R111" s="30">
        <f>STEMI_TEMPO_ACQUISIZIONE!I21</f>
        <v>6.3548611111109494</v>
      </c>
    </row>
    <row r="112" spans="1:18">
      <c r="J112" s="31" t="s">
        <v>332</v>
      </c>
      <c r="K112" s="31">
        <f>STEMI_TEMPO_ACQUISIZIONE!R21</f>
        <v>7.01</v>
      </c>
      <c r="L112" s="31">
        <f>STEMI_TEMPO_ACQUISIZIONE!S21</f>
        <v>5.27</v>
      </c>
      <c r="M112" s="31">
        <f>STEMI_TEMPO_ACQUISIZIONE!T21</f>
        <v>4.95</v>
      </c>
      <c r="N112" s="31">
        <f>STEMI_TEMPO_ACQUISIZIONE!U21</f>
        <v>3.43</v>
      </c>
      <c r="O112" s="31">
        <f>STEMI_TEMPO_ACQUISIZIONE!V21</f>
        <v>4.01</v>
      </c>
      <c r="P112" s="31">
        <f>STEMI_TEMPO_ACQUISIZIONE!W21</f>
        <v>4.7</v>
      </c>
      <c r="Q112" s="31">
        <f>STEMI_TEMPO_ACQUISIZIONE!X21</f>
        <v>3.72</v>
      </c>
      <c r="R112" s="31">
        <f>STEMI_TEMPO_ACQUISIZIONE!Y21</f>
        <v>3.06</v>
      </c>
    </row>
    <row r="127" spans="1:8">
      <c r="A127" s="21" t="s">
        <v>304</v>
      </c>
      <c r="B127" s="21" t="s">
        <v>340</v>
      </c>
      <c r="C127" s="21"/>
      <c r="D127" s="21"/>
      <c r="E127" s="21"/>
      <c r="F127" s="21"/>
      <c r="G127" s="21"/>
      <c r="H127" s="21"/>
    </row>
    <row r="128" spans="1:8">
      <c r="A128" s="29" t="s">
        <v>331</v>
      </c>
      <c r="B128" s="30">
        <f>STEMI_TEMPO_ACQUISIZIONE!B12</f>
        <v>0.18263888888759539</v>
      </c>
      <c r="C128" s="30">
        <f>STEMI_TEMPO_ACQUISIZIONE!C12</f>
        <v>0.50347222221898846</v>
      </c>
      <c r="D128" s="30">
        <f>STEMI_TEMPO_ACQUISIZIONE!D12</f>
        <v>0.58819444444088731</v>
      </c>
      <c r="E128" s="30">
        <f>STEMI_TEMPO_ACQUISIZIONE!E12</f>
        <v>1.5944444444394321</v>
      </c>
      <c r="F128" s="30">
        <f>STEMI_TEMPO_ACQUISIZIONE!F12</f>
        <v>2.5763888888832298</v>
      </c>
      <c r="G128" s="30">
        <f>STEMI_TEMPO_ACQUISIZIONE!G12</f>
        <v>3.5847222222218988</v>
      </c>
      <c r="H128" s="30">
        <f>STEMI_TEMPO_ACQUISIZIONE!H12</f>
        <v>4.5986111111051287</v>
      </c>
    </row>
    <row r="129" spans="1:24">
      <c r="A129" s="31" t="s">
        <v>332</v>
      </c>
      <c r="B129" s="31">
        <f>STEMI_TEMPO_ACQUISIZIONE!R12</f>
        <v>0.153</v>
      </c>
      <c r="C129" s="31">
        <f>STEMI_TEMPO_ACQUISIZIONE!S12</f>
        <v>0.155</v>
      </c>
      <c r="D129" s="31">
        <f>STEMI_TEMPO_ACQUISIZIONE!T12</f>
        <v>0.17399999999999999</v>
      </c>
      <c r="E129" s="31">
        <f>STEMI_TEMPO_ACQUISIZIONE!U12</f>
        <v>0.113</v>
      </c>
      <c r="F129" s="31">
        <f>STEMI_TEMPO_ACQUISIZIONE!V12</f>
        <v>0.114</v>
      </c>
      <c r="G129" s="31">
        <f>STEMI_TEMPO_ACQUISIZIONE!W12</f>
        <v>0.14199999999999999</v>
      </c>
      <c r="H129" s="31">
        <f>STEMI_TEMPO_ACQUISIZIONE!X12</f>
        <v>7.0000000000000007E-2</v>
      </c>
      <c r="J129" s="21" t="s">
        <v>304</v>
      </c>
      <c r="K129" s="21" t="s">
        <v>350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>
      <c r="J130" s="29" t="s">
        <v>331</v>
      </c>
      <c r="K130" s="30">
        <f>STEMI_TEMPO_ACQUISIZIONE!B22</f>
        <v>0.74861111111385981</v>
      </c>
      <c r="L130" s="30">
        <f>STEMI_TEMPO_ACQUISIZIONE!C22</f>
        <v>0.86527777778246673</v>
      </c>
      <c r="M130" s="30">
        <f>STEMI_TEMPO_ACQUISIZIONE!D22</f>
        <v>1.3625000000029104</v>
      </c>
      <c r="N130" s="30">
        <f>STEMI_TEMPO_ACQUISIZIONE!E22</f>
        <v>2.4118055555591127</v>
      </c>
      <c r="O130" s="30">
        <f>STEMI_TEMPO_ACQUISIZIONE!F22</f>
        <v>3.3729166666671517</v>
      </c>
      <c r="P130" s="30">
        <f>STEMI_TEMPO_ACQUISIZIONE!G22</f>
        <v>4.3270833333372138</v>
      </c>
      <c r="Q130" s="30">
        <f>STEMI_TEMPO_ACQUISIZIONE!H22</f>
        <v>5.3548611111109494</v>
      </c>
      <c r="R130" s="30">
        <f>STEMI_TEMPO_ACQUISIZIONE!I22</f>
        <v>6.3881944444437977</v>
      </c>
      <c r="S130" s="30">
        <f>STEMI_TEMPO_ACQUISIZIONE!J22</f>
        <v>7.3354166666686069</v>
      </c>
      <c r="T130" s="30">
        <f>STEMI_TEMPO_ACQUISIZIONE!K22</f>
        <v>7.9361111111138598</v>
      </c>
      <c r="U130" s="30">
        <f>STEMI_TEMPO_ACQUISIZIONE!L22</f>
        <v>8.3479166666656965</v>
      </c>
      <c r="V130" s="30">
        <f>STEMI_TEMPO_ACQUISIZIONE!M22</f>
        <v>8.7145833333343035</v>
      </c>
      <c r="W130" s="30">
        <f>STEMI_TEMPO_ACQUISIZIONE!N22</f>
        <v>10.351388888891961</v>
      </c>
      <c r="X130" s="30">
        <f>STEMI_TEMPO_ACQUISIZIONE!O22</f>
        <v>11.355555555557657</v>
      </c>
    </row>
    <row r="131" spans="1:24">
      <c r="J131" s="31" t="s">
        <v>332</v>
      </c>
      <c r="K131" s="31">
        <f>STEMI_TEMPO_ACQUISIZIONE!R22</f>
        <v>11.24</v>
      </c>
      <c r="L131" s="31">
        <f>STEMI_TEMPO_ACQUISIZIONE!S22</f>
        <v>7.79</v>
      </c>
      <c r="M131" s="31">
        <f>STEMI_TEMPO_ACQUISIZIONE!T22</f>
        <v>5.03</v>
      </c>
      <c r="N131" s="31">
        <f>STEMI_TEMPO_ACQUISIZIONE!U22</f>
        <v>2.84</v>
      </c>
      <c r="O131" s="31">
        <f>STEMI_TEMPO_ACQUISIZIONE!V22</f>
        <v>3.69</v>
      </c>
      <c r="P131" s="31">
        <f>STEMI_TEMPO_ACQUISIZIONE!W22</f>
        <v>4.5599999999999996</v>
      </c>
      <c r="Q131" s="31">
        <f>STEMI_TEMPO_ACQUISIZIONE!X22</f>
        <v>3.98</v>
      </c>
      <c r="R131" s="31">
        <f>STEMI_TEMPO_ACQUISIZIONE!Y22</f>
        <v>2.27</v>
      </c>
      <c r="S131" s="31">
        <f>STEMI_TEMPO_ACQUISIZIONE!Z22</f>
        <v>1.65</v>
      </c>
      <c r="T131" s="31">
        <f>STEMI_TEMPO_ACQUISIZIONE!AA22</f>
        <v>1.5</v>
      </c>
      <c r="U131" s="31">
        <f>STEMI_TEMPO_ACQUISIZIONE!AB22</f>
        <v>1.3</v>
      </c>
      <c r="V131" s="31">
        <f>STEMI_TEMPO_ACQUISIZIONE!AC22</f>
        <v>1.1599999999999999</v>
      </c>
      <c r="W131" s="31">
        <f>STEMI_TEMPO_ACQUISIZIONE!AD22</f>
        <v>0.71099999999999997</v>
      </c>
      <c r="X131" s="31">
        <f>STEMI_TEMPO_ACQUISIZIONE!AE22</f>
        <v>0.54</v>
      </c>
    </row>
    <row r="145" spans="1:17">
      <c r="A145" s="21" t="s">
        <v>304</v>
      </c>
      <c r="B145" s="21" t="s">
        <v>341</v>
      </c>
      <c r="C145" s="21"/>
      <c r="D145" s="21"/>
    </row>
    <row r="146" spans="1:17">
      <c r="A146" s="29" t="s">
        <v>331</v>
      </c>
      <c r="B146" s="30">
        <f>STEMI_TEMPO_ACQUISIZIONE!B13</f>
        <v>0.3631944444423425</v>
      </c>
      <c r="C146" s="30">
        <f>STEMI_TEMPO_ACQUISIZIONE!C13</f>
        <v>1.0847222222218988</v>
      </c>
      <c r="D146" s="30">
        <f>STEMI_TEMPO_ACQUISIZIONE!D13</f>
        <v>2.1180555555547471</v>
      </c>
    </row>
    <row r="147" spans="1:17">
      <c r="A147" s="31" t="s">
        <v>332</v>
      </c>
      <c r="B147" s="31">
        <f>STEMI_TEMPO_ACQUISIZIONE!R13</f>
        <v>2.9000000000000001E-2</v>
      </c>
      <c r="C147" s="31">
        <f>STEMI_TEMPO_ACQUISIZIONE!S13</f>
        <v>3.1E-2</v>
      </c>
      <c r="D147" s="31">
        <f>STEMI_TEMPO_ACQUISIZIONE!T13</f>
        <v>3.5999999999999997E-2</v>
      </c>
    </row>
    <row r="148" spans="1:17">
      <c r="J148" s="21" t="s">
        <v>304</v>
      </c>
      <c r="K148" s="21" t="s">
        <v>351</v>
      </c>
      <c r="L148" s="21"/>
      <c r="M148" s="21"/>
      <c r="N148" s="21"/>
      <c r="O148" s="21"/>
      <c r="P148" s="21"/>
      <c r="Q148" s="21"/>
    </row>
    <row r="149" spans="1:17">
      <c r="J149" s="29" t="s">
        <v>331</v>
      </c>
      <c r="K149" s="30">
        <f>STEMI_TEMPO_ACQUISIZIONE!B23</f>
        <v>0.45138888889050577</v>
      </c>
      <c r="L149" s="30">
        <f>STEMI_TEMPO_ACQUISIZIONE!C23</f>
        <v>0.61250000000291038</v>
      </c>
      <c r="M149" s="30">
        <f>STEMI_TEMPO_ACQUISIZIONE!D23</f>
        <v>0.95555555555620231</v>
      </c>
      <c r="N149" s="30">
        <f>STEMI_TEMPO_ACQUISIZIONE!E23</f>
        <v>2.9597222222218988</v>
      </c>
      <c r="O149" s="30">
        <f>STEMI_TEMPO_ACQUISIZIONE!F23</f>
        <v>3.9472222222248092</v>
      </c>
      <c r="P149" s="30">
        <f>STEMI_TEMPO_ACQUISIZIONE!G23</f>
        <v>4.9548611111094942</v>
      </c>
      <c r="Q149" s="30">
        <f>STEMI_TEMPO_ACQUISIZIONE!H23</f>
        <v>5.9965277777810115</v>
      </c>
    </row>
    <row r="150" spans="1:17">
      <c r="J150" s="31" t="s">
        <v>332</v>
      </c>
      <c r="K150" s="31">
        <f>STEMI_TEMPO_ACQUISIZIONE!R23</f>
        <v>28.39</v>
      </c>
      <c r="L150" s="31">
        <f>STEMI_TEMPO_ACQUISIZIONE!S23</f>
        <v>15.65</v>
      </c>
      <c r="M150" s="31">
        <f>STEMI_TEMPO_ACQUISIZIONE!T23</f>
        <v>9.9700000000000006</v>
      </c>
      <c r="N150" s="31">
        <f>STEMI_TEMPO_ACQUISIZIONE!U23</f>
        <v>2.66</v>
      </c>
      <c r="O150" s="31">
        <f>STEMI_TEMPO_ACQUISIZIONE!V23</f>
        <v>2.27</v>
      </c>
      <c r="P150" s="31">
        <f>STEMI_TEMPO_ACQUISIZIONE!W23</f>
        <v>1.76</v>
      </c>
      <c r="Q150" s="31">
        <f>STEMI_TEMPO_ACQUISIZIONE!X23</f>
        <v>1.46</v>
      </c>
    </row>
    <row r="163" spans="1:20">
      <c r="A163" s="21" t="s">
        <v>304</v>
      </c>
      <c r="B163" s="21" t="s">
        <v>342</v>
      </c>
      <c r="C163" s="21"/>
      <c r="D163" s="21"/>
      <c r="E163" s="21"/>
      <c r="F163" s="21"/>
      <c r="G163" s="21"/>
    </row>
    <row r="164" spans="1:20">
      <c r="A164" s="29" t="s">
        <v>331</v>
      </c>
      <c r="B164" s="30">
        <f>STEMI_TEMPO_ACQUISIZIONE!B14</f>
        <v>1.3493055555591127</v>
      </c>
      <c r="C164" s="30">
        <f>STEMI_TEMPO_ACQUISIZIONE!C14</f>
        <v>1.7930555555576575</v>
      </c>
      <c r="D164" s="30">
        <f>STEMI_TEMPO_ACQUISIZIONE!D14</f>
        <v>2.8263888888905058</v>
      </c>
      <c r="E164" s="30">
        <f>STEMI_TEMPO_ACQUISIZIONE!E14</f>
        <v>3.1437500000029104</v>
      </c>
      <c r="F164" s="30">
        <f>STEMI_TEMPO_ACQUISIZIONE!F14</f>
        <v>3.7770833333343035</v>
      </c>
      <c r="G164" s="30">
        <f>STEMI_TEMPO_ACQUISIZIONE!G14</f>
        <v>4.8138888888861402</v>
      </c>
    </row>
    <row r="165" spans="1:20">
      <c r="A165" s="31" t="s">
        <v>332</v>
      </c>
      <c r="B165" s="31">
        <f>STEMI_TEMPO_ACQUISIZIONE!R14</f>
        <v>1.78</v>
      </c>
      <c r="C165" s="31">
        <f>STEMI_TEMPO_ACQUISIZIONE!S14</f>
        <v>2.06</v>
      </c>
      <c r="D165" s="31">
        <f>STEMI_TEMPO_ACQUISIZIONE!T14</f>
        <v>2.17</v>
      </c>
      <c r="E165" s="31">
        <f>STEMI_TEMPO_ACQUISIZIONE!U14</f>
        <v>1.96</v>
      </c>
      <c r="F165" s="31">
        <f>STEMI_TEMPO_ACQUISIZIONE!V14</f>
        <v>1.67</v>
      </c>
      <c r="G165" s="31">
        <f>STEMI_TEMPO_ACQUISIZIONE!W14</f>
        <v>1.06</v>
      </c>
    </row>
    <row r="167" spans="1:20">
      <c r="J167" s="21" t="s">
        <v>304</v>
      </c>
      <c r="K167" s="21" t="s">
        <v>352</v>
      </c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1:20">
      <c r="J168" s="29" t="s">
        <v>331</v>
      </c>
      <c r="K168" s="30">
        <f>STEMI_TEMPO_ACQUISIZIONE!B24</f>
        <v>1.6236111111138598</v>
      </c>
      <c r="L168" s="30">
        <f>STEMI_TEMPO_ACQUISIZIONE!C24</f>
        <v>1.8333333333357587</v>
      </c>
      <c r="M168" s="30">
        <f>STEMI_TEMPO_ACQUISIZIONE!D24</f>
        <v>2.4937500000014552</v>
      </c>
      <c r="N168" s="30">
        <f>STEMI_TEMPO_ACQUISIZIONE!E24</f>
        <v>3.4034722222204437</v>
      </c>
      <c r="O168" s="30">
        <f>STEMI_TEMPO_ACQUISIZIONE!F24</f>
        <v>4.3812499999985448</v>
      </c>
      <c r="P168" s="30">
        <f>STEMI_TEMPO_ACQUISIZIONE!G24</f>
        <v>5.4340277777810115</v>
      </c>
      <c r="Q168" s="30">
        <f>STEMI_TEMPO_ACQUISIZIONE!H24</f>
        <v>5.7937499999970896</v>
      </c>
      <c r="R168" s="30">
        <f>STEMI_TEMPO_ACQUISIZIONE!I24</f>
        <v>6.4666666666671517</v>
      </c>
      <c r="S168" s="30">
        <f>STEMI_TEMPO_ACQUISIZIONE!J24</f>
        <v>7.46875</v>
      </c>
      <c r="T168" s="30">
        <f>STEMI_TEMPO_ACQUISIZIONE!K24</f>
        <v>8.4479166666642413</v>
      </c>
    </row>
    <row r="169" spans="1:20">
      <c r="J169" s="31" t="s">
        <v>332</v>
      </c>
      <c r="K169" s="31">
        <f>STEMI_TEMPO_ACQUISIZIONE!R24</f>
        <v>5.74</v>
      </c>
      <c r="L169" s="31">
        <f>STEMI_TEMPO_ACQUISIZIONE!S24</f>
        <v>8.74</v>
      </c>
      <c r="M169" s="31">
        <f>STEMI_TEMPO_ACQUISIZIONE!T24</f>
        <v>3.3</v>
      </c>
      <c r="N169" s="31">
        <f>STEMI_TEMPO_ACQUISIZIONE!U24</f>
        <v>3.26</v>
      </c>
      <c r="O169" s="31">
        <f>STEMI_TEMPO_ACQUISIZIONE!V24</f>
        <v>3.36</v>
      </c>
      <c r="P169" s="31">
        <f>STEMI_TEMPO_ACQUISIZIONE!W24</f>
        <v>3.01</v>
      </c>
      <c r="Q169" s="31">
        <f>STEMI_TEMPO_ACQUISIZIONE!X24</f>
        <v>2.57</v>
      </c>
      <c r="R169" s="31">
        <f>STEMI_TEMPO_ACQUISIZIONE!Y24</f>
        <v>1.29</v>
      </c>
      <c r="S169" s="31">
        <f>STEMI_TEMPO_ACQUISIZIONE!Z24</f>
        <v>0.57899999999999996</v>
      </c>
      <c r="T169" s="31">
        <f>STEMI_TEMPO_ACQUISIZIONE!AA24</f>
        <v>0.30499999999999999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Y42"/>
  <sheetViews>
    <sheetView topLeftCell="A2" zoomScale="140" zoomScaleNormal="140" zoomScalePageLayoutView="140" workbookViewId="0">
      <selection activeCell="B25" sqref="B25"/>
    </sheetView>
  </sheetViews>
  <sheetFormatPr defaultColWidth="8.85546875" defaultRowHeight="15"/>
  <cols>
    <col min="2" max="2" width="20.28515625" bestFit="1" customWidth="1"/>
    <col min="3" max="3" width="24.28515625" customWidth="1"/>
    <col min="4" max="4" width="13.140625" customWidth="1"/>
    <col min="5" max="5" width="18.7109375" customWidth="1"/>
    <col min="6" max="6" width="18.140625" customWidth="1"/>
    <col min="14" max="14" width="22.42578125" bestFit="1" customWidth="1"/>
  </cols>
  <sheetData>
    <row r="3" spans="1:25">
      <c r="B3" s="8" t="s">
        <v>0</v>
      </c>
      <c r="C3" s="8" t="s">
        <v>1</v>
      </c>
      <c r="D3" s="8" t="s">
        <v>49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B4" s="8" t="s">
        <v>3</v>
      </c>
      <c r="C4" s="8" t="s">
        <v>4</v>
      </c>
      <c r="D4" s="8"/>
      <c r="E4" s="8" t="s">
        <v>28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  <c r="T4" s="8" t="s">
        <v>20</v>
      </c>
      <c r="U4" s="8" t="s">
        <v>21</v>
      </c>
      <c r="V4" s="8" t="s">
        <v>22</v>
      </c>
      <c r="W4" s="8" t="s">
        <v>23</v>
      </c>
      <c r="X4" s="8" t="s">
        <v>24</v>
      </c>
      <c r="Y4" s="8" t="s">
        <v>25</v>
      </c>
    </row>
    <row r="5" spans="1:25">
      <c r="A5">
        <v>1</v>
      </c>
      <c r="B5" t="s">
        <v>35</v>
      </c>
      <c r="C5" s="9" t="s">
        <v>38</v>
      </c>
      <c r="D5">
        <v>1</v>
      </c>
      <c r="E5" t="s">
        <v>39</v>
      </c>
      <c r="F5" t="s">
        <v>51</v>
      </c>
      <c r="G5" t="s">
        <v>52</v>
      </c>
      <c r="H5" t="s">
        <v>53</v>
      </c>
      <c r="I5">
        <v>600</v>
      </c>
      <c r="J5" t="s">
        <v>54</v>
      </c>
      <c r="K5">
        <v>600</v>
      </c>
      <c r="L5" t="s">
        <v>55</v>
      </c>
      <c r="M5">
        <v>514</v>
      </c>
      <c r="N5" t="s">
        <v>56</v>
      </c>
      <c r="O5">
        <v>198</v>
      </c>
      <c r="P5" t="s">
        <v>57</v>
      </c>
      <c r="Q5">
        <v>24.91</v>
      </c>
      <c r="R5" t="s">
        <v>58</v>
      </c>
      <c r="S5">
        <v>7.57</v>
      </c>
      <c r="T5" t="s">
        <v>59</v>
      </c>
      <c r="U5">
        <v>4.76</v>
      </c>
      <c r="V5" t="s">
        <v>60</v>
      </c>
      <c r="W5">
        <v>3.92</v>
      </c>
      <c r="X5" t="s">
        <v>61</v>
      </c>
      <c r="Y5">
        <v>3.47</v>
      </c>
    </row>
    <row r="6" spans="1:25">
      <c r="A6">
        <v>2</v>
      </c>
      <c r="B6" t="s">
        <v>36</v>
      </c>
      <c r="C6" s="9" t="s">
        <v>40</v>
      </c>
      <c r="D6">
        <v>1</v>
      </c>
      <c r="E6" t="s">
        <v>41</v>
      </c>
      <c r="F6" t="s">
        <v>62</v>
      </c>
      <c r="G6">
        <v>277.7</v>
      </c>
      <c r="H6" t="s">
        <v>63</v>
      </c>
      <c r="I6">
        <v>216.5</v>
      </c>
      <c r="J6" t="s">
        <v>64</v>
      </c>
      <c r="K6">
        <v>142.5</v>
      </c>
      <c r="L6" t="s">
        <v>65</v>
      </c>
      <c r="M6">
        <v>14.12</v>
      </c>
      <c r="N6" t="s">
        <v>66</v>
      </c>
      <c r="O6">
        <v>5.9</v>
      </c>
      <c r="P6" t="s">
        <v>67</v>
      </c>
      <c r="Q6">
        <v>3.86</v>
      </c>
      <c r="R6" t="s">
        <v>68</v>
      </c>
      <c r="S6">
        <v>2.36</v>
      </c>
      <c r="T6" t="s">
        <v>69</v>
      </c>
      <c r="U6">
        <v>1.8</v>
      </c>
      <c r="V6" t="s">
        <v>70</v>
      </c>
      <c r="W6">
        <v>1.38</v>
      </c>
    </row>
    <row r="7" spans="1:25">
      <c r="A7">
        <v>3</v>
      </c>
      <c r="B7" t="s">
        <v>37</v>
      </c>
      <c r="C7" s="9" t="s">
        <v>47</v>
      </c>
      <c r="D7">
        <v>1</v>
      </c>
      <c r="E7" t="s">
        <v>39</v>
      </c>
      <c r="F7" t="s">
        <v>72</v>
      </c>
      <c r="G7">
        <v>10.53</v>
      </c>
      <c r="H7" t="s">
        <v>73</v>
      </c>
      <c r="I7">
        <v>21.2</v>
      </c>
      <c r="J7" t="s">
        <v>74</v>
      </c>
      <c r="K7">
        <v>8.4499999999999993</v>
      </c>
      <c r="L7" t="s">
        <v>75</v>
      </c>
      <c r="M7">
        <v>2.34</v>
      </c>
      <c r="N7" t="s">
        <v>76</v>
      </c>
      <c r="O7">
        <v>1.61</v>
      </c>
      <c r="P7" t="s">
        <v>77</v>
      </c>
      <c r="Q7">
        <v>1.4</v>
      </c>
      <c r="R7" t="s">
        <v>71</v>
      </c>
      <c r="S7">
        <v>1.59</v>
      </c>
    </row>
    <row r="8" spans="1:25">
      <c r="A8">
        <v>4</v>
      </c>
      <c r="B8" t="s">
        <v>243</v>
      </c>
      <c r="C8" s="9" t="s">
        <v>244</v>
      </c>
      <c r="D8">
        <v>1</v>
      </c>
      <c r="E8" t="s">
        <v>39</v>
      </c>
    </row>
    <row r="9" spans="1:25">
      <c r="A9">
        <v>5</v>
      </c>
      <c r="B9" t="s">
        <v>246</v>
      </c>
      <c r="C9" s="9" t="s">
        <v>245</v>
      </c>
      <c r="D9">
        <v>1</v>
      </c>
      <c r="E9" t="s">
        <v>39</v>
      </c>
    </row>
    <row r="10" spans="1:25">
      <c r="A10">
        <v>6</v>
      </c>
      <c r="B10" t="s">
        <v>247</v>
      </c>
      <c r="C10" s="9" t="s">
        <v>248</v>
      </c>
      <c r="D10">
        <v>1</v>
      </c>
      <c r="E10" t="s">
        <v>44</v>
      </c>
    </row>
    <row r="11" spans="1:25">
      <c r="C11" s="9"/>
      <c r="D11" s="9"/>
    </row>
    <row r="12" spans="1:25">
      <c r="C12" s="9"/>
      <c r="D12" s="9"/>
    </row>
    <row r="13" spans="1:25">
      <c r="C13" s="9"/>
      <c r="D13" s="9"/>
    </row>
    <row r="14" spans="1:25">
      <c r="C14" s="9"/>
      <c r="D14" s="9"/>
    </row>
    <row r="15" spans="1:25">
      <c r="C15" s="9"/>
      <c r="D15" s="9"/>
    </row>
    <row r="16" spans="1:25">
      <c r="J16" s="9"/>
    </row>
    <row r="17" spans="1:13">
      <c r="C17" s="9"/>
      <c r="D17" s="9"/>
    </row>
    <row r="18" spans="1:13">
      <c r="C18" s="9"/>
      <c r="D18" s="9"/>
      <c r="M18" s="10"/>
    </row>
    <row r="19" spans="1:13">
      <c r="C19" s="9"/>
      <c r="D19" s="9"/>
    </row>
    <row r="20" spans="1:13">
      <c r="C20" s="9"/>
      <c r="D20" s="9"/>
    </row>
    <row r="22" spans="1:13">
      <c r="C22" s="9"/>
      <c r="D22" s="9"/>
    </row>
    <row r="26" spans="1:13">
      <c r="C26" s="9"/>
      <c r="D26" s="9"/>
    </row>
    <row r="27" spans="1:13">
      <c r="G27" s="10"/>
    </row>
    <row r="28" spans="1:13">
      <c r="C28" s="9"/>
      <c r="D28" s="9"/>
    </row>
    <row r="31" spans="1:13">
      <c r="A31" t="s">
        <v>29</v>
      </c>
    </row>
    <row r="32" spans="1:13">
      <c r="A32" t="s">
        <v>29</v>
      </c>
    </row>
    <row r="33" spans="1:1">
      <c r="A33" t="s">
        <v>29</v>
      </c>
    </row>
    <row r="34" spans="1:1">
      <c r="A34" t="s">
        <v>29</v>
      </c>
    </row>
    <row r="35" spans="1:1">
      <c r="A35" t="s">
        <v>29</v>
      </c>
    </row>
    <row r="36" spans="1:1">
      <c r="A36" t="s">
        <v>29</v>
      </c>
    </row>
    <row r="37" spans="1:1">
      <c r="A37" t="s">
        <v>29</v>
      </c>
    </row>
    <row r="38" spans="1:1">
      <c r="A38" t="s">
        <v>30</v>
      </c>
    </row>
    <row r="39" spans="1:1">
      <c r="A39" t="s">
        <v>29</v>
      </c>
    </row>
    <row r="40" spans="1:1">
      <c r="A40" t="s">
        <v>29</v>
      </c>
    </row>
    <row r="41" spans="1:1">
      <c r="A41" t="s">
        <v>29</v>
      </c>
    </row>
    <row r="42" spans="1:1">
      <c r="A4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STEMI</vt:lpstr>
      <vt:lpstr>CK-MB</vt:lpstr>
      <vt:lpstr>STEMI_ORGANIZZATI</vt:lpstr>
      <vt:lpstr>STEMI_TEMPO_ACQUISIZIONE</vt:lpstr>
      <vt:lpstr>STEMI_ANALIZZATI</vt:lpstr>
      <vt:lpstr>STEMI TROBOLISATO</vt:lpstr>
    </vt:vector>
  </TitlesOfParts>
  <Manager/>
  <Company>BlackMod Group 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COMPUTER</dc:creator>
  <cp:keywords/>
  <dc:description/>
  <cp:lastModifiedBy>Nicola Cortese</cp:lastModifiedBy>
  <cp:revision/>
  <dcterms:created xsi:type="dcterms:W3CDTF">2015-12-09T18:10:59Z</dcterms:created>
  <dcterms:modified xsi:type="dcterms:W3CDTF">2025-02-28T16:02:43Z</dcterms:modified>
  <cp:category/>
  <cp:contentStatus/>
</cp:coreProperties>
</file>