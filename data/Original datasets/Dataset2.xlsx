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C:\Users\nicol\PHD_Projects\MechanisticAI\MechanisticsAI_julia\data\Original datasets\"/>
    </mc:Choice>
  </mc:AlternateContent>
  <xr:revisionPtr revIDLastSave="0" documentId="13_ncr:1_{2C6C6B07-FC4E-4A06-9A6B-7E98639D455C}" xr6:coauthVersionLast="47" xr6:coauthVersionMax="47" xr10:uidLastSave="{00000000-0000-0000-0000-000000000000}"/>
  <bookViews>
    <workbookView xWindow="28830" yWindow="3255" windowWidth="18210" windowHeight="12585" activeTab="4" xr2:uid="{00000000-000D-0000-FFFF-FFFF00000000}"/>
  </bookViews>
  <sheets>
    <sheet name="STEMI" sheetId="1" r:id="rId1"/>
    <sheet name="NSTEMI" sheetId="2" r:id="rId2"/>
    <sheet name="STEMI_MODIF." sheetId="6" r:id="rId3"/>
    <sheet name="cTnTvsCK-MB" sheetId="8" r:id="rId4"/>
    <sheet name="NSTEMI_MODIF.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8" i="8" l="1"/>
  <c r="C1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31" i="8"/>
  <c r="L55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31" i="8"/>
  <c r="K55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31" i="8"/>
  <c r="B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3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3" i="8"/>
  <c r="C4" i="8"/>
  <c r="C5" i="8"/>
  <c r="C6" i="8"/>
  <c r="C7" i="8"/>
  <c r="C9" i="8"/>
  <c r="C10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3" i="8"/>
  <c r="B27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U11" i="6"/>
  <c r="M28" i="6"/>
  <c r="I28" i="6"/>
  <c r="AZ20" i="7"/>
  <c r="AZ14" i="7"/>
  <c r="AV26" i="7"/>
  <c r="AV20" i="7"/>
  <c r="AV14" i="7"/>
  <c r="AR26" i="7"/>
  <c r="AR24" i="7"/>
  <c r="AR20" i="7"/>
  <c r="AR16" i="7"/>
  <c r="AR15" i="7"/>
  <c r="AR14" i="7"/>
  <c r="AN26" i="7"/>
  <c r="AN24" i="7"/>
  <c r="AN20" i="7"/>
  <c r="AN16" i="7"/>
  <c r="AN15" i="7"/>
  <c r="AN14" i="7"/>
  <c r="AN9" i="7"/>
  <c r="AJ28" i="7"/>
  <c r="AJ26" i="7"/>
  <c r="AJ24" i="7"/>
  <c r="AJ22" i="7"/>
  <c r="AJ20" i="7"/>
  <c r="AJ19" i="7"/>
  <c r="AJ18" i="7"/>
  <c r="AJ17" i="7"/>
  <c r="AJ16" i="7"/>
  <c r="AJ15" i="7"/>
  <c r="AJ14" i="7"/>
  <c r="AJ10" i="7"/>
  <c r="AJ9" i="7"/>
  <c r="AF28" i="7"/>
  <c r="AF27" i="7"/>
  <c r="AF26" i="7"/>
  <c r="AF24" i="7"/>
  <c r="AF23" i="7"/>
  <c r="AF22" i="7"/>
  <c r="AF21" i="7"/>
  <c r="AF20" i="7"/>
  <c r="AF19" i="7"/>
  <c r="AF18" i="7"/>
  <c r="AF17" i="7"/>
  <c r="AF16" i="7"/>
  <c r="AF15" i="7"/>
  <c r="AF14" i="7"/>
  <c r="AF10" i="7"/>
  <c r="AF9" i="7"/>
  <c r="AB29" i="7"/>
  <c r="AB28" i="7"/>
  <c r="AB27" i="7"/>
  <c r="AB26" i="7"/>
  <c r="AB25" i="7"/>
  <c r="AB24" i="7"/>
  <c r="AB23" i="7"/>
  <c r="AB22" i="7"/>
  <c r="AB21" i="7"/>
  <c r="AB20" i="7"/>
  <c r="AB19" i="7"/>
  <c r="AB18" i="7"/>
  <c r="AB17" i="7"/>
  <c r="AB16" i="7"/>
  <c r="AB15" i="7"/>
  <c r="AB14" i="7"/>
  <c r="AB12" i="7"/>
  <c r="AB11" i="7"/>
  <c r="AB10" i="7"/>
  <c r="AB9" i="7"/>
  <c r="AB8" i="7"/>
  <c r="AB5" i="7"/>
  <c r="X29" i="7"/>
  <c r="X28" i="7"/>
  <c r="X27" i="7"/>
  <c r="X26" i="7"/>
  <c r="X25" i="7"/>
  <c r="X24" i="7"/>
  <c r="X23" i="7"/>
  <c r="X22" i="7"/>
  <c r="X21" i="7"/>
  <c r="X20" i="7"/>
  <c r="X19" i="7"/>
  <c r="X18" i="7"/>
  <c r="X17" i="7"/>
  <c r="X16" i="7"/>
  <c r="X15" i="7"/>
  <c r="X14" i="7"/>
  <c r="X13" i="7"/>
  <c r="X12" i="7"/>
  <c r="X11" i="7"/>
  <c r="X10" i="7"/>
  <c r="X9" i="7"/>
  <c r="X8" i="7"/>
  <c r="X7" i="7"/>
  <c r="X5" i="7"/>
  <c r="T29" i="7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5" i="7"/>
  <c r="T14" i="7"/>
  <c r="T13" i="7"/>
  <c r="T12" i="7"/>
  <c r="T11" i="7"/>
  <c r="T10" i="7"/>
  <c r="T9" i="7"/>
  <c r="T8" i="7"/>
  <c r="T7" i="7"/>
  <c r="T6" i="7"/>
  <c r="T5" i="7"/>
  <c r="P11" i="7"/>
  <c r="L11" i="7"/>
  <c r="P29" i="7"/>
  <c r="P28" i="7"/>
  <c r="P27" i="7"/>
  <c r="P26" i="7"/>
  <c r="P25" i="7"/>
  <c r="P24" i="7"/>
  <c r="P23" i="7"/>
  <c r="P22" i="7"/>
  <c r="P21" i="7"/>
  <c r="P20" i="7"/>
  <c r="P19" i="7"/>
  <c r="P18" i="7"/>
  <c r="P17" i="7"/>
  <c r="P16" i="7"/>
  <c r="P15" i="7"/>
  <c r="P14" i="7"/>
  <c r="P13" i="7"/>
  <c r="P12" i="7"/>
  <c r="P10" i="7"/>
  <c r="P9" i="7"/>
  <c r="P8" i="7"/>
  <c r="P7" i="7"/>
  <c r="P6" i="7"/>
  <c r="P5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0" i="7"/>
  <c r="L9" i="7"/>
  <c r="L8" i="7"/>
  <c r="L7" i="7"/>
  <c r="L6" i="7"/>
  <c r="L5" i="7"/>
  <c r="H11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0" i="7"/>
  <c r="H9" i="7"/>
  <c r="H8" i="7"/>
  <c r="H7" i="7"/>
  <c r="H6" i="7"/>
  <c r="H5" i="7"/>
  <c r="I13" i="6"/>
  <c r="BI13" i="6"/>
  <c r="BI6" i="6"/>
  <c r="BE13" i="6"/>
  <c r="BE6" i="6"/>
  <c r="BA23" i="6"/>
  <c r="BA13" i="6"/>
  <c r="BA12" i="6"/>
  <c r="BA6" i="6"/>
  <c r="BA5" i="6"/>
  <c r="AW23" i="6"/>
  <c r="AW13" i="6"/>
  <c r="AW12" i="6"/>
  <c r="AW10" i="6"/>
  <c r="AW6" i="6"/>
  <c r="AW5" i="6"/>
  <c r="AS28" i="6"/>
  <c r="AS23" i="6"/>
  <c r="AS16" i="6"/>
  <c r="AS15" i="6"/>
  <c r="AS14" i="6"/>
  <c r="AS13" i="6"/>
  <c r="AS12" i="6"/>
  <c r="AS10" i="6"/>
  <c r="AS7" i="6"/>
  <c r="AS6" i="6"/>
  <c r="AS5" i="6"/>
  <c r="AO29" i="6"/>
  <c r="AO28" i="6"/>
  <c r="AO25" i="6"/>
  <c r="AO23" i="6"/>
  <c r="AO22" i="6"/>
  <c r="AO16" i="6"/>
  <c r="AO15" i="6"/>
  <c r="AO14" i="6"/>
  <c r="AO13" i="6"/>
  <c r="AO12" i="6"/>
  <c r="AO10" i="6"/>
  <c r="AO9" i="6"/>
  <c r="AO8" i="6"/>
  <c r="AO7" i="6"/>
  <c r="AO6" i="6"/>
  <c r="AO5" i="6"/>
  <c r="AK29" i="6"/>
  <c r="AK28" i="6"/>
  <c r="AK27" i="6"/>
  <c r="AK25" i="6"/>
  <c r="AK23" i="6"/>
  <c r="AK22" i="6"/>
  <c r="AK20" i="6"/>
  <c r="AK19" i="6"/>
  <c r="AK17" i="6"/>
  <c r="AK16" i="6"/>
  <c r="AK15" i="6"/>
  <c r="AK14" i="6"/>
  <c r="AK13" i="6"/>
  <c r="AK12" i="6"/>
  <c r="AK10" i="6"/>
  <c r="AK9" i="6"/>
  <c r="AK8" i="6"/>
  <c r="AK7" i="6"/>
  <c r="AK6" i="6"/>
  <c r="AK5" i="6"/>
  <c r="AG29" i="6"/>
  <c r="AG28" i="6"/>
  <c r="AG27" i="6"/>
  <c r="AG26" i="6"/>
  <c r="AG25" i="6"/>
  <c r="AG23" i="6"/>
  <c r="AG22" i="6"/>
  <c r="AG20" i="6"/>
  <c r="AG19" i="6"/>
  <c r="AG18" i="6"/>
  <c r="AG17" i="6"/>
  <c r="AG16" i="6"/>
  <c r="AG15" i="6"/>
  <c r="AG14" i="6"/>
  <c r="AG13" i="6"/>
  <c r="AG12" i="6"/>
  <c r="AG10" i="6"/>
  <c r="AG9" i="6"/>
  <c r="AG8" i="6"/>
  <c r="AG7" i="6"/>
  <c r="AG6" i="6"/>
  <c r="AG5" i="6"/>
  <c r="AC29" i="6"/>
  <c r="AC28" i="6"/>
  <c r="AC27" i="6"/>
  <c r="AC26" i="6"/>
  <c r="AC25" i="6"/>
  <c r="AC24" i="6"/>
  <c r="AC23" i="6"/>
  <c r="AC22" i="6"/>
  <c r="AC20" i="6"/>
  <c r="AC19" i="6"/>
  <c r="AC18" i="6"/>
  <c r="AC17" i="6"/>
  <c r="AC16" i="6"/>
  <c r="AC15" i="6"/>
  <c r="AC14" i="6"/>
  <c r="AC13" i="6"/>
  <c r="AC12" i="6"/>
  <c r="AC11" i="6"/>
  <c r="AC10" i="6"/>
  <c r="AC9" i="6"/>
  <c r="AC8" i="6"/>
  <c r="AC7" i="6"/>
  <c r="AC6" i="6"/>
  <c r="AC5" i="6"/>
  <c r="Y29" i="6"/>
  <c r="Y28" i="6"/>
  <c r="Y27" i="6"/>
  <c r="Y26" i="6"/>
  <c r="Y25" i="6"/>
  <c r="Y24" i="6"/>
  <c r="Y23" i="6"/>
  <c r="Y22" i="6"/>
  <c r="Y21" i="6"/>
  <c r="Y20" i="6"/>
  <c r="Y19" i="6"/>
  <c r="Y18" i="6"/>
  <c r="Y17" i="6"/>
  <c r="Y16" i="6"/>
  <c r="Y15" i="6"/>
  <c r="Y14" i="6"/>
  <c r="Y13" i="6"/>
  <c r="Y12" i="6"/>
  <c r="Y11" i="6"/>
  <c r="Y10" i="6"/>
  <c r="Y9" i="6"/>
  <c r="Y8" i="6"/>
  <c r="Y6" i="6"/>
  <c r="Y7" i="6"/>
  <c r="Y5" i="6"/>
  <c r="U12" i="6"/>
  <c r="U29" i="6"/>
  <c r="U28" i="6"/>
  <c r="U27" i="6"/>
  <c r="U26" i="6"/>
  <c r="U25" i="6"/>
  <c r="U24" i="6"/>
  <c r="U23" i="6"/>
  <c r="U22" i="6"/>
  <c r="U21" i="6"/>
  <c r="U20" i="6"/>
  <c r="U19" i="6"/>
  <c r="U18" i="6"/>
  <c r="U17" i="6"/>
  <c r="U16" i="6"/>
  <c r="U15" i="6"/>
  <c r="U14" i="6"/>
  <c r="U13" i="6"/>
  <c r="U10" i="6"/>
  <c r="U9" i="6"/>
  <c r="U8" i="6"/>
  <c r="U7" i="6"/>
  <c r="U6" i="6"/>
  <c r="U5" i="6"/>
  <c r="Q19" i="6"/>
  <c r="Q29" i="6"/>
  <c r="Q28" i="6"/>
  <c r="Q27" i="6"/>
  <c r="Q26" i="6"/>
  <c r="Q25" i="6"/>
  <c r="Q24" i="6"/>
  <c r="Q23" i="6"/>
  <c r="Q22" i="6"/>
  <c r="Q21" i="6"/>
  <c r="Q20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Q5" i="6"/>
  <c r="M23" i="6"/>
  <c r="M29" i="6"/>
  <c r="M27" i="6"/>
  <c r="M26" i="6"/>
  <c r="M25" i="6"/>
  <c r="M24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I29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2" i="6"/>
  <c r="I11" i="6"/>
  <c r="I10" i="6"/>
  <c r="I9" i="6"/>
  <c r="I8" i="6"/>
  <c r="I7" i="6"/>
  <c r="I6" i="6"/>
  <c r="I5" i="6"/>
</calcChain>
</file>

<file path=xl/sharedStrings.xml><?xml version="1.0" encoding="utf-8"?>
<sst xmlns="http://schemas.openxmlformats.org/spreadsheetml/2006/main" count="826" uniqueCount="602">
  <si>
    <t>PAT ID</t>
  </si>
  <si>
    <t xml:space="preserve">                            DATI PROCEDURA E RICOVERO</t>
  </si>
  <si>
    <t xml:space="preserve">               TROMBOLISI</t>
  </si>
  <si>
    <t>ANTIAGGREGANTE</t>
  </si>
  <si>
    <t>Cognome-nome</t>
  </si>
  <si>
    <t xml:space="preserve">Data evento </t>
  </si>
  <si>
    <t>(1 Plavix; 2 Altro)</t>
  </si>
  <si>
    <t>GENSINI</t>
  </si>
  <si>
    <t>IRC (1 Si; 2 No)</t>
  </si>
  <si>
    <t>TnThs MIRE 1</t>
  </si>
  <si>
    <t>CK-MB 1</t>
  </si>
  <si>
    <t>TnThs MIRE 2</t>
  </si>
  <si>
    <t>CK-MB 2</t>
  </si>
  <si>
    <t>TnThs MIRE 3</t>
  </si>
  <si>
    <t>CK-MB 3</t>
  </si>
  <si>
    <t>TnThs MIRE 4</t>
  </si>
  <si>
    <t>CK-MB 4</t>
  </si>
  <si>
    <t>TnThs MIRE 5</t>
  </si>
  <si>
    <t>CK-MB 5</t>
  </si>
  <si>
    <t>TnThs MIRE 6</t>
  </si>
  <si>
    <t>CK-MB 6</t>
  </si>
  <si>
    <t>TnThs MIRE 7</t>
  </si>
  <si>
    <t>CK-MB 7</t>
  </si>
  <si>
    <t>TnThs MIRE 8</t>
  </si>
  <si>
    <t>CK-MB 8</t>
  </si>
  <si>
    <t>TnThs MIRE 9</t>
  </si>
  <si>
    <t>CK-MB 9</t>
  </si>
  <si>
    <t>TnThs MIRE 10</t>
  </si>
  <si>
    <t>CK-MB 10</t>
  </si>
  <si>
    <t>TnThs MIRE 11</t>
  </si>
  <si>
    <t>CK-MB 11</t>
  </si>
  <si>
    <t>ANTIAGGREGANTE                (1 Plavix; 2 Altro)</t>
  </si>
  <si>
    <t>Insufficienza renale (1 Si; 2 No)</t>
  </si>
  <si>
    <t>Megna Emilio</t>
  </si>
  <si>
    <t>05/03/2013_13:00</t>
  </si>
  <si>
    <t>0,514_05/03/2013 ore17:20</t>
  </si>
  <si>
    <t>0,618_05/03/2013 ore 22:56</t>
  </si>
  <si>
    <t>0,542_06/03/2013 ore 08:39</t>
  </si>
  <si>
    <t>0,422_07/03/2013 ore 08:36</t>
  </si>
  <si>
    <t>0,579_06/03/2013 ore 18:17</t>
  </si>
  <si>
    <t>0,366_08/03/2013 ore 08:56</t>
  </si>
  <si>
    <t>Cavallaro Erminia</t>
  </si>
  <si>
    <t>04/03/2013_14:00</t>
  </si>
  <si>
    <t>0,0782_06/03/2013 ore 23:05</t>
  </si>
  <si>
    <t>0,078_07/03/2013 ore 08:53</t>
  </si>
  <si>
    <t>0,059_06/03/2013 ore 13:34</t>
  </si>
  <si>
    <t>0,072_08/03/2013 ore 10:11</t>
  </si>
  <si>
    <t>Mileto Mariangela</t>
  </si>
  <si>
    <t>0,194_08/03/2013 ore 12:19</t>
  </si>
  <si>
    <t>0,789_08/03/2013 ore 22:49</t>
  </si>
  <si>
    <t>0,531_09/03/2013 ore 10:34</t>
  </si>
  <si>
    <t>0,818_10/03/2013 ore 10:22</t>
  </si>
  <si>
    <t>0,761_11/03/2013 ore 09:49</t>
  </si>
  <si>
    <t xml:space="preserve"> (0 no, 1 efficace,2 inefficace)</t>
  </si>
  <si>
    <t>0,205_03/04/2013 ore 16:24</t>
  </si>
  <si>
    <t>0,196_04/04/2013 ore 22:59</t>
  </si>
  <si>
    <t>0,278_05/04/2013 ore 09:14</t>
  </si>
  <si>
    <t>0,127_04/04/2013 ore 09:45</t>
  </si>
  <si>
    <t>0,184_06/04/2013 ore 09:34</t>
  </si>
  <si>
    <t>0,182_07/04/2013 ore 10:45</t>
  </si>
  <si>
    <t>Lagana' Natale</t>
  </si>
  <si>
    <t>17/04/2013_12:00</t>
  </si>
  <si>
    <t>0,335_17/04/2013 ore 22:59</t>
  </si>
  <si>
    <t>0,296_18/04/2013 ore 10:43</t>
  </si>
  <si>
    <t>0,236_18/04/2013 ore 23:45</t>
  </si>
  <si>
    <t>0,237_19/04/2013 ore 09:07</t>
  </si>
  <si>
    <t>0,411_20/04/2013 ore 10:10</t>
  </si>
  <si>
    <t>0,255_20/04/2013 ore 15:46</t>
  </si>
  <si>
    <t>0,298_21/04/2013 ore 10:05</t>
  </si>
  <si>
    <t>0,351_21/04/2013 ore 16:30</t>
  </si>
  <si>
    <t>0,341_22/04/2013 ore 10:56</t>
  </si>
  <si>
    <t>Fasano Giuseppe</t>
  </si>
  <si>
    <t>0,160_25/04/2013 ore 18:18</t>
  </si>
  <si>
    <t>0,320_26/04/2013 ore 10:23</t>
  </si>
  <si>
    <t>0,249_26/04/2013 ore 17:03</t>
  </si>
  <si>
    <t>0,271_27/04/2013 ore 08:55</t>
  </si>
  <si>
    <t>0,290_28/04/2013 ore 09:44</t>
  </si>
  <si>
    <t>0,296_29/04/2013 ore 08:30</t>
  </si>
  <si>
    <t>0,235_30/04/2013 ore 08:35</t>
  </si>
  <si>
    <t>0,169_01/05/2013 ore 10:21</t>
  </si>
  <si>
    <t>Falduto Paolino</t>
  </si>
  <si>
    <t>0,118_19/04/2013 ore 11:50</t>
  </si>
  <si>
    <t>0,158_20/04/2013 ore 09:51</t>
  </si>
  <si>
    <t>0,147_20/04/2013 ore 00:36</t>
  </si>
  <si>
    <t>0,149_21/04/2013 ore 10:05</t>
  </si>
  <si>
    <t>0,135_21/04/2013 ore 16:30</t>
  </si>
  <si>
    <t>0,144_22/04/2013 ore 11:05</t>
  </si>
  <si>
    <t>De Giovanni Armenia</t>
  </si>
  <si>
    <t>0,621_21/03/2013 ore 14:53</t>
  </si>
  <si>
    <t>0,317_22/04/2013 ore 10:59</t>
  </si>
  <si>
    <t>0,308_22/04/2013 ore 22:16</t>
  </si>
  <si>
    <t>0,379_23/04/2013 ore 10:45</t>
  </si>
  <si>
    <t>0,263_24/04/2013 ore 10:24</t>
  </si>
  <si>
    <t>0,288_25/04/2013 ore 09:31</t>
  </si>
  <si>
    <t>Cannizzaro Domenico</t>
  </si>
  <si>
    <t>0,466_03/04/2013 ore 15:48</t>
  </si>
  <si>
    <t>0,539_03/04/2013 ore 22:21</t>
  </si>
  <si>
    <t>0,417_04/04/2013 ore 09:45</t>
  </si>
  <si>
    <t>0,375_05/04/2013 ore 08:36</t>
  </si>
  <si>
    <t>0,472_06/04/2013 ore 10:03</t>
  </si>
  <si>
    <t>Romano Pasquale</t>
  </si>
  <si>
    <t>Schiavello Francesco</t>
  </si>
  <si>
    <t>Boninsegna Salvatore</t>
  </si>
  <si>
    <t>Baldo Caterina</t>
  </si>
  <si>
    <t>Tallarida Vincenzo</t>
  </si>
  <si>
    <t>Trimboli Paolo</t>
  </si>
  <si>
    <t>Todarello Michele</t>
  </si>
  <si>
    <t>Carlizzi Stefano</t>
  </si>
  <si>
    <t>Muraca Saverio</t>
  </si>
  <si>
    <t>Malena Giuseppina</t>
  </si>
  <si>
    <t>Di Giacco Teresa</t>
  </si>
  <si>
    <t>Misale Giuseppe</t>
  </si>
  <si>
    <t>Scozzafava Antonio</t>
  </si>
  <si>
    <t>Gallo Francesco</t>
  </si>
  <si>
    <t>Paluccio Mario Cosimo</t>
  </si>
  <si>
    <t>Valenzisi Antonio</t>
  </si>
  <si>
    <t>Galloro Alberto</t>
  </si>
  <si>
    <t>Dattolo Salvatore</t>
  </si>
  <si>
    <t>Arsena Giovanni</t>
  </si>
  <si>
    <t>Gambino Pietro</t>
  </si>
  <si>
    <t>Zangari Michele</t>
  </si>
  <si>
    <t>Basadonna Maurizio</t>
  </si>
  <si>
    <t>Nadile Giuseppe</t>
  </si>
  <si>
    <t>Riccio Bruno</t>
  </si>
  <si>
    <t>Albanese Domenico</t>
  </si>
  <si>
    <t>Calabretta Gregorio</t>
  </si>
  <si>
    <t>27/11/2013_03:00</t>
  </si>
  <si>
    <t>0,310_27/11/2015 ore 07:44</t>
  </si>
  <si>
    <t>3,720_27/11/2015 ore 16:13</t>
  </si>
  <si>
    <t>&gt;300</t>
  </si>
  <si>
    <t>4,180_28/11/2015 ore 09:01</t>
  </si>
  <si>
    <t>2,130_29/11/2015 ore 09:37</t>
  </si>
  <si>
    <t>2,670_30/11/2015 ore 09:19</t>
  </si>
  <si>
    <t>3,990_01/12/2015 ore 09:14</t>
  </si>
  <si>
    <t>3,160_02/12/2015 ore 08:58</t>
  </si>
  <si>
    <t>1,710_03/12/2015 ore 10:03</t>
  </si>
  <si>
    <t>0,760_04/12/2015 ore 10:37</t>
  </si>
  <si>
    <t>0,455_05/12/2015 ore 10:28</t>
  </si>
  <si>
    <t>0,293_06/12/2015 ore 09:13</t>
  </si>
  <si>
    <t>0,182_07/12/2015 ore 11:00</t>
  </si>
  <si>
    <t>02/12/2015_02:00</t>
  </si>
  <si>
    <t>0,798_02/12/2015 ore 16:42</t>
  </si>
  <si>
    <t>1,950_03/12/2015 ore 09:15</t>
  </si>
  <si>
    <t>5,080_03/12/2015 ore 19:43</t>
  </si>
  <si>
    <t>4,740_04/12/2015 ore 10:05</t>
  </si>
  <si>
    <t>4,320_05/12/2015 ore 10:52</t>
  </si>
  <si>
    <t>3,050_06/12/2015 ore 09:50</t>
  </si>
  <si>
    <t>1,780_07/12/2015 ore 11:13</t>
  </si>
  <si>
    <t>1,710_30/11/2015 ore 17:54</t>
  </si>
  <si>
    <t>9,360_30/11/2015 ore 23:19</t>
  </si>
  <si>
    <t>8,430_01/12/2015 ore 09:50</t>
  </si>
  <si>
    <t>4,30_02/12/2005 ore 08:58</t>
  </si>
  <si>
    <t>4,740_03/12/2015 ore 09:22</t>
  </si>
  <si>
    <t>3,850_04/12/2015 ore 10:37</t>
  </si>
  <si>
    <t>23/11/2015_15:00</t>
  </si>
  <si>
    <t>1,680_23/11/2015 ore 19:26</t>
  </si>
  <si>
    <t>6,420_24/11/2015 ore 10:43</t>
  </si>
  <si>
    <t>3,690_24/11/2015 ore 15:37</t>
  </si>
  <si>
    <t>3,740_24/11/2015 ore 01:14</t>
  </si>
  <si>
    <t>3,050_25/11/2015 ore 07:08</t>
  </si>
  <si>
    <t>2,410_26/11/2015 ore 09:17</t>
  </si>
  <si>
    <t>2,140_26/11/2015 ore 18:49</t>
  </si>
  <si>
    <t>2,390_27/11/2015 ore 09:54</t>
  </si>
  <si>
    <t>1,480_28/11/2015 ore 08:32</t>
  </si>
  <si>
    <t>0,620_29/11/2015 ore 09:37</t>
  </si>
  <si>
    <t>0,319_30/11/2015 ore 10:37</t>
  </si>
  <si>
    <t>13/12/2015_15:00</t>
  </si>
  <si>
    <t>0,530_13/12/2015 ore 20:26</t>
  </si>
  <si>
    <t>0,749_14/12/2015 ore 00:10</t>
  </si>
  <si>
    <t>0,911_14/12/2015 ore 09:46</t>
  </si>
  <si>
    <t>0,673_14/12/2015 ore 19:07</t>
  </si>
  <si>
    <t>0,474_15/12/2015 ore 09:03</t>
  </si>
  <si>
    <t>0,438_16/12/2015 ore 09:46</t>
  </si>
  <si>
    <t>0,354_16/12/2015 ore 17:24</t>
  </si>
  <si>
    <t>0,371_17/12/2015 ore 09:05</t>
  </si>
  <si>
    <t>0,281_18/12/2015 ore 10:07</t>
  </si>
  <si>
    <t>0,096_09/12/2015 ore 18:08</t>
  </si>
  <si>
    <t>0,098_09/12/2015 ore 13:32</t>
  </si>
  <si>
    <t>0,106_10/12/2015 ore 11:15</t>
  </si>
  <si>
    <t>0,075_11/12/2015 ore 09:14</t>
  </si>
  <si>
    <t>0,082_11/12/2015 ore 18:11</t>
  </si>
  <si>
    <t>0,126_12/12/2015 ore 09:52</t>
  </si>
  <si>
    <t>0,137_13/12/2015 ore 10:19</t>
  </si>
  <si>
    <t>0,139_14/12/2015 ore 09:46</t>
  </si>
  <si>
    <t>09/12/2015_16:30</t>
  </si>
  <si>
    <t>0,267_09/12/2015 ore 19:08</t>
  </si>
  <si>
    <t>0,833_10/12/2015 ore 11:15</t>
  </si>
  <si>
    <t>1,820_10/12/2015 ore 16:04</t>
  </si>
  <si>
    <t>1,040_11/12/2015 ore 10:09</t>
  </si>
  <si>
    <t>1,2_12/12/2015 ore 10:23</t>
  </si>
  <si>
    <t>1,030_13/12/2015 ore 10:41</t>
  </si>
  <si>
    <t>0,593_14/12/2015 ore 11:35</t>
  </si>
  <si>
    <t>Papalia Domenica</t>
  </si>
  <si>
    <t>21/12/2015_19:00</t>
  </si>
  <si>
    <t>1,570_21/12/2015 ore 23:36</t>
  </si>
  <si>
    <t>7,810_22/12/2015 ore 06:58</t>
  </si>
  <si>
    <t>7,460_22/12/2015 ore 17:45</t>
  </si>
  <si>
    <t>6,580_23/12/2015 ore 09:28</t>
  </si>
  <si>
    <t>5,930_24/12/2015 ore 08:30</t>
  </si>
  <si>
    <t>1,720_26/12/2015 ore 10:32</t>
  </si>
  <si>
    <t>4,980_25/12/2015 ore 10:19</t>
  </si>
  <si>
    <t>0,430_27/12/2015 ore 10:44</t>
  </si>
  <si>
    <t>0,144_28/12/2015 ore 08:24</t>
  </si>
  <si>
    <t>2,180_28/12/2015 ore 18:55</t>
  </si>
  <si>
    <t>2,140_28/12/2015 ore 23:52</t>
  </si>
  <si>
    <t>2,160_29/12/2015 ore 09:36</t>
  </si>
  <si>
    <t>0,896_30/12/2015 ore 09:18</t>
  </si>
  <si>
    <t>0,973_31/12/2015 ore 09:44</t>
  </si>
  <si>
    <t>Sia Pasquale</t>
  </si>
  <si>
    <t>24/12/2015_03:00</t>
  </si>
  <si>
    <t>0,046_24/12/2015 ore 07:04</t>
  </si>
  <si>
    <t>0,045_24/12/2015 ore 08:28</t>
  </si>
  <si>
    <t>0,180_25/12/2015 ore 10:19</t>
  </si>
  <si>
    <t>0,171_26/12/2015 ore 09:05</t>
  </si>
  <si>
    <t>0,172_27/12/2015 ore 10:32</t>
  </si>
  <si>
    <t>0,130_28/12/2015 ore 09:20</t>
  </si>
  <si>
    <t>0,100_28/12/2015 ore 23:52</t>
  </si>
  <si>
    <t>0,090_29/12/2015 ore 09:34</t>
  </si>
  <si>
    <t>0,077_30/12/2015 ore 10:42</t>
  </si>
  <si>
    <t>0,055_31/12/2015 ore 10:06</t>
  </si>
  <si>
    <t>Rupolo Francesco</t>
  </si>
  <si>
    <t>25/12/2015_03:00</t>
  </si>
  <si>
    <t>0,873_27/12/2015 ore 12:23</t>
  </si>
  <si>
    <t>0,813_28/12/2015 ore 09:20</t>
  </si>
  <si>
    <t>00,962_28/12/2015 ore 23:52</t>
  </si>
  <si>
    <t>0,864_29/12/2015 ore 09:36</t>
  </si>
  <si>
    <t>0,832_30/12/2015 ore 09:45</t>
  </si>
  <si>
    <t>0,605_31/12/2015 ore 10:54</t>
  </si>
  <si>
    <t>0,540_14/12/2015 ore 21:26</t>
  </si>
  <si>
    <t>0,476_15/12/2015 ore 09:31</t>
  </si>
  <si>
    <t>0,535_15/12/2015 ore 17:53</t>
  </si>
  <si>
    <t>1,360_16/12/2015 ore 10:09</t>
  </si>
  <si>
    <t>0,940_16/12/2015 ore 17:25</t>
  </si>
  <si>
    <t>1,00_17/12/2015 ore 09:32</t>
  </si>
  <si>
    <t>0,886_18/12/2015 ore 10:07</t>
  </si>
  <si>
    <t>0,828_18/12/2015 ore 19:24</t>
  </si>
  <si>
    <t>0,910_19/12/2015 ore 10:14</t>
  </si>
  <si>
    <t>0,817_19/12/2015 ore 17:48</t>
  </si>
  <si>
    <t>0,740_20/12/2015 ore 10:07</t>
  </si>
  <si>
    <t>0,532_21/12/2015 ore 11:24</t>
  </si>
  <si>
    <t>Contartese michele</t>
  </si>
  <si>
    <t>0,477_18/12/2015 ore 13:50</t>
  </si>
  <si>
    <t>0,626_18/12/2015 ore 23:28</t>
  </si>
  <si>
    <t>0,856_19/12/2015 ore 10:14</t>
  </si>
  <si>
    <t>0,813_19/12/2015 ore 17:46</t>
  </si>
  <si>
    <t>0,871_20/12/2015 ore 10:57</t>
  </si>
  <si>
    <t>0,859_21/12/2015 ore 11:31</t>
  </si>
  <si>
    <t>0,877_21/12/2015 ore 17:37</t>
  </si>
  <si>
    <t>1,0_21/12/2015 ore 23:36</t>
  </si>
  <si>
    <t>1,260_22/12/2015 ore 08:42</t>
  </si>
  <si>
    <t>1,050_23/12/2015 ore 08:33</t>
  </si>
  <si>
    <t>1,0_24/12/2015 ore 08:30</t>
  </si>
  <si>
    <t>Brosio Maurizio</t>
  </si>
  <si>
    <t>16/12/2015_15:00</t>
  </si>
  <si>
    <t>5,150_16/12/2015 ore 22:21</t>
  </si>
  <si>
    <t>3,820_17/12/2015 ore 03:09</t>
  </si>
  <si>
    <t>3,03_17/12/2015 ore 09:46</t>
  </si>
  <si>
    <t>2,810_18/12/2015 ore 10:07</t>
  </si>
  <si>
    <t>2,690_19/12/2015 ore 10:41</t>
  </si>
  <si>
    <t>2,130_20/12/2015 ore 10:12</t>
  </si>
  <si>
    <t>0,889_21/12/2015 ore 11:01</t>
  </si>
  <si>
    <t>0,458_22/12/2015 ore 09:37</t>
  </si>
  <si>
    <t>0,228_23/12/2015 ore 11:18</t>
  </si>
  <si>
    <t>0,124_24/12/2015 ore 10:16</t>
  </si>
  <si>
    <t>Gulla' Francesco</t>
  </si>
  <si>
    <t>03/12/2015_08:00</t>
  </si>
  <si>
    <t>5,650_03/12/2015 ore 11:58</t>
  </si>
  <si>
    <t>18,550_03/12/2015 ore 17:52</t>
  </si>
  <si>
    <t>9,430_04/12/2015 ore 10:14</t>
  </si>
  <si>
    <t>4,240_05/12/2015 ore 10:29</t>
  </si>
  <si>
    <t>3,510_06/12/2015 ore 09:50</t>
  </si>
  <si>
    <t>3,170_07/12/2015 ore 09:53</t>
  </si>
  <si>
    <t>2,360_07/12/2015 ore 17:57</t>
  </si>
  <si>
    <t>2,7_08/12/2015 ore 10:02</t>
  </si>
  <si>
    <t>1,910_09/12/2015 ore 11:12</t>
  </si>
  <si>
    <t>1,560_10/12/2015 ore 10:15</t>
  </si>
  <si>
    <t>Travaglini Luigi</t>
  </si>
  <si>
    <t>06/12/2015_15:00</t>
  </si>
  <si>
    <t>0,733_06/12/2015 ore 18:59</t>
  </si>
  <si>
    <t>1,110_06/12/2015 ore 23:42</t>
  </si>
  <si>
    <t>1,180_07/12/2015 ore 10:29</t>
  </si>
  <si>
    <t>0,963_07/12/2015 ore 21:48</t>
  </si>
  <si>
    <t>0,963_07/12/2015 ore 22:10</t>
  </si>
  <si>
    <t>1,090_08/12/2015 ore 10:02</t>
  </si>
  <si>
    <t>1,870_09/12/2015 ore 10:26</t>
  </si>
  <si>
    <t>2,160_10/12/2015 ore 11:15</t>
  </si>
  <si>
    <t>1,920:11/12/2015 ore 11:01</t>
  </si>
  <si>
    <t>1,460_12/12/2015 ore 08:56</t>
  </si>
  <si>
    <t>Gullo-Domenico</t>
  </si>
  <si>
    <t>02/04/2015 ore 15:00</t>
  </si>
  <si>
    <t>0,206_02/04/2015 ore 22:34</t>
  </si>
  <si>
    <t>0,803_03/04/201 ore 02:18</t>
  </si>
  <si>
    <t>1,050_03/04/2015 ore 10:24</t>
  </si>
  <si>
    <t>0,504_05/042015 ore 11:34</t>
  </si>
  <si>
    <t>0,753_06/04/2015 ore 10:36</t>
  </si>
  <si>
    <t>0,620_07/04/2015 ore 10:47</t>
  </si>
  <si>
    <t>0,428_08/04/2015 ore 09:37</t>
  </si>
  <si>
    <t>0,247_09/04/2015 ore 10:16</t>
  </si>
  <si>
    <t>Cosentino Orlando</t>
  </si>
  <si>
    <t>Arconte Giovanni</t>
  </si>
  <si>
    <t>06/02/2015_10:00</t>
  </si>
  <si>
    <t>0,088_06/02/2015 ore 18:41</t>
  </si>
  <si>
    <t>0,073_07/02/2015 ore 10:55</t>
  </si>
  <si>
    <t>0,069_08/02/2015 ore  10:47</t>
  </si>
  <si>
    <t>0,069_06/02/2015 ore 23:24</t>
  </si>
  <si>
    <t>0,076_09/02/2015 ore 10:07</t>
  </si>
  <si>
    <t>0,066_10/02/2015 ore 09:30</t>
  </si>
  <si>
    <t>0,041_11/02/2015 ore 10:31</t>
  </si>
  <si>
    <t>Bartone salvatore</t>
  </si>
  <si>
    <t>06/02/2015_11:00</t>
  </si>
  <si>
    <t>24,39_06/02/2015 ore 23:37</t>
  </si>
  <si>
    <t>15,13_06/02/2015 ore 18:40</t>
  </si>
  <si>
    <t>21,44_07/02/2015 ore 10:55</t>
  </si>
  <si>
    <t>10,59_08/02/2015 ore 10:47</t>
  </si>
  <si>
    <t>8,730_09/02/2015 ore 10:07</t>
  </si>
  <si>
    <t>6,220_10/02/2015 ore 17:41</t>
  </si>
  <si>
    <t>7,280_10/02/2015 ore 10:32</t>
  </si>
  <si>
    <t>5,880_11/02/2015 ore 10:15</t>
  </si>
  <si>
    <t>Calarco francesco</t>
  </si>
  <si>
    <t>06/02/2015_16:00</t>
  </si>
  <si>
    <t>1,540_06/02/2015 ore 21:51</t>
  </si>
  <si>
    <t>2,470_06/02/2015 ore 23:48</t>
  </si>
  <si>
    <t>2,510_07/02/2015 ore 10:55</t>
  </si>
  <si>
    <t>1,370_08/02/2015 ore 10:47</t>
  </si>
  <si>
    <t>1,070_09/02/2015 ore 10:07</t>
  </si>
  <si>
    <t>1,080_09/02/2015 ore 18:44</t>
  </si>
  <si>
    <t>1,210_10/02/2015 ore 09:30</t>
  </si>
  <si>
    <t>1,020_11/02/2015 ore 0:32</t>
  </si>
  <si>
    <t>23/02/2015_11:00</t>
  </si>
  <si>
    <t>Pascuzzi Salvatore</t>
  </si>
  <si>
    <t>2,560_24/02/2015 ore  18:38</t>
  </si>
  <si>
    <t>2,550_24/02/2015 ore 23:26</t>
  </si>
  <si>
    <t>2,2_25/02/2015 ore 12:43</t>
  </si>
  <si>
    <t>1,740_26/02/2015 ore 11:30</t>
  </si>
  <si>
    <t>0,812_28/02/2015 ore 12:05</t>
  </si>
  <si>
    <t>Trifini Maria</t>
  </si>
  <si>
    <t>27/03/2015 ore 16:00</t>
  </si>
  <si>
    <t>2,420_28/03/2015 ore 13:28</t>
  </si>
  <si>
    <t>13_29/03/2015 ore 01:14</t>
  </si>
  <si>
    <t>8,940_30/03/2015 ore 12:57</t>
  </si>
  <si>
    <t>12,670_29/03/2015 ore 10:00</t>
  </si>
  <si>
    <t>8,220_01/04/2015 ore 09:58</t>
  </si>
  <si>
    <t>6,660_01/04/2015 ore 20:13</t>
  </si>
  <si>
    <t>5,110_02/04/2015 ore 10:52</t>
  </si>
  <si>
    <t>2,10_03/04/2015 ore 10:24</t>
  </si>
  <si>
    <t>0,758_04/04/2015 ore 13:34</t>
  </si>
  <si>
    <t>Mauro Sergio</t>
  </si>
  <si>
    <t>03/02/2015_17:00</t>
  </si>
  <si>
    <t>1,340_04/02/2015 ore 09:59</t>
  </si>
  <si>
    <t>3,110_04/02/2015 ore 17:03</t>
  </si>
  <si>
    <t>2,670_05/02/2015 ore 08:57</t>
  </si>
  <si>
    <t>2,780_06/02/2015 ore 10:01</t>
  </si>
  <si>
    <t>2,9_07/02/2015 ore 10:09</t>
  </si>
  <si>
    <t>2,130_08/02/2015 ore 10:46</t>
  </si>
  <si>
    <t>0,969_09/02/2015 ore 10:18</t>
  </si>
  <si>
    <t>0,658_09/02/2015 ore 17:06</t>
  </si>
  <si>
    <t>0,483_10/02/2015 ore 09:31</t>
  </si>
  <si>
    <t>0,268_11/02/2015 ore 10:40</t>
  </si>
  <si>
    <t>0,189_12/02/2015 ore 10:21</t>
  </si>
  <si>
    <t>0,118_13/02/2015 ore 10:53</t>
  </si>
  <si>
    <t>14/02/2015_04:00</t>
  </si>
  <si>
    <t>5,270_14/02/2015 ore 11:47</t>
  </si>
  <si>
    <t>4,40_15/02/2015 ore 07:48</t>
  </si>
  <si>
    <t>2,420_15/02/2015 ore 10:55</t>
  </si>
  <si>
    <t>1,080_16/02/2015 ore 10:45</t>
  </si>
  <si>
    <t>0,752_17/02/2015 ore 09:46</t>
  </si>
  <si>
    <t>0,668_18/02/2015 ore 11:14</t>
  </si>
  <si>
    <t>Bernando Ferraro</t>
  </si>
  <si>
    <t>20,850_11/02/2015 ore 19:12</t>
  </si>
  <si>
    <t>11/02/2015_15:00</t>
  </si>
  <si>
    <t>9,850_12/02/2015 ore 11:03</t>
  </si>
  <si>
    <t>17,720_12/02/2015 ore 01:57</t>
  </si>
  <si>
    <t>7,470_12/02/2015 ore 18:22</t>
  </si>
  <si>
    <t>6,160_13/02/2015 ore 10:32</t>
  </si>
  <si>
    <t>5,750_14/02/2015 ore 10:56</t>
  </si>
  <si>
    <t>2,950_16/02/2015 ore 10:15</t>
  </si>
  <si>
    <t>4,520_15/02/2015 ore 10:56</t>
  </si>
  <si>
    <t>1,330_17/02/2015 ore 10:58</t>
  </si>
  <si>
    <t>0,022_04/12/2015 ore 15:54</t>
  </si>
  <si>
    <t>0,075_04/12/2015 ore 22:03</t>
  </si>
  <si>
    <t>5,52_05/12/2015 ore 10:53</t>
  </si>
  <si>
    <t>0,268_06/12/2015 ore 09:41</t>
  </si>
  <si>
    <t>0,329_07/12/2015 ore 09:53</t>
  </si>
  <si>
    <t>0,439_08/12/2015 ore 10:02</t>
  </si>
  <si>
    <t>0,448_09/12/2015 ore 12:56</t>
  </si>
  <si>
    <t>0,384_10/12/2015 ore 11:15</t>
  </si>
  <si>
    <t>0,475_22/11/2015 ore 16:34</t>
  </si>
  <si>
    <t>0,476_23/11/2015 ore 09:23</t>
  </si>
  <si>
    <t>0,624_23/11/2015 ore 18:07</t>
  </si>
  <si>
    <t>0,624_23/11/2015 ore 10:30</t>
  </si>
  <si>
    <t>0,733_24/11/2015 ore 10:35</t>
  </si>
  <si>
    <t>0,515_25/11/2015 ore 09:07</t>
  </si>
  <si>
    <t>0,497_26/11/2015 ore 09:17</t>
  </si>
  <si>
    <t>0,426_27/11/2015 ore 10:03</t>
  </si>
  <si>
    <t>0,045_11/12/2015 ore 13:34</t>
  </si>
  <si>
    <t>0,045_11/12/2015 ore 18:11</t>
  </si>
  <si>
    <t>0,080_12/12/2015 ore 10:00</t>
  </si>
  <si>
    <t>0,059_13/12/2015 ore 10:19</t>
  </si>
  <si>
    <t>0,055_14/12/2015 ore 09:20</t>
  </si>
  <si>
    <t>0,055_14/12/2015 ore 22:08</t>
  </si>
  <si>
    <t>0,066_15/12/2015 ore 09:31</t>
  </si>
  <si>
    <t>0,055_16/12/2015 ore 10:58</t>
  </si>
  <si>
    <t>29/11/2015_15:00</t>
  </si>
  <si>
    <t>1,330_30/11/2015 ore 17:08</t>
  </si>
  <si>
    <t>1,120_30/11/2015 ore 23:19</t>
  </si>
  <si>
    <t>09:28_01/12/2015 ore 09:28</t>
  </si>
  <si>
    <t>1,470_02/12/2015 ore 08:58</t>
  </si>
  <si>
    <t>1,630_03/12/2015 ore 09:22</t>
  </si>
  <si>
    <t>1,5_03/12/2015 ore 17:59</t>
  </si>
  <si>
    <t>1,250_04/12/2015 ore 10:05</t>
  </si>
  <si>
    <t>0,695_05/12/2015 ore 10:29</t>
  </si>
  <si>
    <t>0,338_06/12/2015 ore 11:18</t>
  </si>
  <si>
    <t>0,222_07/12/2015 ore 10:47</t>
  </si>
  <si>
    <t>0,125_05/12/2015 ore 11:44</t>
  </si>
  <si>
    <t>0,143_06/12/2015 ore 09:35</t>
  </si>
  <si>
    <t>0,133_07/12/2015 ore 10:29</t>
  </si>
  <si>
    <t>0,105_07/11/2015 ore 17:28</t>
  </si>
  <si>
    <t>0,1_08/12/2015 ore 10:39</t>
  </si>
  <si>
    <t>0,046_09/12/2015 ore 10:46</t>
  </si>
  <si>
    <t>0,027_10/12/2015 ore 11:15</t>
  </si>
  <si>
    <t>0,021_12/12/2015 ore 10:23</t>
  </si>
  <si>
    <t>0,021_13/12/2015 ore 11:53</t>
  </si>
  <si>
    <t xml:space="preserve">0,020_14/12/2015 ore 10:13 </t>
  </si>
  <si>
    <t>3,350_06/12/2015 ore 12:17</t>
  </si>
  <si>
    <t>3,2_07/12/2015 ore 10:29</t>
  </si>
  <si>
    <t>2,340_07/12/2015 ore 21:48</t>
  </si>
  <si>
    <t>2,930_08/12/2015 ore 10:02</t>
  </si>
  <si>
    <t>2,240_09/12/2015 ore 10:26</t>
  </si>
  <si>
    <t>1,680_09/12/2015 ore 19:58</t>
  </si>
  <si>
    <t>2,290_10/12/2015 ore 10:15</t>
  </si>
  <si>
    <t>1,660_11/12/2015 ore 09:14</t>
  </si>
  <si>
    <t>1,090_12/12/2015 ore 09:52</t>
  </si>
  <si>
    <t>0,819_13/12/2015 ore 10:19</t>
  </si>
  <si>
    <t>0,652_14/12/2015 ore 11:35</t>
  </si>
  <si>
    <t>0,640_15/12/2015 ore 10:11</t>
  </si>
  <si>
    <t>20/11/2015_21:00</t>
  </si>
  <si>
    <t>0,058_21/11/2015 ore 02:50</t>
  </si>
  <si>
    <t>0,215_21/12/2015 ore 10:11</t>
  </si>
  <si>
    <t>0,331_21/11/2015 ore 17:28</t>
  </si>
  <si>
    <t>0,298_22/11/2015 ore 10:36</t>
  </si>
  <si>
    <t>0,330_23/11/2015 ore 10:02</t>
  </si>
  <si>
    <t>0,333_24/11/2015 ore 09:36</t>
  </si>
  <si>
    <t>0,196_25/11/2015 ore 09:06</t>
  </si>
  <si>
    <t>0,078_26/11/2015 ore 09:17</t>
  </si>
  <si>
    <t>0,035_27/11/2015 ore 10:19</t>
  </si>
  <si>
    <t>05/12/2015_17:00</t>
  </si>
  <si>
    <t>1,08_05/12/2015 ore 21:11</t>
  </si>
  <si>
    <t>7,250_06/12/2015 ore 01:37</t>
  </si>
  <si>
    <t>11,130_06/12/2015 ore 09:59</t>
  </si>
  <si>
    <t>6,280_07/12/2015 ore 10:29</t>
  </si>
  <si>
    <t>6,410_08/12/2015 ore 10:26</t>
  </si>
  <si>
    <t>5,470_09/12/2015 ore 10:26</t>
  </si>
  <si>
    <t>4_10/12/2015 ore 10:15</t>
  </si>
  <si>
    <t>1,340_12/12/2015 ore 08:56</t>
  </si>
  <si>
    <t>0,828_13/12/2015 ore 10:41</t>
  </si>
  <si>
    <t>0,476_14/12/2015 ore 1213</t>
  </si>
  <si>
    <t>18/12/2015_20:00</t>
  </si>
  <si>
    <t>16,63_19/12/2015 ore 04:31</t>
  </si>
  <si>
    <t>21,430/19/12/2015 ore 11:22</t>
  </si>
  <si>
    <t>13,570_19/12/2015 ore 17:53</t>
  </si>
  <si>
    <t>8,8_20/12/2015 ore 11:16</t>
  </si>
  <si>
    <t>7,910_21/12/2015</t>
  </si>
  <si>
    <t>7,220_22/12/2015 ore 09:20</t>
  </si>
  <si>
    <t>6,78_22/12/2015 ore 17:45</t>
  </si>
  <si>
    <t>5,47:23/12/2015 ore 09:28</t>
  </si>
  <si>
    <t>4,720_24/12/2015 ore 09:11</t>
  </si>
  <si>
    <t>3,830_25/12/2015 ore 09:47</t>
  </si>
  <si>
    <t>3,020_26/12/2015 ore 10:16</t>
  </si>
  <si>
    <t>2,35_27/12/2015 ore 10:32</t>
  </si>
  <si>
    <t>1,520_28/12/2015 ore 09:45</t>
  </si>
  <si>
    <t>1,120_29/12/2015 ore 10:25</t>
  </si>
  <si>
    <t>1,020_24/11/2015 ore 01:55</t>
  </si>
  <si>
    <t>9,640_24/11/2015 ore 10;12</t>
  </si>
  <si>
    <t>5,760_24/11/2015 ore 15:37</t>
  </si>
  <si>
    <t>3,160_25/11/2015 ore 09:07</t>
  </si>
  <si>
    <t>2,680_26/11/2015 ore 09:27</t>
  </si>
  <si>
    <t>2,930_27/11/2015 ore 09:54</t>
  </si>
  <si>
    <t>2,9_28/11/2015 ore 08:32</t>
  </si>
  <si>
    <t>2,110_29/11/2015 ore 10:26</t>
  </si>
  <si>
    <t>1,340_30/11/2015 ore 09:20</t>
  </si>
  <si>
    <t>0,744_01/12/2015 ore 10:21</t>
  </si>
  <si>
    <t>02/12/2015_07:00</t>
  </si>
  <si>
    <t>4_02/12/2015 ore 17:53</t>
  </si>
  <si>
    <t>13,96_02/12/2015 ore 22:54</t>
  </si>
  <si>
    <t>12,05_03/12/2015 ore 10:06</t>
  </si>
  <si>
    <t>12,330_04/12/2015 ore 10:41</t>
  </si>
  <si>
    <t>11,890_05/12/2015 ore 11:44</t>
  </si>
  <si>
    <t>9,590_06/12/2015 ore 09:59</t>
  </si>
  <si>
    <t>8,9_07/12/2015 ore 09:53</t>
  </si>
  <si>
    <t>7,060_08/12/2015 ore 10:26</t>
  </si>
  <si>
    <t>15/12/2015_15:00</t>
  </si>
  <si>
    <t>0,137_16/12/2015 ore 12:59</t>
  </si>
  <si>
    <t>0,117_16/12/2015 ore 17:24</t>
  </si>
  <si>
    <t>0,120_17/12/2015 ore 09:32</t>
  </si>
  <si>
    <t>0,151_18/12/2015 ore 10:07</t>
  </si>
  <si>
    <t>0,144_19/12/2015 ore 10:51</t>
  </si>
  <si>
    <t>0,112_20/12/2015 ore 10:09</t>
  </si>
  <si>
    <t>15/12/2015_16:00</t>
  </si>
  <si>
    <t>0,010_15/12/2015 ore 23:30</t>
  </si>
  <si>
    <t>0.010_16/12/2015 ore 10:02</t>
  </si>
  <si>
    <t>0,087_16/12/2015 ore 17:25</t>
  </si>
  <si>
    <t>0,085_17/12/2015 ore 09:32</t>
  </si>
  <si>
    <t>0,108_18/12/2015 ore 10:07</t>
  </si>
  <si>
    <t>0,093_19/12/2015 ore 10:42</t>
  </si>
  <si>
    <t>0,089_20/12/2015 ore 10:09</t>
  </si>
  <si>
    <t>02/11/2015_16:30</t>
  </si>
  <si>
    <t>12,210_03/11/2015 ore 00:22</t>
  </si>
  <si>
    <t>2,820_02/11/2015 ore 21:17</t>
  </si>
  <si>
    <t>7,8_03/11/2015 ore 09:02</t>
  </si>
  <si>
    <t>3,480_04/11/2015 ore 10:19</t>
  </si>
  <si>
    <t>3,660_05/11/2015 ore 09:52</t>
  </si>
  <si>
    <t>3,660_06/11/2015 ore 10:24</t>
  </si>
  <si>
    <t>2,220_07/11/2015 ore 11:01</t>
  </si>
  <si>
    <t>02/12/2015_13:15</t>
  </si>
  <si>
    <t>0,899_02/12/2015 ore 17:32</t>
  </si>
  <si>
    <t>2,830_02/12/2015 ore 22:52</t>
  </si>
  <si>
    <t>3,110_03/12/2015 ore 09:53</t>
  </si>
  <si>
    <t>1,830_04/12/2015 ore 10:05</t>
  </si>
  <si>
    <t>1,910_05/12/2015 ore 10:29</t>
  </si>
  <si>
    <t>1,640_06/12/2015 ore 09:50</t>
  </si>
  <si>
    <t>1,440_07/12/2015 ore 09:53</t>
  </si>
  <si>
    <t>1,140_08/12/2015 ore 10:26</t>
  </si>
  <si>
    <t>0,782_09/12/2015 ore 11:04</t>
  </si>
  <si>
    <t>29/11/2015_09:00</t>
  </si>
  <si>
    <t>1,210_29/11/2015 ore 13:06</t>
  </si>
  <si>
    <t>2,790_29/11/2015 ore 19:_18</t>
  </si>
  <si>
    <t>1,250_30/11/2015 ore 09:39</t>
  </si>
  <si>
    <t>0,603_01/12/2015 ore 09:28</t>
  </si>
  <si>
    <t>0,665_02/12/2015 ore 08:58</t>
  </si>
  <si>
    <t>0,692_03/12/2015 ore 09:53</t>
  </si>
  <si>
    <t>0,541_03/12/2015 ore 18:36</t>
  </si>
  <si>
    <t>0,483_04/12/2015 ore 10:05</t>
  </si>
  <si>
    <t>0,102_06/12/2015 ore 09:35</t>
  </si>
  <si>
    <t>0,069_07/12/2015 ore 10:29</t>
  </si>
  <si>
    <t>0,051_08/12/2015 ore 10:26</t>
  </si>
  <si>
    <t>0,035_09/12/2015 ore 11:04</t>
  </si>
  <si>
    <t>24/11/2015_16:30</t>
  </si>
  <si>
    <t>0,014_19/12/2015 ore 17:38</t>
  </si>
  <si>
    <t>0,013_10/12/2015 ore 10:15</t>
  </si>
  <si>
    <t>0,122_10/12/2015 ore 17:47</t>
  </si>
  <si>
    <t>0,176_11/12/2015 ore 09:14</t>
  </si>
  <si>
    <t>0,110_11/12/2015 ore 18:14</t>
  </si>
  <si>
    <t>0,141_12/12/2015 ore 10:23</t>
  </si>
  <si>
    <t>0,154_13/12/2015 ore 10:19</t>
  </si>
  <si>
    <t>0,135_14/12/2015 ore 11:37</t>
  </si>
  <si>
    <t xml:space="preserve"> </t>
  </si>
  <si>
    <t xml:space="preserve">  </t>
  </si>
  <si>
    <t>TIME FROM t0[h.m]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</si>
  <si>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</si>
  <si>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</si>
  <si>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</si>
  <si>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</si>
  <si>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</si>
  <si>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</si>
  <si>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</si>
  <si>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</si>
  <si>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</si>
  <si>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</si>
  <si>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 xml:space="preserve"> A11</t>
  </si>
  <si>
    <t>TnThs MIRE 12</t>
  </si>
  <si>
    <t>A12</t>
  </si>
  <si>
    <t>CK-MB 12</t>
  </si>
  <si>
    <t>TnThs MIRE 13</t>
  </si>
  <si>
    <t>TnThs MIRE 14</t>
  </si>
  <si>
    <t>CK-MB 13</t>
  </si>
  <si>
    <t>CK-MB 14</t>
  </si>
  <si>
    <t>A13</t>
  </si>
  <si>
    <t>A14</t>
  </si>
  <si>
    <t>Valore negativo_prericovero</t>
  </si>
  <si>
    <t>A11</t>
  </si>
  <si>
    <t>data ricovero originale 24/11/15</t>
  </si>
  <si>
    <t>CK-MB</t>
  </si>
  <si>
    <t>PAZIENTE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</si>
  <si>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</si>
  <si>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</si>
  <si>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</si>
  <si>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</si>
  <si>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</si>
  <si>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</si>
  <si>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</si>
  <si>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</si>
  <si>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</si>
  <si>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</si>
  <si>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</si>
  <si>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</si>
  <si>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</si>
  <si>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</si>
  <si>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</si>
  <si>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</si>
  <si>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</si>
  <si>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</si>
  <si>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</si>
  <si>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</si>
  <si>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</si>
  <si>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</si>
  <si>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</si>
  <si>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</si>
  <si>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</si>
  <si>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TROPONINE</t>
  </si>
  <si>
    <t>Diabete</t>
  </si>
  <si>
    <t>(0 no, 1 si)</t>
  </si>
  <si>
    <t>Ins. Renale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</si>
</sst>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\ h:mm;@"/>
    <numFmt numFmtId="165" formatCode="[h]:mm:ss;@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</font>
    <font>
      <b/>
      <sz val="9"/>
      <color indexed="8"/>
      <name val="Calibri"/>
      <family val="2"/>
    </font>
    <font>
      <b/>
      <sz val="16"/>
      <color indexed="8"/>
      <name val="Calibri"/>
    </font>
    <font>
      <sz val="12"/>
      <name val="Calibri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400"/>
        <bgColor indexed="64"/>
      </patternFill>
    </fill>
    <fill>
      <patternFill patternType="solid">
        <fgColor rgb="FFFBF7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34">
    <xf numFmtId="0" fontId="0" fillId="0" borderId="0" xfId="0"/>
    <xf numFmtId="0" fontId="5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/>
    </xf>
    <xf numFmtId="0" fontId="7" fillId="2" borderId="0" xfId="1" applyFont="1" applyFill="1"/>
    <xf numFmtId="0" fontId="8" fillId="2" borderId="0" xfId="1" applyFont="1" applyFill="1"/>
    <xf numFmtId="0" fontId="4" fillId="2" borderId="0" xfId="1" applyFill="1"/>
    <xf numFmtId="0" fontId="0" fillId="2" borderId="0" xfId="0" applyFill="1"/>
    <xf numFmtId="0" fontId="9" fillId="2" borderId="0" xfId="1" applyFont="1" applyFill="1"/>
    <xf numFmtId="14" fontId="4" fillId="2" borderId="0" xfId="1" applyNumberFormat="1" applyFill="1"/>
    <xf numFmtId="0" fontId="0" fillId="3" borderId="0" xfId="0" applyFill="1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4" fontId="3" fillId="2" borderId="0" xfId="1" applyNumberFormat="1" applyFont="1" applyFill="1"/>
    <xf numFmtId="0" fontId="3" fillId="2" borderId="0" xfId="1" applyFont="1" applyFill="1"/>
    <xf numFmtId="14" fontId="3" fillId="2" borderId="0" xfId="1" applyNumberFormat="1" applyFont="1" applyFill="1" applyAlignment="1">
      <alignment horizontal="center"/>
    </xf>
    <xf numFmtId="0" fontId="3" fillId="2" borderId="0" xfId="1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16" fontId="0" fillId="0" borderId="0" xfId="0" applyNumberFormat="1"/>
    <xf numFmtId="0" fontId="0" fillId="4" borderId="0" xfId="0" applyFill="1"/>
    <xf numFmtId="0" fontId="0" fillId="5" borderId="0" xfId="0" applyFill="1"/>
    <xf numFmtId="164" fontId="0" fillId="5" borderId="0" xfId="0" applyNumberFormat="1" applyFill="1"/>
    <xf numFmtId="165" fontId="0" fillId="5" borderId="0" xfId="0" applyNumberFormat="1" applyFill="1"/>
    <xf numFmtId="0" fontId="0" fillId="3" borderId="0" xfId="0" applyFill="1" applyAlignment="1">
      <alignment horizontal="center"/>
    </xf>
    <xf numFmtId="14" fontId="2" fillId="2" borderId="0" xfId="1" applyNumberFormat="1" applyFont="1" applyFill="1"/>
    <xf numFmtId="165" fontId="0" fillId="6" borderId="0" xfId="0" applyNumberFormat="1" applyFill="1"/>
    <xf numFmtId="0" fontId="0" fillId="6" borderId="0" xfId="0" applyFill="1"/>
    <xf numFmtId="165" fontId="0" fillId="7" borderId="0" xfId="0" applyNumberFormat="1" applyFill="1"/>
    <xf numFmtId="0" fontId="0" fillId="7" borderId="0" xfId="0" applyFill="1"/>
    <xf numFmtId="0" fontId="0" fillId="8" borderId="0" xfId="0" applyFill="1"/>
    <xf numFmtId="0" fontId="1" fillId="2" borderId="0" xfId="1" applyFont="1" applyFill="1"/>
    <xf numFmtId="0" fontId="0" fillId="3" borderId="0" xfId="0" applyFill="1" applyAlignment="1">
      <alignment horizontal="center"/>
    </xf>
    <xf numFmtId="0" fontId="0" fillId="8" borderId="0" xfId="0" applyFill="1" applyAlignment="1">
      <alignment horizontal="center"/>
    </xf>
  </cellXfs>
  <cellStyles count="4">
    <cellStyle name="Followed Hyperlink" xfId="3" builtinId="9" hidden="1"/>
    <cellStyle name="Hyperlink" xfId="2" builtinId="8" hidden="1"/>
    <cellStyle name="Normal" xfId="0" builtinId="0"/>
    <cellStyle name="Normale 2" xfId="1" xr:uid="{00000000-0005-0000-0000-000003000000}"/>
  </cellStyles>
  <dxfs count="0"/>
  <tableStyles count="0" defaultTableStyle="TableStyleMedium9" defaultPivotStyle="PivotStyleLight16"/>
  <colors>
    <mruColors>
      <color rgb="FFFBF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S1</a:t>
            </a:r>
          </a:p>
          <a:p>
            <a:pPr>
              <a:defRPr/>
            </a:pP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'cTnTvsCK-MB'!$B$31:$M$31</c:f>
              <c:numCache>
                <c:formatCode>General</c:formatCode>
                <c:ptCount val="12"/>
                <c:pt idx="0">
                  <c:v>1.21</c:v>
                </c:pt>
                <c:pt idx="1">
                  <c:v>2.79</c:v>
                </c:pt>
                <c:pt idx="2">
                  <c:v>1.25</c:v>
                </c:pt>
                <c:pt idx="3">
                  <c:v>0.60299999999999998</c:v>
                </c:pt>
                <c:pt idx="4">
                  <c:v>0.66500000000000004</c:v>
                </c:pt>
                <c:pt idx="5">
                  <c:v>0.69199999999999995</c:v>
                </c:pt>
                <c:pt idx="6">
                  <c:v>0.54100000000000004</c:v>
                </c:pt>
                <c:pt idx="7">
                  <c:v>0.48299999999999998</c:v>
                </c:pt>
                <c:pt idx="8">
                  <c:v>0.10199999999999999</c:v>
                </c:pt>
                <c:pt idx="9">
                  <c:v>6.9000000000000006E-2</c:v>
                </c:pt>
                <c:pt idx="10">
                  <c:v>5.0999999999999997E-2</c:v>
                </c:pt>
                <c:pt idx="11">
                  <c:v>3.5000000000000003E-2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B5-41B1-B280-B8706A1C215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'cTnTvsCK-MB'!$B$3:$M$3</c:f>
              <c:numCache>
                <c:formatCode>General</c:formatCode>
                <c:ptCount val="12"/>
                <c:pt idx="0">
                  <c:v>36.33</c:v>
                </c:pt>
                <c:pt idx="1">
                  <c:v>70.23</c:v>
                </c:pt>
                <c:pt idx="2">
                  <c:v>38.51</c:v>
                </c:pt>
                <c:pt idx="3">
                  <c:v>9.19</c:v>
                </c:pt>
                <c:pt idx="4">
                  <c:v>3.69</c:v>
                </c:pt>
                <c:pt idx="5">
                  <c:v>2.04</c:v>
                </c:pt>
                <c:pt idx="6">
                  <c:v>2.5</c:v>
                </c:pt>
                <c:pt idx="7">
                  <c:v>2.83</c:v>
                </c:pt>
                <c:pt idx="8">
                  <c:v>6.13</c:v>
                </c:pt>
                <c:pt idx="9">
                  <c:v>5.65</c:v>
                </c:pt>
                <c:pt idx="10">
                  <c:v>5.19</c:v>
                </c:pt>
                <c:pt idx="11">
                  <c:v>2.67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B5-41B1-B280-B8706A1C2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28510352"/>
        <c:axId val="-2128333216"/>
      </c:lineChart>
      <c:catAx>
        <c:axId val="-21285103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128333216"/>
        <c:crosses val="autoZero"/>
        <c:auto val="1"/>
        <c:lblAlgn val="ctr"/>
        <c:lblOffset val="100"/>
        <c:noMultiLvlLbl val="0"/>
      </c:catAx>
      <c:valAx>
        <c:axId val="-212833321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12851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S2</a:t>
            </a:r>
          </a:p>
          <a:p>
            <a:pPr>
              <a:defRPr/>
            </a:pP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'cTnTvsCK-MB'!$B$32:$O$32</c:f>
              <c:numCache>
                <c:formatCode>General</c:formatCode>
                <c:ptCount val="14"/>
                <c:pt idx="0">
                  <c:v>16.63</c:v>
                </c:pt>
                <c:pt idx="1">
                  <c:v>21.43</c:v>
                </c:pt>
                <c:pt idx="2">
                  <c:v>13.57</c:v>
                </c:pt>
                <c:pt idx="3">
                  <c:v>8.8000000000000007</c:v>
                </c:pt>
                <c:pt idx="4">
                  <c:v>7.91</c:v>
                </c:pt>
                <c:pt idx="5">
                  <c:v>7.22</c:v>
                </c:pt>
                <c:pt idx="6">
                  <c:v>6.78</c:v>
                </c:pt>
                <c:pt idx="7">
                  <c:v>5.47</c:v>
                </c:pt>
                <c:pt idx="8">
                  <c:v>4.72</c:v>
                </c:pt>
                <c:pt idx="9">
                  <c:v>3.83</c:v>
                </c:pt>
                <c:pt idx="10">
                  <c:v>3.02</c:v>
                </c:pt>
                <c:pt idx="11">
                  <c:v>2.35</c:v>
                </c:pt>
                <c:pt idx="12">
                  <c:v>1.52</c:v>
                </c:pt>
                <c:pt idx="13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8C-43D2-AA56-658D97BD0A5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'cTnTvsCK-MB'!$B$4:$O$4</c:f>
              <c:numCache>
                <c:formatCode>General</c:formatCode>
                <c:ptCount val="14"/>
                <c:pt idx="0">
                  <c:v>600</c:v>
                </c:pt>
                <c:pt idx="1">
                  <c:v>600</c:v>
                </c:pt>
                <c:pt idx="2">
                  <c:v>459.4</c:v>
                </c:pt>
                <c:pt idx="3">
                  <c:v>89.88</c:v>
                </c:pt>
                <c:pt idx="4">
                  <c:v>12.75</c:v>
                </c:pt>
                <c:pt idx="5">
                  <c:v>6.74</c:v>
                </c:pt>
                <c:pt idx="6">
                  <c:v>7.51</c:v>
                </c:pt>
                <c:pt idx="7">
                  <c:v>6.72</c:v>
                </c:pt>
                <c:pt idx="8">
                  <c:v>3.93</c:v>
                </c:pt>
                <c:pt idx="9">
                  <c:v>4.22</c:v>
                </c:pt>
                <c:pt idx="10">
                  <c:v>5.47</c:v>
                </c:pt>
                <c:pt idx="11">
                  <c:v>4.34</c:v>
                </c:pt>
                <c:pt idx="12">
                  <c:v>3.53</c:v>
                </c:pt>
                <c:pt idx="13">
                  <c:v>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8C-43D2-AA56-658D97BD0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8232832"/>
        <c:axId val="-2118237152"/>
      </c:lineChart>
      <c:catAx>
        <c:axId val="-2118232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118237152"/>
        <c:crosses val="autoZero"/>
        <c:auto val="1"/>
        <c:lblAlgn val="ctr"/>
        <c:lblOffset val="100"/>
        <c:noMultiLvlLbl val="0"/>
      </c:catAx>
      <c:valAx>
        <c:axId val="-211823715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118232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'cTnTvsCK-MB'!$B$33:$K$33</c:f>
              <c:numCache>
                <c:formatCode>General</c:formatCode>
                <c:ptCount val="10"/>
                <c:pt idx="0">
                  <c:v>1.08</c:v>
                </c:pt>
                <c:pt idx="1">
                  <c:v>7.25</c:v>
                </c:pt>
                <c:pt idx="2">
                  <c:v>11.13</c:v>
                </c:pt>
                <c:pt idx="3">
                  <c:v>6.28</c:v>
                </c:pt>
                <c:pt idx="4">
                  <c:v>6.41</c:v>
                </c:pt>
                <c:pt idx="5">
                  <c:v>5.47</c:v>
                </c:pt>
                <c:pt idx="6">
                  <c:v>4</c:v>
                </c:pt>
                <c:pt idx="7">
                  <c:v>1.34</c:v>
                </c:pt>
                <c:pt idx="8">
                  <c:v>0.82799999999999996</c:v>
                </c:pt>
                <c:pt idx="9">
                  <c:v>0.47599999999999998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A1-4A7A-8705-AC9EC68BFC9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'cTnTvsCK-MB'!$B$5:$K$5</c:f>
              <c:numCache>
                <c:formatCode>General</c:formatCode>
                <c:ptCount val="10"/>
                <c:pt idx="0">
                  <c:v>135.69999999999999</c:v>
                </c:pt>
                <c:pt idx="1">
                  <c:v>7.25</c:v>
                </c:pt>
                <c:pt idx="2">
                  <c:v>400.7</c:v>
                </c:pt>
                <c:pt idx="3">
                  <c:v>29</c:v>
                </c:pt>
                <c:pt idx="4">
                  <c:v>5.93</c:v>
                </c:pt>
                <c:pt idx="5">
                  <c:v>2.98</c:v>
                </c:pt>
                <c:pt idx="6">
                  <c:v>2.33</c:v>
                </c:pt>
                <c:pt idx="7">
                  <c:v>1.54</c:v>
                </c:pt>
                <c:pt idx="8">
                  <c:v>1.29</c:v>
                </c:pt>
                <c:pt idx="9">
                  <c:v>1.1499999999999999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A1-4A7A-8705-AC9EC68BF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8864800"/>
        <c:axId val="-2118859472"/>
      </c:lineChart>
      <c:catAx>
        <c:axId val="-2118864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118859472"/>
        <c:crosses val="autoZero"/>
        <c:auto val="1"/>
        <c:lblAlgn val="ctr"/>
        <c:lblOffset val="100"/>
        <c:noMultiLvlLbl val="0"/>
      </c:catAx>
      <c:valAx>
        <c:axId val="-211885947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11886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'cTnTvsCK-MB'!$B$34:$J$34</c:f>
              <c:numCache>
                <c:formatCode>General</c:formatCode>
                <c:ptCount val="9"/>
                <c:pt idx="0">
                  <c:v>5.8000000000000003E-2</c:v>
                </c:pt>
                <c:pt idx="1">
                  <c:v>0.215</c:v>
                </c:pt>
                <c:pt idx="2">
                  <c:v>0.33100000000000002</c:v>
                </c:pt>
                <c:pt idx="3">
                  <c:v>0.29799999999999999</c:v>
                </c:pt>
                <c:pt idx="4">
                  <c:v>0.33</c:v>
                </c:pt>
                <c:pt idx="5">
                  <c:v>0.33300000000000002</c:v>
                </c:pt>
                <c:pt idx="6">
                  <c:v>0.19600000000000001</c:v>
                </c:pt>
                <c:pt idx="7">
                  <c:v>7.8E-2</c:v>
                </c:pt>
                <c:pt idx="8">
                  <c:v>3.5000000000000003E-2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CE-4B51-8FC0-74912E504DB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'cTnTvsCK-MB'!$B$6:$J$6</c:f>
              <c:numCache>
                <c:formatCode>General</c:formatCode>
                <c:ptCount val="9"/>
                <c:pt idx="0">
                  <c:v>5.46</c:v>
                </c:pt>
                <c:pt idx="1">
                  <c:v>17.71</c:v>
                </c:pt>
                <c:pt idx="2">
                  <c:v>20.350000000000001</c:v>
                </c:pt>
                <c:pt idx="3">
                  <c:v>6.62</c:v>
                </c:pt>
                <c:pt idx="4">
                  <c:v>2.2799999999999998</c:v>
                </c:pt>
                <c:pt idx="5">
                  <c:v>1.56</c:v>
                </c:pt>
                <c:pt idx="6">
                  <c:v>1.58</c:v>
                </c:pt>
                <c:pt idx="7">
                  <c:v>1.72</c:v>
                </c:pt>
                <c:pt idx="8">
                  <c:v>1.87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CE-4B51-8FC0-74912E504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8832960"/>
        <c:axId val="-2118827632"/>
      </c:lineChart>
      <c:catAx>
        <c:axId val="-2118832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118827632"/>
        <c:crosses val="autoZero"/>
        <c:auto val="1"/>
        <c:lblAlgn val="ctr"/>
        <c:lblOffset val="100"/>
        <c:noMultiLvlLbl val="0"/>
      </c:catAx>
      <c:valAx>
        <c:axId val="-211882763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11883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'cTnTvsCK-MB'!$B$35:$J$35</c:f>
              <c:numCache>
                <c:formatCode>General</c:formatCode>
                <c:ptCount val="9"/>
                <c:pt idx="0">
                  <c:v>0.53</c:v>
                </c:pt>
                <c:pt idx="1">
                  <c:v>0.749</c:v>
                </c:pt>
                <c:pt idx="2">
                  <c:v>0.91100000000000003</c:v>
                </c:pt>
                <c:pt idx="3">
                  <c:v>0.67300000000000004</c:v>
                </c:pt>
                <c:pt idx="4">
                  <c:v>0.47399999999999998</c:v>
                </c:pt>
                <c:pt idx="5">
                  <c:v>0.438</c:v>
                </c:pt>
                <c:pt idx="6">
                  <c:v>0.35399999999999998</c:v>
                </c:pt>
                <c:pt idx="7">
                  <c:v>0.371</c:v>
                </c:pt>
                <c:pt idx="8">
                  <c:v>0.28100000000000003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F6-43C5-93C0-4D85EA0EA3C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'cTnTvsCK-MB'!$B$7:$J$7</c:f>
              <c:numCache>
                <c:formatCode>General</c:formatCode>
                <c:ptCount val="9"/>
                <c:pt idx="0">
                  <c:v>24.14</c:v>
                </c:pt>
                <c:pt idx="1">
                  <c:v>31.89</c:v>
                </c:pt>
                <c:pt idx="2">
                  <c:v>34.93</c:v>
                </c:pt>
                <c:pt idx="3">
                  <c:v>19.850000000000001</c:v>
                </c:pt>
                <c:pt idx="4">
                  <c:v>7.36</c:v>
                </c:pt>
                <c:pt idx="5">
                  <c:v>3</c:v>
                </c:pt>
                <c:pt idx="6">
                  <c:v>2.94</c:v>
                </c:pt>
                <c:pt idx="7">
                  <c:v>2.67</c:v>
                </c:pt>
                <c:pt idx="8">
                  <c:v>3.08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F6-43C5-93C0-4D85EA0EA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20169280"/>
        <c:axId val="-2120107488"/>
      </c:lineChart>
      <c:catAx>
        <c:axId val="-21201692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120107488"/>
        <c:crosses val="autoZero"/>
        <c:auto val="1"/>
        <c:lblAlgn val="ctr"/>
        <c:lblOffset val="100"/>
        <c:noMultiLvlLbl val="0"/>
      </c:catAx>
      <c:valAx>
        <c:axId val="-212010748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120169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'cTnTvsCK-MB'!$B$36:$L$36</c:f>
              <c:numCache>
                <c:formatCode>General</c:formatCode>
                <c:ptCount val="11"/>
                <c:pt idx="0">
                  <c:v>1.68</c:v>
                </c:pt>
                <c:pt idx="1">
                  <c:v>3.74</c:v>
                </c:pt>
                <c:pt idx="2">
                  <c:v>6.42</c:v>
                </c:pt>
                <c:pt idx="3">
                  <c:v>3.69</c:v>
                </c:pt>
                <c:pt idx="4">
                  <c:v>3.05</c:v>
                </c:pt>
                <c:pt idx="5">
                  <c:v>2.41</c:v>
                </c:pt>
                <c:pt idx="6">
                  <c:v>2.14</c:v>
                </c:pt>
                <c:pt idx="7">
                  <c:v>2.39</c:v>
                </c:pt>
                <c:pt idx="8">
                  <c:v>1.48</c:v>
                </c:pt>
                <c:pt idx="9">
                  <c:v>0.62</c:v>
                </c:pt>
                <c:pt idx="10">
                  <c:v>0.31900000000000001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1D-4611-86B5-6E5043F9594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'cTnTvsCK-MB'!$B$8:$L$8</c:f>
              <c:numCache>
                <c:formatCode>General</c:formatCode>
                <c:ptCount val="11"/>
                <c:pt idx="0">
                  <c:v>114.4</c:v>
                </c:pt>
                <c:pt idx="1">
                  <c:v>387.3</c:v>
                </c:pt>
                <c:pt idx="2">
                  <c:v>125.6</c:v>
                </c:pt>
                <c:pt idx="3">
                  <c:v>184.2</c:v>
                </c:pt>
                <c:pt idx="4">
                  <c:v>49.45</c:v>
                </c:pt>
                <c:pt idx="5">
                  <c:v>8.33</c:v>
                </c:pt>
                <c:pt idx="6">
                  <c:v>5.94</c:v>
                </c:pt>
                <c:pt idx="7">
                  <c:v>4.84</c:v>
                </c:pt>
                <c:pt idx="8">
                  <c:v>2.69</c:v>
                </c:pt>
                <c:pt idx="9">
                  <c:v>2.2400000000000002</c:v>
                </c:pt>
                <c:pt idx="10">
                  <c:v>2.36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1D-4611-86B5-6E5043F95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20087456"/>
        <c:axId val="-2120082112"/>
      </c:lineChart>
      <c:catAx>
        <c:axId val="-21200874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120082112"/>
        <c:crosses val="autoZero"/>
        <c:auto val="1"/>
        <c:lblAlgn val="ctr"/>
        <c:lblOffset val="100"/>
        <c:noMultiLvlLbl val="0"/>
      </c:catAx>
      <c:valAx>
        <c:axId val="-21200821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12008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'cTnTvsCK-MB'!$B$38:$M$38</c:f>
              <c:numCache>
                <c:formatCode>General</c:formatCode>
                <c:ptCount val="12"/>
                <c:pt idx="0">
                  <c:v>0.31</c:v>
                </c:pt>
                <c:pt idx="1">
                  <c:v>3.72</c:v>
                </c:pt>
                <c:pt idx="2">
                  <c:v>4.18</c:v>
                </c:pt>
                <c:pt idx="3">
                  <c:v>2.13</c:v>
                </c:pt>
                <c:pt idx="4">
                  <c:v>2.67</c:v>
                </c:pt>
                <c:pt idx="5">
                  <c:v>3.99</c:v>
                </c:pt>
                <c:pt idx="6">
                  <c:v>3.16</c:v>
                </c:pt>
                <c:pt idx="7">
                  <c:v>1.71</c:v>
                </c:pt>
                <c:pt idx="8">
                  <c:v>0.76</c:v>
                </c:pt>
                <c:pt idx="9">
                  <c:v>0.45500000000000002</c:v>
                </c:pt>
                <c:pt idx="10">
                  <c:v>0.29299999999999998</c:v>
                </c:pt>
                <c:pt idx="11">
                  <c:v>0.182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4F-41CD-8D70-2D49057E8FF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'cTnTvsCK-MB'!$B$10:$M$10</c:f>
              <c:numCache>
                <c:formatCode>General</c:formatCode>
                <c:ptCount val="12"/>
                <c:pt idx="0">
                  <c:v>48.95</c:v>
                </c:pt>
                <c:pt idx="1">
                  <c:v>300</c:v>
                </c:pt>
                <c:pt idx="2">
                  <c:v>184.1</c:v>
                </c:pt>
                <c:pt idx="3">
                  <c:v>17.78</c:v>
                </c:pt>
                <c:pt idx="4">
                  <c:v>4.67</c:v>
                </c:pt>
                <c:pt idx="5">
                  <c:v>2.0299999999999998</c:v>
                </c:pt>
                <c:pt idx="6">
                  <c:v>1.76</c:v>
                </c:pt>
                <c:pt idx="7">
                  <c:v>1.73</c:v>
                </c:pt>
                <c:pt idx="8">
                  <c:v>1.75</c:v>
                </c:pt>
                <c:pt idx="9">
                  <c:v>1.56</c:v>
                </c:pt>
                <c:pt idx="10">
                  <c:v>1.3</c:v>
                </c:pt>
                <c:pt idx="11">
                  <c:v>1.31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4F-41CD-8D70-2D49057E8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8783296"/>
        <c:axId val="-2118777952"/>
      </c:lineChart>
      <c:catAx>
        <c:axId val="-2118783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118777952"/>
        <c:crosses val="autoZero"/>
        <c:auto val="1"/>
        <c:lblAlgn val="ctr"/>
        <c:lblOffset val="100"/>
        <c:noMultiLvlLbl val="0"/>
      </c:catAx>
      <c:valAx>
        <c:axId val="-211877795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118783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S16</a:t>
            </a:r>
          </a:p>
          <a:p>
            <a:pPr>
              <a:defRPr/>
            </a:pP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0872484689413793E-2"/>
          <c:y val="0.16245370370370399"/>
          <c:w val="0.88968307086614196"/>
          <c:h val="0.70005431612715097"/>
        </c:manualLayout>
      </c:layout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'cTnTvsCK-MB'!$B$46:$I$46</c:f>
              <c:numCache>
                <c:formatCode>General</c:formatCode>
                <c:ptCount val="8"/>
                <c:pt idx="0">
                  <c:v>1.54</c:v>
                </c:pt>
                <c:pt idx="1">
                  <c:v>2.4700000000000002</c:v>
                </c:pt>
                <c:pt idx="2">
                  <c:v>2.5099999999999998</c:v>
                </c:pt>
                <c:pt idx="3">
                  <c:v>1.37</c:v>
                </c:pt>
                <c:pt idx="4">
                  <c:v>1.07</c:v>
                </c:pt>
                <c:pt idx="5">
                  <c:v>1.08</c:v>
                </c:pt>
                <c:pt idx="6">
                  <c:v>1.21</c:v>
                </c:pt>
                <c:pt idx="7">
                  <c:v>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40-4C46-87CE-75C5B1FD4C7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'cTnTvsCK-MB'!$B$18:$I$18</c:f>
              <c:numCache>
                <c:formatCode>General</c:formatCode>
                <c:ptCount val="8"/>
                <c:pt idx="0">
                  <c:v>58.85</c:v>
                </c:pt>
                <c:pt idx="1">
                  <c:v>73.599999999999994</c:v>
                </c:pt>
                <c:pt idx="2">
                  <c:v>62.28</c:v>
                </c:pt>
                <c:pt idx="3">
                  <c:v>13.02</c:v>
                </c:pt>
                <c:pt idx="4">
                  <c:v>3.95</c:v>
                </c:pt>
                <c:pt idx="5">
                  <c:v>4.99</c:v>
                </c:pt>
                <c:pt idx="6">
                  <c:v>3.58</c:v>
                </c:pt>
                <c:pt idx="7">
                  <c:v>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40-4C46-87CE-75C5B1FD4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8762192"/>
        <c:axId val="-2118732464"/>
      </c:lineChart>
      <c:catAx>
        <c:axId val="-2118762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118732464"/>
        <c:crosses val="autoZero"/>
        <c:auto val="1"/>
        <c:lblAlgn val="ctr"/>
        <c:lblOffset val="100"/>
        <c:noMultiLvlLbl val="0"/>
      </c:catAx>
      <c:valAx>
        <c:axId val="-211873246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11876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'cTnTvsCK-MB'!$B$54:$K$54</c:f>
              <c:numCache>
                <c:formatCode>General</c:formatCode>
                <c:ptCount val="10"/>
                <c:pt idx="0">
                  <c:v>1.02</c:v>
                </c:pt>
                <c:pt idx="1">
                  <c:v>9.64</c:v>
                </c:pt>
                <c:pt idx="2">
                  <c:v>5.76</c:v>
                </c:pt>
                <c:pt idx="3">
                  <c:v>3.16</c:v>
                </c:pt>
                <c:pt idx="4">
                  <c:v>2.68</c:v>
                </c:pt>
                <c:pt idx="5">
                  <c:v>2.93</c:v>
                </c:pt>
                <c:pt idx="6">
                  <c:v>2.9</c:v>
                </c:pt>
                <c:pt idx="7">
                  <c:v>2.11</c:v>
                </c:pt>
                <c:pt idx="8">
                  <c:v>1.34</c:v>
                </c:pt>
                <c:pt idx="9">
                  <c:v>0.74399999999999999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80-47D4-8441-3F56B0FEAA4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'cTnTvsCK-MB'!$B$26:$K$26</c:f>
              <c:numCache>
                <c:formatCode>General</c:formatCode>
                <c:ptCount val="10"/>
                <c:pt idx="0">
                  <c:v>90.09</c:v>
                </c:pt>
                <c:pt idx="1">
                  <c:v>230.2</c:v>
                </c:pt>
                <c:pt idx="2">
                  <c:v>116.3</c:v>
                </c:pt>
                <c:pt idx="3">
                  <c:v>33.64</c:v>
                </c:pt>
                <c:pt idx="4">
                  <c:v>7.73</c:v>
                </c:pt>
                <c:pt idx="5">
                  <c:v>3.27</c:v>
                </c:pt>
                <c:pt idx="6">
                  <c:v>1.87</c:v>
                </c:pt>
                <c:pt idx="7">
                  <c:v>1.52</c:v>
                </c:pt>
                <c:pt idx="8">
                  <c:v>1.65</c:v>
                </c:pt>
                <c:pt idx="9">
                  <c:v>1.61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80-47D4-8441-3F56B0FEA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8703984"/>
        <c:axId val="-2118698656"/>
      </c:lineChart>
      <c:catAx>
        <c:axId val="-2118703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118698656"/>
        <c:crosses val="autoZero"/>
        <c:auto val="1"/>
        <c:lblAlgn val="ctr"/>
        <c:lblOffset val="100"/>
        <c:noMultiLvlLbl val="0"/>
      </c:catAx>
      <c:valAx>
        <c:axId val="-211869865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1187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'cTnTvsCK-MB'!$B$55:$J$55</c:f>
              <c:numCache>
                <c:formatCode>General</c:formatCode>
                <c:ptCount val="9"/>
                <c:pt idx="0">
                  <c:v>0.89900000000000002</c:v>
                </c:pt>
                <c:pt idx="1">
                  <c:v>2.83</c:v>
                </c:pt>
                <c:pt idx="2">
                  <c:v>3.11</c:v>
                </c:pt>
                <c:pt idx="3">
                  <c:v>1.83</c:v>
                </c:pt>
                <c:pt idx="4">
                  <c:v>1.91</c:v>
                </c:pt>
                <c:pt idx="5">
                  <c:v>1.64</c:v>
                </c:pt>
                <c:pt idx="6">
                  <c:v>1.44</c:v>
                </c:pt>
                <c:pt idx="7">
                  <c:v>1.1399999999999999</c:v>
                </c:pt>
                <c:pt idx="8">
                  <c:v>0.78200000000000003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F2-461B-88E7-2CEE0AD73A7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'cTnTvsCK-MB'!$B$27:$J$27</c:f>
              <c:numCache>
                <c:formatCode>General</c:formatCode>
                <c:ptCount val="9"/>
                <c:pt idx="0">
                  <c:v>234.4</c:v>
                </c:pt>
                <c:pt idx="1">
                  <c:v>274.5</c:v>
                </c:pt>
                <c:pt idx="2">
                  <c:v>138.4</c:v>
                </c:pt>
                <c:pt idx="3">
                  <c:v>17.739999999999998</c:v>
                </c:pt>
                <c:pt idx="4">
                  <c:v>5.93</c:v>
                </c:pt>
                <c:pt idx="5">
                  <c:v>3.15</c:v>
                </c:pt>
                <c:pt idx="6">
                  <c:v>2.31</c:v>
                </c:pt>
                <c:pt idx="7">
                  <c:v>2.34</c:v>
                </c:pt>
                <c:pt idx="8">
                  <c:v>2.23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F2-461B-88E7-2CEE0AD73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8669344"/>
        <c:axId val="-2118664016"/>
      </c:lineChart>
      <c:catAx>
        <c:axId val="-21186693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118664016"/>
        <c:crosses val="autoZero"/>
        <c:auto val="1"/>
        <c:lblAlgn val="ctr"/>
        <c:lblOffset val="100"/>
        <c:noMultiLvlLbl val="0"/>
      </c:catAx>
      <c:valAx>
        <c:axId val="-211866401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11866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'cTnTvsCK-MB'!$B$39:$O$39</c:f>
              <c:numCache>
                <c:formatCode>General</c:formatCode>
                <c:ptCount val="14"/>
                <c:pt idx="0">
                  <c:v>1.57</c:v>
                </c:pt>
                <c:pt idx="1">
                  <c:v>7.81</c:v>
                </c:pt>
                <c:pt idx="2">
                  <c:v>7.46</c:v>
                </c:pt>
                <c:pt idx="3">
                  <c:v>6.58</c:v>
                </c:pt>
                <c:pt idx="4">
                  <c:v>5.93</c:v>
                </c:pt>
                <c:pt idx="5">
                  <c:v>4.9800000000000004</c:v>
                </c:pt>
                <c:pt idx="6">
                  <c:v>1.72</c:v>
                </c:pt>
                <c:pt idx="7">
                  <c:v>0.43</c:v>
                </c:pt>
                <c:pt idx="8">
                  <c:v>0.14399999999999999</c:v>
                </c:pt>
                <c:pt idx="9">
                  <c:v>2.1800000000000002</c:v>
                </c:pt>
                <c:pt idx="10">
                  <c:v>2.14</c:v>
                </c:pt>
                <c:pt idx="11">
                  <c:v>2.16</c:v>
                </c:pt>
                <c:pt idx="12">
                  <c:v>0.89600000000000002</c:v>
                </c:pt>
                <c:pt idx="13">
                  <c:v>0.97299999999999998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C8-444F-8D9B-A6FAE50EC4F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'cTnTvsCK-MB'!$B$11:$O$11</c:f>
              <c:numCache>
                <c:formatCode>General</c:formatCode>
                <c:ptCount val="14"/>
                <c:pt idx="0">
                  <c:v>121.9</c:v>
                </c:pt>
                <c:pt idx="1">
                  <c:v>300</c:v>
                </c:pt>
                <c:pt idx="2">
                  <c:v>205.4</c:v>
                </c:pt>
                <c:pt idx="3">
                  <c:v>61.94</c:v>
                </c:pt>
                <c:pt idx="4">
                  <c:v>11.91</c:v>
                </c:pt>
                <c:pt idx="5">
                  <c:v>5.6</c:v>
                </c:pt>
                <c:pt idx="6">
                  <c:v>3.37</c:v>
                </c:pt>
                <c:pt idx="7">
                  <c:v>2.94</c:v>
                </c:pt>
                <c:pt idx="8">
                  <c:v>3.86</c:v>
                </c:pt>
                <c:pt idx="9">
                  <c:v>59.68</c:v>
                </c:pt>
                <c:pt idx="10">
                  <c:v>54.25</c:v>
                </c:pt>
                <c:pt idx="11">
                  <c:v>35.74</c:v>
                </c:pt>
                <c:pt idx="12">
                  <c:v>5.72</c:v>
                </c:pt>
                <c:pt idx="13">
                  <c:v>4.74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C8-444F-8D9B-A6FAE50EC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18634848"/>
        <c:axId val="-2118629472"/>
      </c:lineChart>
      <c:catAx>
        <c:axId val="-2118634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118629472"/>
        <c:crosses val="autoZero"/>
        <c:auto val="1"/>
        <c:lblAlgn val="ctr"/>
        <c:lblOffset val="100"/>
        <c:noMultiLvlLbl val="0"/>
      </c:catAx>
      <c:valAx>
        <c:axId val="-211862947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118634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76200</xdr:colOff>
      <xdr:row>1</xdr:row>
      <xdr:rowOff>25400</xdr:rowOff>
    </xdr:from>
    <xdr:to>
      <xdr:col>21</xdr:col>
      <xdr:colOff>520700</xdr:colOff>
      <xdr:row>15</xdr:row>
      <xdr:rowOff>101600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76200</xdr:colOff>
      <xdr:row>16</xdr:row>
      <xdr:rowOff>76200</xdr:rowOff>
    </xdr:from>
    <xdr:to>
      <xdr:col>21</xdr:col>
      <xdr:colOff>520700</xdr:colOff>
      <xdr:row>30</xdr:row>
      <xdr:rowOff>152400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88900</xdr:colOff>
      <xdr:row>31</xdr:row>
      <xdr:rowOff>50800</xdr:rowOff>
    </xdr:from>
    <xdr:to>
      <xdr:col>21</xdr:col>
      <xdr:colOff>533400</xdr:colOff>
      <xdr:row>45</xdr:row>
      <xdr:rowOff>127000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114300</xdr:colOff>
      <xdr:row>46</xdr:row>
      <xdr:rowOff>38100</xdr:rowOff>
    </xdr:from>
    <xdr:to>
      <xdr:col>21</xdr:col>
      <xdr:colOff>558800</xdr:colOff>
      <xdr:row>60</xdr:row>
      <xdr:rowOff>114300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56</xdr:row>
      <xdr:rowOff>88900</xdr:rowOff>
    </xdr:from>
    <xdr:to>
      <xdr:col>5</xdr:col>
      <xdr:colOff>457200</xdr:colOff>
      <xdr:row>70</xdr:row>
      <xdr:rowOff>165100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31750</xdr:colOff>
      <xdr:row>56</xdr:row>
      <xdr:rowOff>88900</xdr:rowOff>
    </xdr:from>
    <xdr:to>
      <xdr:col>11</xdr:col>
      <xdr:colOff>476250</xdr:colOff>
      <xdr:row>70</xdr:row>
      <xdr:rowOff>165100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71</xdr:row>
      <xdr:rowOff>76200</xdr:rowOff>
    </xdr:from>
    <xdr:to>
      <xdr:col>5</xdr:col>
      <xdr:colOff>444500</xdr:colOff>
      <xdr:row>85</xdr:row>
      <xdr:rowOff>152400</xdr:rowOff>
    </xdr:to>
    <xdr:graphicFrame macro="">
      <xdr:nvGraphicFramePr>
        <xdr:cNvPr id="10" name="Grafico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38100</xdr:colOff>
      <xdr:row>71</xdr:row>
      <xdr:rowOff>50800</xdr:rowOff>
    </xdr:from>
    <xdr:to>
      <xdr:col>11</xdr:col>
      <xdr:colOff>482600</xdr:colOff>
      <xdr:row>85</xdr:row>
      <xdr:rowOff>127000</xdr:rowOff>
    </xdr:to>
    <xdr:graphicFrame macro="">
      <xdr:nvGraphicFramePr>
        <xdr:cNvPr id="11" name="Grafico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38100</xdr:colOff>
      <xdr:row>71</xdr:row>
      <xdr:rowOff>38100</xdr:rowOff>
    </xdr:from>
    <xdr:to>
      <xdr:col>17</xdr:col>
      <xdr:colOff>482600</xdr:colOff>
      <xdr:row>85</xdr:row>
      <xdr:rowOff>114300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86</xdr:row>
      <xdr:rowOff>38100</xdr:rowOff>
    </xdr:from>
    <xdr:to>
      <xdr:col>5</xdr:col>
      <xdr:colOff>444500</xdr:colOff>
      <xdr:row>100</xdr:row>
      <xdr:rowOff>114300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520700</xdr:colOff>
      <xdr:row>56</xdr:row>
      <xdr:rowOff>107950</xdr:rowOff>
    </xdr:from>
    <xdr:to>
      <xdr:col>17</xdr:col>
      <xdr:colOff>139700</xdr:colOff>
      <xdr:row>70</xdr:row>
      <xdr:rowOff>184150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K29"/>
  <sheetViews>
    <sheetView topLeftCell="A3" zoomScale="140" zoomScaleNormal="140" zoomScalePageLayoutView="140" workbookViewId="0">
      <selection activeCell="F30" sqref="F30"/>
    </sheetView>
  </sheetViews>
  <sheetFormatPr defaultColWidth="8.85546875" defaultRowHeight="15" x14ac:dyDescent="0.25"/>
  <cols>
    <col min="2" max="2" width="19.42578125" bestFit="1" customWidth="1"/>
    <col min="3" max="3" width="11.42578125" bestFit="1" customWidth="1"/>
    <col min="4" max="4" width="23.7109375" bestFit="1" customWidth="1"/>
    <col min="5" max="6" width="23.7109375" customWidth="1"/>
    <col min="7" max="7" width="11.42578125" bestFit="1" customWidth="1"/>
  </cols>
  <sheetData>
    <row r="3" spans="1:37" ht="21" x14ac:dyDescent="0.35">
      <c r="B3" s="1" t="s">
        <v>0</v>
      </c>
      <c r="C3" s="2" t="s">
        <v>1</v>
      </c>
      <c r="D3" s="3" t="s">
        <v>2</v>
      </c>
      <c r="E3" s="3" t="s">
        <v>599</v>
      </c>
      <c r="F3" s="3" t="s">
        <v>601</v>
      </c>
      <c r="G3" s="3" t="s">
        <v>3</v>
      </c>
      <c r="H3" s="4"/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6"/>
      <c r="U3" s="6"/>
      <c r="V3" s="5"/>
      <c r="W3" s="5"/>
      <c r="X3" s="5"/>
      <c r="Y3" s="5"/>
      <c r="Z3" s="6"/>
      <c r="AA3" s="6"/>
      <c r="AB3" s="6"/>
      <c r="AC3" s="6"/>
      <c r="AD3" s="6"/>
    </row>
    <row r="4" spans="1:37" ht="15.75" x14ac:dyDescent="0.25">
      <c r="B4" s="5" t="s">
        <v>4</v>
      </c>
      <c r="C4" s="7" t="s">
        <v>5</v>
      </c>
      <c r="D4" s="31" t="s">
        <v>53</v>
      </c>
      <c r="E4" s="31" t="s">
        <v>600</v>
      </c>
      <c r="F4" s="31" t="s">
        <v>600</v>
      </c>
      <c r="G4" s="5" t="s">
        <v>6</v>
      </c>
      <c r="H4" s="5" t="s">
        <v>7</v>
      </c>
      <c r="I4" s="5" t="s">
        <v>8</v>
      </c>
      <c r="J4" s="8" t="s">
        <v>9</v>
      </c>
      <c r="K4" s="8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  <c r="S4" s="5" t="s">
        <v>18</v>
      </c>
      <c r="T4" s="5" t="s">
        <v>19</v>
      </c>
      <c r="U4" s="5" t="s">
        <v>20</v>
      </c>
      <c r="V4" s="5" t="s">
        <v>21</v>
      </c>
      <c r="W4" s="5" t="s">
        <v>22</v>
      </c>
      <c r="X4" s="5" t="s">
        <v>23</v>
      </c>
      <c r="Y4" s="5" t="s">
        <v>24</v>
      </c>
      <c r="Z4" s="5" t="s">
        <v>25</v>
      </c>
      <c r="AA4" s="5" t="s">
        <v>26</v>
      </c>
      <c r="AB4" s="5" t="s">
        <v>27</v>
      </c>
      <c r="AC4" s="5" t="s">
        <v>28</v>
      </c>
      <c r="AD4" s="5" t="s">
        <v>29</v>
      </c>
      <c r="AE4" s="5" t="s">
        <v>30</v>
      </c>
    </row>
    <row r="5" spans="1:37" x14ac:dyDescent="0.25">
      <c r="A5">
        <v>1</v>
      </c>
      <c r="B5" t="s">
        <v>117</v>
      </c>
      <c r="C5" t="s">
        <v>523</v>
      </c>
      <c r="D5">
        <v>2</v>
      </c>
      <c r="E5">
        <v>0</v>
      </c>
      <c r="F5">
        <v>0</v>
      </c>
      <c r="G5">
        <v>2</v>
      </c>
      <c r="I5">
        <v>2</v>
      </c>
      <c r="J5" t="s">
        <v>524</v>
      </c>
      <c r="K5">
        <v>36.33</v>
      </c>
      <c r="L5" t="s">
        <v>525</v>
      </c>
      <c r="M5">
        <v>70.23</v>
      </c>
      <c r="N5" t="s">
        <v>526</v>
      </c>
      <c r="O5">
        <v>38.51</v>
      </c>
      <c r="P5" t="s">
        <v>527</v>
      </c>
      <c r="Q5">
        <v>9.19</v>
      </c>
      <c r="R5" t="s">
        <v>528</v>
      </c>
      <c r="S5">
        <v>3.69</v>
      </c>
      <c r="T5" t="s">
        <v>529</v>
      </c>
      <c r="U5">
        <v>2.04</v>
      </c>
      <c r="V5" t="s">
        <v>530</v>
      </c>
      <c r="W5">
        <v>2.5</v>
      </c>
      <c r="X5" t="s">
        <v>531</v>
      </c>
      <c r="Y5">
        <v>2.83</v>
      </c>
      <c r="Z5" t="s">
        <v>532</v>
      </c>
      <c r="AA5">
        <v>6.13</v>
      </c>
      <c r="AB5" t="s">
        <v>533</v>
      </c>
      <c r="AC5">
        <v>5.65</v>
      </c>
      <c r="AD5" t="s">
        <v>534</v>
      </c>
      <c r="AE5">
        <v>5.19</v>
      </c>
      <c r="AF5" t="s">
        <v>535</v>
      </c>
      <c r="AG5">
        <v>2.67</v>
      </c>
    </row>
    <row r="6" spans="1:37" x14ac:dyDescent="0.25">
      <c r="A6">
        <v>2</v>
      </c>
      <c r="B6" t="s">
        <v>103</v>
      </c>
      <c r="C6" t="s">
        <v>456</v>
      </c>
      <c r="D6">
        <v>0</v>
      </c>
      <c r="E6">
        <v>0</v>
      </c>
      <c r="F6">
        <v>0</v>
      </c>
      <c r="G6">
        <v>2</v>
      </c>
      <c r="I6">
        <v>2</v>
      </c>
      <c r="J6" t="s">
        <v>457</v>
      </c>
      <c r="K6">
        <v>600</v>
      </c>
      <c r="L6" t="s">
        <v>458</v>
      </c>
      <c r="M6">
        <v>600</v>
      </c>
      <c r="N6" t="s">
        <v>459</v>
      </c>
      <c r="O6">
        <v>459.4</v>
      </c>
      <c r="P6" t="s">
        <v>460</v>
      </c>
      <c r="Q6">
        <v>89.88</v>
      </c>
      <c r="R6" t="s">
        <v>461</v>
      </c>
      <c r="S6">
        <v>12.75</v>
      </c>
      <c r="T6" t="s">
        <v>462</v>
      </c>
      <c r="U6">
        <v>6.74</v>
      </c>
      <c r="V6" t="s">
        <v>463</v>
      </c>
      <c r="W6">
        <v>7.51</v>
      </c>
      <c r="X6" t="s">
        <v>464</v>
      </c>
      <c r="Y6">
        <v>6.72</v>
      </c>
      <c r="Z6" t="s">
        <v>465</v>
      </c>
      <c r="AA6">
        <v>3.93</v>
      </c>
      <c r="AB6" t="s">
        <v>466</v>
      </c>
      <c r="AC6">
        <v>4.22</v>
      </c>
      <c r="AD6" t="s">
        <v>467</v>
      </c>
      <c r="AE6">
        <v>5.47</v>
      </c>
      <c r="AF6" t="s">
        <v>468</v>
      </c>
      <c r="AG6">
        <v>4.34</v>
      </c>
      <c r="AH6" t="s">
        <v>469</v>
      </c>
      <c r="AI6">
        <v>3.53</v>
      </c>
      <c r="AJ6" t="s">
        <v>470</v>
      </c>
      <c r="AK6">
        <v>2.77</v>
      </c>
    </row>
    <row r="7" spans="1:37" x14ac:dyDescent="0.25">
      <c r="A7">
        <v>3</v>
      </c>
      <c r="B7" t="s">
        <v>105</v>
      </c>
      <c r="C7" t="s">
        <v>445</v>
      </c>
      <c r="D7">
        <v>2</v>
      </c>
      <c r="E7">
        <v>0</v>
      </c>
      <c r="F7">
        <v>0</v>
      </c>
      <c r="G7">
        <v>2</v>
      </c>
      <c r="I7">
        <v>2</v>
      </c>
      <c r="J7" t="s">
        <v>446</v>
      </c>
      <c r="K7">
        <v>135.69999999999999</v>
      </c>
      <c r="L7" t="s">
        <v>447</v>
      </c>
      <c r="M7">
        <v>7.25</v>
      </c>
      <c r="N7" t="s">
        <v>448</v>
      </c>
      <c r="O7">
        <v>400.7</v>
      </c>
      <c r="P7" t="s">
        <v>449</v>
      </c>
      <c r="Q7">
        <v>29</v>
      </c>
      <c r="R7" t="s">
        <v>450</v>
      </c>
      <c r="S7">
        <v>5.93</v>
      </c>
      <c r="T7" t="s">
        <v>451</v>
      </c>
      <c r="U7">
        <v>2.98</v>
      </c>
      <c r="V7" t="s">
        <v>452</v>
      </c>
      <c r="W7">
        <v>2.33</v>
      </c>
      <c r="X7" t="s">
        <v>453</v>
      </c>
      <c r="Y7">
        <v>1.54</v>
      </c>
      <c r="Z7" t="s">
        <v>454</v>
      </c>
      <c r="AA7">
        <v>1.29</v>
      </c>
      <c r="AB7" t="s">
        <v>455</v>
      </c>
      <c r="AC7">
        <v>1.1499999999999999</v>
      </c>
    </row>
    <row r="8" spans="1:37" x14ac:dyDescent="0.25">
      <c r="A8">
        <v>4</v>
      </c>
      <c r="B8" t="s">
        <v>110</v>
      </c>
      <c r="C8" t="s">
        <v>435</v>
      </c>
      <c r="D8">
        <v>0</v>
      </c>
      <c r="E8">
        <v>1</v>
      </c>
      <c r="F8">
        <v>0</v>
      </c>
      <c r="G8">
        <v>2</v>
      </c>
      <c r="I8">
        <v>2</v>
      </c>
      <c r="J8" t="s">
        <v>436</v>
      </c>
      <c r="K8">
        <v>5.46</v>
      </c>
      <c r="L8" t="s">
        <v>437</v>
      </c>
      <c r="M8">
        <v>17.71</v>
      </c>
      <c r="N8" t="s">
        <v>438</v>
      </c>
      <c r="O8">
        <v>20.350000000000001</v>
      </c>
      <c r="P8" t="s">
        <v>439</v>
      </c>
      <c r="Q8">
        <v>6.62</v>
      </c>
      <c r="R8" t="s">
        <v>440</v>
      </c>
      <c r="S8">
        <v>2.2799999999999998</v>
      </c>
      <c r="T8" t="s">
        <v>441</v>
      </c>
      <c r="U8">
        <v>1.56</v>
      </c>
      <c r="V8" t="s">
        <v>442</v>
      </c>
      <c r="W8">
        <v>1.58</v>
      </c>
      <c r="X8" t="s">
        <v>443</v>
      </c>
      <c r="Y8">
        <v>1.72</v>
      </c>
      <c r="Z8" t="s">
        <v>444</v>
      </c>
      <c r="AA8">
        <v>1.87</v>
      </c>
    </row>
    <row r="9" spans="1:37" x14ac:dyDescent="0.25">
      <c r="A9">
        <v>5</v>
      </c>
      <c r="B9" t="s">
        <v>121</v>
      </c>
      <c r="C9" t="s">
        <v>166</v>
      </c>
      <c r="D9">
        <v>0</v>
      </c>
      <c r="E9">
        <v>1</v>
      </c>
      <c r="F9">
        <v>0</v>
      </c>
      <c r="G9">
        <v>1</v>
      </c>
      <c r="I9">
        <v>2</v>
      </c>
      <c r="J9" t="s">
        <v>167</v>
      </c>
      <c r="K9">
        <v>24.14</v>
      </c>
      <c r="L9" t="s">
        <v>168</v>
      </c>
      <c r="M9">
        <v>31.89</v>
      </c>
      <c r="N9" t="s">
        <v>169</v>
      </c>
      <c r="O9">
        <v>34.93</v>
      </c>
      <c r="P9" t="s">
        <v>170</v>
      </c>
      <c r="Q9">
        <v>19.850000000000001</v>
      </c>
      <c r="R9" t="s">
        <v>171</v>
      </c>
      <c r="S9">
        <v>7.36</v>
      </c>
      <c r="T9" t="s">
        <v>172</v>
      </c>
      <c r="U9">
        <v>3</v>
      </c>
      <c r="V9" t="s">
        <v>173</v>
      </c>
      <c r="W9">
        <v>2.94</v>
      </c>
      <c r="X9" t="s">
        <v>174</v>
      </c>
      <c r="Y9">
        <v>2.67</v>
      </c>
      <c r="Z9" t="s">
        <v>175</v>
      </c>
      <c r="AA9">
        <v>3.08</v>
      </c>
    </row>
    <row r="10" spans="1:37" x14ac:dyDescent="0.25">
      <c r="A10">
        <v>6</v>
      </c>
      <c r="B10" t="s">
        <v>122</v>
      </c>
      <c r="C10" t="s">
        <v>154</v>
      </c>
      <c r="D10">
        <v>0</v>
      </c>
      <c r="E10">
        <v>1</v>
      </c>
      <c r="F10">
        <v>0</v>
      </c>
      <c r="G10">
        <v>2</v>
      </c>
      <c r="I10">
        <v>2</v>
      </c>
      <c r="J10" t="s">
        <v>155</v>
      </c>
      <c r="K10">
        <v>114.4</v>
      </c>
      <c r="L10" t="s">
        <v>158</v>
      </c>
      <c r="M10">
        <v>387.3</v>
      </c>
      <c r="N10" t="s">
        <v>156</v>
      </c>
      <c r="O10">
        <v>125.6</v>
      </c>
      <c r="P10" t="s">
        <v>157</v>
      </c>
      <c r="Q10">
        <v>184.2</v>
      </c>
      <c r="R10" t="s">
        <v>159</v>
      </c>
      <c r="S10">
        <v>49.45</v>
      </c>
      <c r="T10" t="s">
        <v>160</v>
      </c>
      <c r="U10">
        <v>8.33</v>
      </c>
      <c r="V10" t="s">
        <v>161</v>
      </c>
      <c r="W10">
        <v>5.94</v>
      </c>
      <c r="X10" t="s">
        <v>162</v>
      </c>
      <c r="Y10">
        <v>4.84</v>
      </c>
      <c r="Z10" t="s">
        <v>163</v>
      </c>
      <c r="AA10">
        <v>2.69</v>
      </c>
      <c r="AB10" t="s">
        <v>164</v>
      </c>
      <c r="AC10">
        <v>2.2400000000000002</v>
      </c>
      <c r="AD10" t="s">
        <v>165</v>
      </c>
      <c r="AE10">
        <v>2.36</v>
      </c>
    </row>
    <row r="11" spans="1:37" x14ac:dyDescent="0.25">
      <c r="A11">
        <v>7</v>
      </c>
      <c r="B11" t="s">
        <v>123</v>
      </c>
      <c r="C11" s="10">
        <v>42338</v>
      </c>
      <c r="D11">
        <v>0</v>
      </c>
      <c r="E11">
        <v>0</v>
      </c>
      <c r="F11">
        <v>0</v>
      </c>
      <c r="G11">
        <v>1</v>
      </c>
      <c r="I11">
        <v>2</v>
      </c>
      <c r="J11" t="s">
        <v>148</v>
      </c>
      <c r="K11">
        <v>105.6</v>
      </c>
      <c r="L11" t="s">
        <v>149</v>
      </c>
      <c r="M11">
        <v>299.60000000000002</v>
      </c>
      <c r="N11" t="s">
        <v>150</v>
      </c>
      <c r="O11">
        <v>171.9</v>
      </c>
      <c r="P11" t="s">
        <v>151</v>
      </c>
      <c r="Q11">
        <v>12.88</v>
      </c>
      <c r="R11" t="s">
        <v>152</v>
      </c>
      <c r="S11">
        <v>3.43</v>
      </c>
      <c r="T11" t="s">
        <v>153</v>
      </c>
      <c r="U11">
        <v>1.64</v>
      </c>
    </row>
    <row r="12" spans="1:37" x14ac:dyDescent="0.25">
      <c r="A12">
        <v>8</v>
      </c>
      <c r="B12" t="s">
        <v>125</v>
      </c>
      <c r="C12" t="s">
        <v>126</v>
      </c>
      <c r="D12">
        <v>0</v>
      </c>
      <c r="E12">
        <v>0</v>
      </c>
      <c r="F12">
        <v>0</v>
      </c>
      <c r="G12">
        <v>2</v>
      </c>
      <c r="I12">
        <v>2</v>
      </c>
      <c r="J12" t="s">
        <v>127</v>
      </c>
      <c r="K12">
        <v>48.95</v>
      </c>
      <c r="L12" t="s">
        <v>128</v>
      </c>
      <c r="M12" t="s">
        <v>129</v>
      </c>
      <c r="N12" t="s">
        <v>130</v>
      </c>
      <c r="O12">
        <v>184.1</v>
      </c>
      <c r="P12" t="s">
        <v>131</v>
      </c>
      <c r="Q12">
        <v>17.78</v>
      </c>
      <c r="R12" t="s">
        <v>132</v>
      </c>
      <c r="S12">
        <v>4.67</v>
      </c>
      <c r="T12" t="s">
        <v>133</v>
      </c>
      <c r="U12">
        <v>2.0299999999999998</v>
      </c>
      <c r="V12" t="s">
        <v>134</v>
      </c>
      <c r="W12">
        <v>1.76</v>
      </c>
      <c r="X12" t="s">
        <v>135</v>
      </c>
      <c r="Y12">
        <v>1.73</v>
      </c>
      <c r="Z12" t="s">
        <v>136</v>
      </c>
      <c r="AA12">
        <v>1.75</v>
      </c>
      <c r="AB12" t="s">
        <v>137</v>
      </c>
      <c r="AC12">
        <v>1.56</v>
      </c>
      <c r="AD12" t="s">
        <v>138</v>
      </c>
      <c r="AE12">
        <v>1.3</v>
      </c>
      <c r="AF12" t="s">
        <v>139</v>
      </c>
      <c r="AG12">
        <v>1.31</v>
      </c>
    </row>
    <row r="13" spans="1:37" x14ac:dyDescent="0.25">
      <c r="A13">
        <v>9</v>
      </c>
      <c r="B13" t="s">
        <v>192</v>
      </c>
      <c r="C13" t="s">
        <v>193</v>
      </c>
      <c r="D13">
        <v>0</v>
      </c>
      <c r="E13">
        <v>0</v>
      </c>
      <c r="F13">
        <v>0</v>
      </c>
      <c r="G13">
        <v>2</v>
      </c>
      <c r="I13">
        <v>2</v>
      </c>
      <c r="J13" t="s">
        <v>194</v>
      </c>
      <c r="K13">
        <v>121.9</v>
      </c>
      <c r="L13" t="s">
        <v>195</v>
      </c>
      <c r="M13" t="s">
        <v>129</v>
      </c>
      <c r="N13" t="s">
        <v>196</v>
      </c>
      <c r="O13">
        <v>205.4</v>
      </c>
      <c r="P13" t="s">
        <v>197</v>
      </c>
      <c r="Q13">
        <v>61.94</v>
      </c>
      <c r="R13" t="s">
        <v>198</v>
      </c>
      <c r="S13">
        <v>11.91</v>
      </c>
      <c r="T13" t="s">
        <v>200</v>
      </c>
      <c r="U13">
        <v>5.6</v>
      </c>
      <c r="V13" t="s">
        <v>199</v>
      </c>
      <c r="W13">
        <v>3.37</v>
      </c>
      <c r="X13" t="s">
        <v>201</v>
      </c>
      <c r="Y13">
        <v>2.94</v>
      </c>
      <c r="Z13" t="s">
        <v>202</v>
      </c>
      <c r="AA13">
        <v>3.86</v>
      </c>
      <c r="AB13" t="s">
        <v>203</v>
      </c>
      <c r="AC13">
        <v>59.68</v>
      </c>
      <c r="AD13" t="s">
        <v>204</v>
      </c>
      <c r="AE13">
        <v>54.25</v>
      </c>
      <c r="AF13" t="s">
        <v>205</v>
      </c>
      <c r="AG13">
        <v>35.74</v>
      </c>
      <c r="AH13" t="s">
        <v>206</v>
      </c>
      <c r="AI13">
        <v>5.72</v>
      </c>
      <c r="AJ13" t="s">
        <v>207</v>
      </c>
      <c r="AK13">
        <v>4.74</v>
      </c>
    </row>
    <row r="14" spans="1:37" x14ac:dyDescent="0.25">
      <c r="A14">
        <v>10</v>
      </c>
      <c r="B14" t="s">
        <v>252</v>
      </c>
      <c r="C14" t="s">
        <v>253</v>
      </c>
      <c r="D14">
        <v>0</v>
      </c>
      <c r="E14">
        <v>0</v>
      </c>
      <c r="F14">
        <v>0</v>
      </c>
      <c r="G14">
        <v>2</v>
      </c>
      <c r="I14">
        <v>2</v>
      </c>
      <c r="J14" t="s">
        <v>254</v>
      </c>
      <c r="K14">
        <v>215.8</v>
      </c>
      <c r="L14" t="s">
        <v>255</v>
      </c>
      <c r="M14">
        <v>288.89999999999998</v>
      </c>
      <c r="N14" t="s">
        <v>256</v>
      </c>
      <c r="O14">
        <v>170.5</v>
      </c>
      <c r="P14" t="s">
        <v>257</v>
      </c>
      <c r="Q14">
        <v>16.8</v>
      </c>
      <c r="R14" t="s">
        <v>258</v>
      </c>
      <c r="S14">
        <v>4.96</v>
      </c>
      <c r="T14" t="s">
        <v>259</v>
      </c>
      <c r="U14">
        <v>3.41</v>
      </c>
      <c r="V14" t="s">
        <v>260</v>
      </c>
      <c r="W14">
        <v>3.4</v>
      </c>
      <c r="X14" t="s">
        <v>261</v>
      </c>
      <c r="Y14">
        <v>3.26</v>
      </c>
      <c r="Z14" t="s">
        <v>262</v>
      </c>
      <c r="AA14">
        <v>3.01</v>
      </c>
      <c r="AB14" t="s">
        <v>263</v>
      </c>
      <c r="AC14">
        <v>2.5499999999999998</v>
      </c>
    </row>
    <row r="15" spans="1:37" x14ac:dyDescent="0.25">
      <c r="A15">
        <v>11</v>
      </c>
      <c r="B15" t="s">
        <v>264</v>
      </c>
      <c r="C15" t="s">
        <v>265</v>
      </c>
      <c r="D15">
        <v>2</v>
      </c>
      <c r="E15">
        <v>0</v>
      </c>
      <c r="F15">
        <v>0</v>
      </c>
      <c r="G15">
        <v>2</v>
      </c>
      <c r="I15">
        <v>2</v>
      </c>
      <c r="J15" t="s">
        <v>266</v>
      </c>
      <c r="K15">
        <v>203.8</v>
      </c>
      <c r="L15" t="s">
        <v>267</v>
      </c>
      <c r="M15">
        <v>290.3</v>
      </c>
      <c r="N15" t="s">
        <v>268</v>
      </c>
      <c r="O15">
        <v>93.66</v>
      </c>
      <c r="P15" t="s">
        <v>269</v>
      </c>
      <c r="Q15">
        <v>11.9</v>
      </c>
      <c r="R15" t="s">
        <v>270</v>
      </c>
      <c r="S15">
        <v>5.93</v>
      </c>
      <c r="T15" t="s">
        <v>271</v>
      </c>
      <c r="U15">
        <v>5.28</v>
      </c>
      <c r="V15" t="s">
        <v>272</v>
      </c>
      <c r="W15">
        <v>3.94</v>
      </c>
      <c r="X15" t="s">
        <v>273</v>
      </c>
      <c r="Y15">
        <v>3.64</v>
      </c>
      <c r="Z15" t="s">
        <v>274</v>
      </c>
      <c r="AA15">
        <v>2.83</v>
      </c>
      <c r="AB15" t="s">
        <v>275</v>
      </c>
      <c r="AC15">
        <v>2.4300000000000002</v>
      </c>
    </row>
    <row r="16" spans="1:37" x14ac:dyDescent="0.25">
      <c r="A16">
        <v>12</v>
      </c>
      <c r="B16" t="s">
        <v>276</v>
      </c>
      <c r="C16" t="s">
        <v>277</v>
      </c>
      <c r="D16">
        <v>0</v>
      </c>
      <c r="E16">
        <v>1</v>
      </c>
      <c r="F16">
        <v>1</v>
      </c>
      <c r="G16">
        <v>2</v>
      </c>
      <c r="I16">
        <v>1</v>
      </c>
      <c r="J16" t="s">
        <v>278</v>
      </c>
      <c r="K16">
        <v>31.5</v>
      </c>
      <c r="L16" t="s">
        <v>279</v>
      </c>
      <c r="M16">
        <v>26.33</v>
      </c>
      <c r="N16" t="s">
        <v>280</v>
      </c>
      <c r="O16">
        <v>35.67</v>
      </c>
      <c r="P16" t="s">
        <v>281</v>
      </c>
      <c r="Q16">
        <v>14.45</v>
      </c>
      <c r="R16" t="s">
        <v>282</v>
      </c>
      <c r="S16">
        <v>14.45</v>
      </c>
      <c r="T16" t="s">
        <v>283</v>
      </c>
      <c r="U16">
        <v>8.5</v>
      </c>
      <c r="V16" t="s">
        <v>284</v>
      </c>
      <c r="W16">
        <v>3.8</v>
      </c>
      <c r="X16" t="s">
        <v>285</v>
      </c>
      <c r="Y16">
        <v>2.2000000000000002</v>
      </c>
      <c r="Z16" t="s">
        <v>286</v>
      </c>
      <c r="AA16">
        <v>2.1800000000000002</v>
      </c>
      <c r="AB16" t="s">
        <v>287</v>
      </c>
      <c r="AC16">
        <v>2.0099999999999998</v>
      </c>
    </row>
    <row r="17" spans="1:33" x14ac:dyDescent="0.25">
      <c r="A17">
        <v>13</v>
      </c>
      <c r="B17" t="s">
        <v>288</v>
      </c>
      <c r="C17" t="s">
        <v>289</v>
      </c>
      <c r="D17">
        <v>0</v>
      </c>
      <c r="E17">
        <v>0</v>
      </c>
      <c r="F17">
        <v>0</v>
      </c>
      <c r="G17">
        <v>2</v>
      </c>
      <c r="I17">
        <v>2</v>
      </c>
      <c r="J17" t="s">
        <v>290</v>
      </c>
      <c r="K17">
        <v>28.32</v>
      </c>
      <c r="L17" t="s">
        <v>291</v>
      </c>
      <c r="M17">
        <v>49.33</v>
      </c>
      <c r="N17" t="s">
        <v>292</v>
      </c>
      <c r="O17">
        <v>58.12</v>
      </c>
      <c r="P17" t="s">
        <v>293</v>
      </c>
      <c r="Q17">
        <v>2.87</v>
      </c>
      <c r="R17" t="s">
        <v>294</v>
      </c>
      <c r="S17">
        <v>1.99</v>
      </c>
      <c r="T17" t="s">
        <v>295</v>
      </c>
      <c r="U17">
        <v>3.12</v>
      </c>
      <c r="V17" t="s">
        <v>296</v>
      </c>
      <c r="W17">
        <v>4.0599999999999996</v>
      </c>
      <c r="X17" t="s">
        <v>297</v>
      </c>
      <c r="Y17">
        <v>3.82</v>
      </c>
    </row>
    <row r="18" spans="1:33" x14ac:dyDescent="0.25">
      <c r="A18">
        <v>14</v>
      </c>
      <c r="B18" t="s">
        <v>299</v>
      </c>
      <c r="C18" t="s">
        <v>300</v>
      </c>
      <c r="D18">
        <v>1</v>
      </c>
      <c r="E18">
        <v>0</v>
      </c>
      <c r="F18">
        <v>0</v>
      </c>
      <c r="G18">
        <v>2</v>
      </c>
      <c r="I18">
        <v>2</v>
      </c>
      <c r="J18" t="s">
        <v>301</v>
      </c>
      <c r="K18">
        <v>2.83</v>
      </c>
      <c r="L18" t="s">
        <v>304</v>
      </c>
      <c r="M18">
        <v>3.86</v>
      </c>
      <c r="N18" t="s">
        <v>302</v>
      </c>
      <c r="O18">
        <v>5.73</v>
      </c>
      <c r="P18" t="s">
        <v>303</v>
      </c>
      <c r="Q18">
        <v>3.4</v>
      </c>
      <c r="R18" t="s">
        <v>305</v>
      </c>
      <c r="S18">
        <v>1.59</v>
      </c>
      <c r="T18" t="s">
        <v>306</v>
      </c>
      <c r="U18">
        <v>1.19</v>
      </c>
      <c r="V18" t="s">
        <v>307</v>
      </c>
      <c r="W18">
        <v>0.88</v>
      </c>
    </row>
    <row r="19" spans="1:33" x14ac:dyDescent="0.25">
      <c r="A19">
        <v>15</v>
      </c>
      <c r="B19" t="s">
        <v>308</v>
      </c>
      <c r="C19" t="s">
        <v>309</v>
      </c>
      <c r="D19">
        <v>1</v>
      </c>
      <c r="E19">
        <v>0</v>
      </c>
      <c r="F19">
        <v>0</v>
      </c>
      <c r="G19">
        <v>2</v>
      </c>
      <c r="I19">
        <v>2</v>
      </c>
      <c r="J19" t="s">
        <v>311</v>
      </c>
      <c r="K19">
        <v>254.7</v>
      </c>
      <c r="L19" t="s">
        <v>310</v>
      </c>
      <c r="M19">
        <v>277.2</v>
      </c>
      <c r="N19" t="s">
        <v>312</v>
      </c>
      <c r="O19">
        <v>166.6</v>
      </c>
      <c r="P19" t="s">
        <v>313</v>
      </c>
      <c r="Q19">
        <v>23.28</v>
      </c>
      <c r="R19" t="s">
        <v>314</v>
      </c>
      <c r="S19">
        <v>12.19</v>
      </c>
      <c r="T19" t="s">
        <v>316</v>
      </c>
      <c r="U19">
        <v>7.88</v>
      </c>
      <c r="V19" t="s">
        <v>315</v>
      </c>
      <c r="W19" t="s">
        <v>317</v>
      </c>
      <c r="X19">
        <v>5.22</v>
      </c>
    </row>
    <row r="20" spans="1:33" x14ac:dyDescent="0.25">
      <c r="A20">
        <v>16</v>
      </c>
      <c r="B20" t="s">
        <v>318</v>
      </c>
      <c r="C20" t="s">
        <v>319</v>
      </c>
      <c r="D20">
        <v>2</v>
      </c>
      <c r="E20">
        <v>0</v>
      </c>
      <c r="F20">
        <v>0</v>
      </c>
      <c r="G20">
        <v>2</v>
      </c>
      <c r="I20">
        <v>2</v>
      </c>
      <c r="J20" t="s">
        <v>320</v>
      </c>
      <c r="K20">
        <v>58.85</v>
      </c>
      <c r="L20" t="s">
        <v>321</v>
      </c>
      <c r="M20">
        <v>73.599999999999994</v>
      </c>
      <c r="N20" t="s">
        <v>322</v>
      </c>
      <c r="O20">
        <v>62.28</v>
      </c>
      <c r="P20" t="s">
        <v>323</v>
      </c>
      <c r="Q20">
        <v>13.02</v>
      </c>
      <c r="R20" t="s">
        <v>324</v>
      </c>
      <c r="S20">
        <v>3.95</v>
      </c>
      <c r="T20" t="s">
        <v>325</v>
      </c>
      <c r="U20">
        <v>4.99</v>
      </c>
      <c r="V20" t="s">
        <v>326</v>
      </c>
      <c r="W20">
        <v>3.58</v>
      </c>
      <c r="X20" t="s">
        <v>327</v>
      </c>
      <c r="Y20">
        <v>2.56</v>
      </c>
    </row>
    <row r="21" spans="1:33" x14ac:dyDescent="0.25">
      <c r="A21">
        <v>17</v>
      </c>
      <c r="B21" t="s">
        <v>329</v>
      </c>
      <c r="C21" t="s">
        <v>328</v>
      </c>
      <c r="D21">
        <v>1</v>
      </c>
      <c r="E21">
        <v>1</v>
      </c>
      <c r="F21">
        <v>0</v>
      </c>
      <c r="G21">
        <v>2</v>
      </c>
      <c r="I21">
        <v>2</v>
      </c>
      <c r="J21" t="s">
        <v>330</v>
      </c>
      <c r="K21">
        <v>27.61</v>
      </c>
      <c r="L21" t="s">
        <v>331</v>
      </c>
      <c r="M21">
        <v>18.3</v>
      </c>
      <c r="N21" t="s">
        <v>332</v>
      </c>
      <c r="O21">
        <v>10.89</v>
      </c>
      <c r="P21" t="s">
        <v>333</v>
      </c>
      <c r="Q21">
        <v>3.94</v>
      </c>
      <c r="R21" t="s">
        <v>334</v>
      </c>
      <c r="S21">
        <v>2.48</v>
      </c>
    </row>
    <row r="22" spans="1:33" x14ac:dyDescent="0.25">
      <c r="A22">
        <v>18</v>
      </c>
      <c r="B22" t="s">
        <v>335</v>
      </c>
      <c r="C22" t="s">
        <v>336</v>
      </c>
      <c r="D22">
        <v>2</v>
      </c>
      <c r="E22">
        <v>0</v>
      </c>
      <c r="F22">
        <v>0</v>
      </c>
      <c r="G22">
        <v>1</v>
      </c>
      <c r="I22">
        <v>2</v>
      </c>
      <c r="J22" t="s">
        <v>337</v>
      </c>
      <c r="K22">
        <v>263.2</v>
      </c>
      <c r="L22" t="s">
        <v>338</v>
      </c>
      <c r="M22">
        <v>514.5</v>
      </c>
      <c r="N22" t="s">
        <v>340</v>
      </c>
      <c r="O22">
        <v>284.5</v>
      </c>
      <c r="P22" t="s">
        <v>339</v>
      </c>
      <c r="Q22">
        <v>31.52</v>
      </c>
      <c r="R22" t="s">
        <v>341</v>
      </c>
      <c r="S22">
        <v>4.03</v>
      </c>
      <c r="T22" t="s">
        <v>342</v>
      </c>
      <c r="U22">
        <v>4.47</v>
      </c>
      <c r="V22" t="s">
        <v>343</v>
      </c>
      <c r="W22">
        <v>3.94</v>
      </c>
      <c r="X22" t="s">
        <v>344</v>
      </c>
      <c r="Y22">
        <v>2.86</v>
      </c>
      <c r="Z22" t="s">
        <v>345</v>
      </c>
      <c r="AA22">
        <v>3</v>
      </c>
    </row>
    <row r="23" spans="1:33" x14ac:dyDescent="0.25">
      <c r="A23">
        <v>19</v>
      </c>
      <c r="B23" t="s">
        <v>346</v>
      </c>
      <c r="C23" t="s">
        <v>347</v>
      </c>
      <c r="D23">
        <v>1</v>
      </c>
      <c r="E23">
        <v>0</v>
      </c>
      <c r="F23">
        <v>0</v>
      </c>
      <c r="G23">
        <v>1</v>
      </c>
      <c r="I23">
        <v>2</v>
      </c>
      <c r="J23" t="s">
        <v>348</v>
      </c>
      <c r="K23">
        <v>99.78</v>
      </c>
      <c r="L23" t="s">
        <v>349</v>
      </c>
      <c r="M23">
        <v>244.6</v>
      </c>
      <c r="N23" t="s">
        <v>350</v>
      </c>
      <c r="O23">
        <v>86.71</v>
      </c>
      <c r="P23" t="s">
        <v>351</v>
      </c>
      <c r="Q23">
        <v>11.81</v>
      </c>
      <c r="R23" t="s">
        <v>352</v>
      </c>
      <c r="S23">
        <v>3.89</v>
      </c>
      <c r="T23" t="s">
        <v>353</v>
      </c>
      <c r="U23">
        <v>2.21</v>
      </c>
      <c r="V23" t="s">
        <v>354</v>
      </c>
      <c r="W23">
        <v>1.81</v>
      </c>
      <c r="X23" t="s">
        <v>355</v>
      </c>
      <c r="Y23">
        <v>1.57</v>
      </c>
      <c r="Z23" t="s">
        <v>356</v>
      </c>
      <c r="AA23">
        <v>3.21</v>
      </c>
      <c r="AB23" t="s">
        <v>357</v>
      </c>
      <c r="AC23">
        <v>1.42</v>
      </c>
      <c r="AD23" t="s">
        <v>358</v>
      </c>
      <c r="AE23">
        <v>0.99</v>
      </c>
      <c r="AF23" t="s">
        <v>359</v>
      </c>
      <c r="AG23">
        <v>0.93</v>
      </c>
    </row>
    <row r="24" spans="1:33" x14ac:dyDescent="0.25">
      <c r="A24">
        <v>20</v>
      </c>
      <c r="B24" t="s">
        <v>298</v>
      </c>
      <c r="C24" t="s">
        <v>360</v>
      </c>
      <c r="D24">
        <v>1</v>
      </c>
      <c r="E24">
        <v>1</v>
      </c>
      <c r="F24">
        <v>0</v>
      </c>
      <c r="G24">
        <v>2</v>
      </c>
      <c r="I24">
        <v>2</v>
      </c>
      <c r="J24" t="s">
        <v>361</v>
      </c>
      <c r="K24">
        <v>103.4</v>
      </c>
      <c r="L24" t="s">
        <v>362</v>
      </c>
      <c r="M24">
        <v>74.25</v>
      </c>
      <c r="N24" t="s">
        <v>363</v>
      </c>
      <c r="O24">
        <v>34.880000000000003</v>
      </c>
      <c r="P24" t="s">
        <v>364</v>
      </c>
      <c r="Q24">
        <v>5.97</v>
      </c>
      <c r="R24" t="s">
        <v>365</v>
      </c>
      <c r="S24">
        <v>1.85</v>
      </c>
      <c r="T24" t="s">
        <v>366</v>
      </c>
      <c r="U24">
        <v>2.4900000000000002</v>
      </c>
    </row>
    <row r="25" spans="1:33" x14ac:dyDescent="0.25">
      <c r="A25">
        <v>21</v>
      </c>
      <c r="B25" t="s">
        <v>367</v>
      </c>
      <c r="C25" t="s">
        <v>369</v>
      </c>
      <c r="D25">
        <v>1</v>
      </c>
      <c r="E25">
        <v>0</v>
      </c>
      <c r="F25">
        <v>0</v>
      </c>
      <c r="G25">
        <v>2</v>
      </c>
      <c r="I25">
        <v>2</v>
      </c>
      <c r="J25" t="s">
        <v>368</v>
      </c>
      <c r="K25">
        <v>547.5</v>
      </c>
      <c r="L25" t="s">
        <v>371</v>
      </c>
      <c r="M25">
        <v>495.6</v>
      </c>
      <c r="N25" t="s">
        <v>370</v>
      </c>
      <c r="O25">
        <v>275.5</v>
      </c>
      <c r="P25" t="s">
        <v>372</v>
      </c>
      <c r="Q25">
        <v>87.33</v>
      </c>
      <c r="R25" t="s">
        <v>373</v>
      </c>
      <c r="S25">
        <v>24.35</v>
      </c>
      <c r="T25" t="s">
        <v>374</v>
      </c>
      <c r="U25">
        <v>5.18</v>
      </c>
      <c r="V25" t="s">
        <v>376</v>
      </c>
      <c r="W25">
        <v>2.59</v>
      </c>
      <c r="X25" t="s">
        <v>375</v>
      </c>
      <c r="Y25">
        <v>3.28</v>
      </c>
      <c r="Z25" t="s">
        <v>377</v>
      </c>
      <c r="AA25">
        <v>2.82</v>
      </c>
    </row>
    <row r="26" spans="1:33" x14ac:dyDescent="0.25">
      <c r="A26">
        <v>22</v>
      </c>
      <c r="B26" t="s">
        <v>102</v>
      </c>
      <c r="C26" t="s">
        <v>505</v>
      </c>
      <c r="D26">
        <v>0</v>
      </c>
      <c r="E26">
        <v>0</v>
      </c>
      <c r="F26">
        <v>0</v>
      </c>
      <c r="G26">
        <v>2</v>
      </c>
      <c r="I26">
        <v>2</v>
      </c>
      <c r="J26" t="s">
        <v>507</v>
      </c>
      <c r="K26">
        <v>219.6</v>
      </c>
      <c r="L26" t="s">
        <v>506</v>
      </c>
      <c r="M26">
        <v>424</v>
      </c>
      <c r="N26" t="s">
        <v>508</v>
      </c>
      <c r="O26">
        <v>277.39999999999998</v>
      </c>
      <c r="P26" t="s">
        <v>509</v>
      </c>
      <c r="Q26">
        <v>24.05</v>
      </c>
      <c r="R26" t="s">
        <v>510</v>
      </c>
      <c r="S26">
        <v>5.76</v>
      </c>
      <c r="T26" t="s">
        <v>511</v>
      </c>
      <c r="U26">
        <v>3.07</v>
      </c>
      <c r="V26" t="s">
        <v>512</v>
      </c>
      <c r="W26">
        <v>2.35</v>
      </c>
    </row>
    <row r="27" spans="1:33" x14ac:dyDescent="0.25">
      <c r="A27">
        <v>23</v>
      </c>
      <c r="B27" t="s">
        <v>114</v>
      </c>
      <c r="C27" t="s">
        <v>481</v>
      </c>
      <c r="D27">
        <v>0</v>
      </c>
      <c r="E27">
        <v>0</v>
      </c>
      <c r="F27">
        <v>1</v>
      </c>
      <c r="G27">
        <v>2</v>
      </c>
      <c r="I27">
        <v>2</v>
      </c>
      <c r="J27" t="s">
        <v>482</v>
      </c>
      <c r="K27">
        <v>265.89999999999998</v>
      </c>
      <c r="L27" t="s">
        <v>483</v>
      </c>
      <c r="M27">
        <v>589.79999999999995</v>
      </c>
      <c r="N27" t="s">
        <v>484</v>
      </c>
      <c r="O27">
        <v>296</v>
      </c>
      <c r="P27" t="s">
        <v>485</v>
      </c>
      <c r="Q27">
        <v>30.8</v>
      </c>
      <c r="R27" t="s">
        <v>486</v>
      </c>
      <c r="S27">
        <v>8.67</v>
      </c>
      <c r="T27" t="s">
        <v>487</v>
      </c>
      <c r="U27">
        <v>5.17</v>
      </c>
      <c r="V27" t="s">
        <v>488</v>
      </c>
      <c r="W27">
        <v>3.53</v>
      </c>
      <c r="X27" t="s">
        <v>489</v>
      </c>
      <c r="Y27">
        <v>3.3</v>
      </c>
    </row>
    <row r="28" spans="1:33" x14ac:dyDescent="0.25">
      <c r="A28">
        <v>24</v>
      </c>
      <c r="B28" t="s">
        <v>115</v>
      </c>
      <c r="C28" t="s">
        <v>536</v>
      </c>
      <c r="D28">
        <v>0</v>
      </c>
      <c r="E28">
        <v>0</v>
      </c>
      <c r="F28">
        <v>0</v>
      </c>
      <c r="G28">
        <v>1</v>
      </c>
      <c r="I28">
        <v>2</v>
      </c>
      <c r="J28" t="s">
        <v>471</v>
      </c>
      <c r="K28">
        <v>90.09</v>
      </c>
      <c r="L28" t="s">
        <v>472</v>
      </c>
      <c r="M28">
        <v>230.2</v>
      </c>
      <c r="N28" t="s">
        <v>473</v>
      </c>
      <c r="O28">
        <v>116.3</v>
      </c>
      <c r="P28" t="s">
        <v>474</v>
      </c>
      <c r="Q28">
        <v>33.64</v>
      </c>
      <c r="R28" t="s">
        <v>475</v>
      </c>
      <c r="S28">
        <v>7.73</v>
      </c>
      <c r="T28" t="s">
        <v>476</v>
      </c>
      <c r="U28">
        <v>3.27</v>
      </c>
      <c r="V28" t="s">
        <v>477</v>
      </c>
      <c r="W28">
        <v>1.87</v>
      </c>
      <c r="X28" t="s">
        <v>478</v>
      </c>
      <c r="Y28">
        <v>1.52</v>
      </c>
      <c r="Z28" t="s">
        <v>479</v>
      </c>
      <c r="AA28">
        <v>1.65</v>
      </c>
      <c r="AB28" t="s">
        <v>480</v>
      </c>
      <c r="AC28">
        <v>1.61</v>
      </c>
    </row>
    <row r="29" spans="1:33" x14ac:dyDescent="0.25">
      <c r="A29">
        <v>25</v>
      </c>
      <c r="B29" t="s">
        <v>116</v>
      </c>
      <c r="C29" t="s">
        <v>513</v>
      </c>
      <c r="D29">
        <v>0</v>
      </c>
      <c r="E29">
        <v>0</v>
      </c>
      <c r="F29">
        <v>0</v>
      </c>
      <c r="G29">
        <v>2</v>
      </c>
      <c r="I29">
        <v>2</v>
      </c>
      <c r="J29" t="s">
        <v>514</v>
      </c>
      <c r="K29">
        <v>234.4</v>
      </c>
      <c r="L29" t="s">
        <v>515</v>
      </c>
      <c r="M29">
        <v>274.5</v>
      </c>
      <c r="N29" t="s">
        <v>516</v>
      </c>
      <c r="O29">
        <v>138.4</v>
      </c>
      <c r="P29" t="s">
        <v>517</v>
      </c>
      <c r="Q29">
        <v>17.739999999999998</v>
      </c>
      <c r="R29" t="s">
        <v>518</v>
      </c>
      <c r="S29">
        <v>5.93</v>
      </c>
      <c r="T29" t="s">
        <v>519</v>
      </c>
      <c r="U29">
        <v>3.15</v>
      </c>
      <c r="V29" t="s">
        <v>520</v>
      </c>
      <c r="W29">
        <v>2.31</v>
      </c>
      <c r="X29" t="s">
        <v>521</v>
      </c>
      <c r="Y29">
        <v>2.34</v>
      </c>
      <c r="Z29" t="s">
        <v>522</v>
      </c>
      <c r="AA29">
        <v>2.23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AD42"/>
  <sheetViews>
    <sheetView topLeftCell="B16" zoomScale="140" zoomScaleNormal="140" zoomScalePageLayoutView="140" workbookViewId="0">
      <selection activeCell="C28" sqref="C28"/>
    </sheetView>
  </sheetViews>
  <sheetFormatPr defaultColWidth="8.85546875" defaultRowHeight="15" x14ac:dyDescent="0.25"/>
  <cols>
    <col min="2" max="2" width="20.28515625" bestFit="1" customWidth="1"/>
    <col min="3" max="3" width="30" customWidth="1"/>
    <col min="4" max="4" width="18.7109375" customWidth="1"/>
    <col min="5" max="5" width="8.28515625" bestFit="1" customWidth="1"/>
    <col min="6" max="6" width="12" customWidth="1"/>
    <col min="15" max="15" width="22.42578125" bestFit="1" customWidth="1"/>
  </cols>
  <sheetData>
    <row r="3" spans="1:30" x14ac:dyDescent="0.25">
      <c r="B3" s="9" t="s">
        <v>0</v>
      </c>
      <c r="C3" s="9" t="s">
        <v>1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30" x14ac:dyDescent="0.25">
      <c r="B4" s="9" t="s">
        <v>4</v>
      </c>
      <c r="C4" s="9" t="s">
        <v>5</v>
      </c>
      <c r="D4" s="9" t="s">
        <v>31</v>
      </c>
      <c r="E4" s="9" t="s">
        <v>7</v>
      </c>
      <c r="F4" s="9" t="s">
        <v>32</v>
      </c>
      <c r="G4" s="9" t="s">
        <v>9</v>
      </c>
      <c r="H4" s="9" t="s">
        <v>10</v>
      </c>
      <c r="I4" s="9" t="s">
        <v>11</v>
      </c>
      <c r="J4" s="9" t="s">
        <v>12</v>
      </c>
      <c r="K4" s="9" t="s">
        <v>13</v>
      </c>
      <c r="L4" s="9" t="s">
        <v>14</v>
      </c>
      <c r="M4" s="9" t="s">
        <v>15</v>
      </c>
      <c r="N4" s="9" t="s">
        <v>16</v>
      </c>
      <c r="O4" s="9" t="s">
        <v>17</v>
      </c>
      <c r="P4" s="9" t="s">
        <v>18</v>
      </c>
      <c r="Q4" s="9" t="s">
        <v>19</v>
      </c>
      <c r="R4" s="9" t="s">
        <v>20</v>
      </c>
      <c r="S4" s="9" t="s">
        <v>21</v>
      </c>
      <c r="T4" s="9" t="s">
        <v>22</v>
      </c>
      <c r="U4" s="9" t="s">
        <v>23</v>
      </c>
      <c r="V4" s="9" t="s">
        <v>24</v>
      </c>
      <c r="W4" s="9" t="s">
        <v>25</v>
      </c>
      <c r="X4" s="9" t="s">
        <v>26</v>
      </c>
      <c r="Y4" s="9" t="s">
        <v>27</v>
      </c>
      <c r="Z4" s="9" t="s">
        <v>28</v>
      </c>
    </row>
    <row r="5" spans="1:30" x14ac:dyDescent="0.25">
      <c r="A5">
        <v>1</v>
      </c>
      <c r="B5" t="s">
        <v>33</v>
      </c>
      <c r="C5" s="10" t="s">
        <v>34</v>
      </c>
      <c r="D5">
        <v>2</v>
      </c>
      <c r="F5">
        <v>2</v>
      </c>
      <c r="G5" t="s">
        <v>35</v>
      </c>
      <c r="H5">
        <v>3.67</v>
      </c>
      <c r="I5" t="s">
        <v>36</v>
      </c>
      <c r="J5">
        <v>2.93</v>
      </c>
      <c r="K5" t="s">
        <v>37</v>
      </c>
      <c r="L5">
        <v>2.73</v>
      </c>
      <c r="M5" t="s">
        <v>39</v>
      </c>
      <c r="N5">
        <v>3.25</v>
      </c>
      <c r="O5" t="s">
        <v>38</v>
      </c>
      <c r="P5">
        <v>2.4500000000000002</v>
      </c>
      <c r="Q5" t="s">
        <v>40</v>
      </c>
      <c r="R5">
        <v>1.28</v>
      </c>
    </row>
    <row r="6" spans="1:30" x14ac:dyDescent="0.25">
      <c r="A6">
        <v>2</v>
      </c>
      <c r="B6" t="s">
        <v>41</v>
      </c>
      <c r="C6" t="s">
        <v>42</v>
      </c>
      <c r="D6">
        <v>2</v>
      </c>
      <c r="F6">
        <v>2</v>
      </c>
      <c r="G6" t="s">
        <v>45</v>
      </c>
      <c r="H6">
        <v>1.77</v>
      </c>
      <c r="I6" t="s">
        <v>43</v>
      </c>
      <c r="J6">
        <v>2.11</v>
      </c>
      <c r="K6" t="s">
        <v>44</v>
      </c>
      <c r="L6">
        <v>3.03</v>
      </c>
      <c r="M6" t="s">
        <v>46</v>
      </c>
    </row>
    <row r="7" spans="1:30" x14ac:dyDescent="0.25">
      <c r="A7">
        <v>3</v>
      </c>
      <c r="B7" t="s">
        <v>47</v>
      </c>
      <c r="C7" s="10">
        <v>41337</v>
      </c>
      <c r="D7">
        <v>1</v>
      </c>
      <c r="F7">
        <v>2</v>
      </c>
      <c r="G7" t="s">
        <v>48</v>
      </c>
      <c r="H7">
        <v>27.19</v>
      </c>
      <c r="I7" t="s">
        <v>49</v>
      </c>
      <c r="J7">
        <v>26.16</v>
      </c>
      <c r="K7" t="s">
        <v>50</v>
      </c>
      <c r="L7">
        <v>12.16</v>
      </c>
      <c r="M7" t="s">
        <v>51</v>
      </c>
      <c r="N7">
        <v>2.67</v>
      </c>
      <c r="O7" t="s">
        <v>52</v>
      </c>
      <c r="P7">
        <v>1.64</v>
      </c>
    </row>
    <row r="8" spans="1:30" x14ac:dyDescent="0.25">
      <c r="A8">
        <v>4</v>
      </c>
      <c r="B8" t="s">
        <v>100</v>
      </c>
      <c r="C8" s="10">
        <v>41367</v>
      </c>
      <c r="D8">
        <v>1</v>
      </c>
      <c r="F8">
        <v>2</v>
      </c>
      <c r="G8" t="s">
        <v>54</v>
      </c>
      <c r="H8">
        <v>2.5499999999999998</v>
      </c>
      <c r="I8" t="s">
        <v>57</v>
      </c>
      <c r="J8">
        <v>3.65</v>
      </c>
      <c r="K8" t="s">
        <v>55</v>
      </c>
      <c r="L8">
        <v>6.01</v>
      </c>
      <c r="M8" t="s">
        <v>56</v>
      </c>
      <c r="N8">
        <v>11.53</v>
      </c>
      <c r="O8" t="s">
        <v>58</v>
      </c>
      <c r="P8">
        <v>3.95</v>
      </c>
      <c r="Q8" t="s">
        <v>59</v>
      </c>
    </row>
    <row r="9" spans="1:30" x14ac:dyDescent="0.25">
      <c r="A9">
        <v>5</v>
      </c>
      <c r="B9" t="s">
        <v>60</v>
      </c>
      <c r="C9" s="10" t="s">
        <v>61</v>
      </c>
      <c r="D9">
        <v>1</v>
      </c>
      <c r="F9">
        <v>2</v>
      </c>
      <c r="G9" t="s">
        <v>62</v>
      </c>
      <c r="H9">
        <v>14.1</v>
      </c>
      <c r="I9" t="s">
        <v>63</v>
      </c>
      <c r="J9">
        <v>11</v>
      </c>
      <c r="K9" t="s">
        <v>64</v>
      </c>
      <c r="L9">
        <v>12.48</v>
      </c>
      <c r="M9" t="s">
        <v>65</v>
      </c>
      <c r="N9">
        <v>17.05</v>
      </c>
      <c r="O9" t="s">
        <v>66</v>
      </c>
      <c r="Q9" t="s">
        <v>67</v>
      </c>
      <c r="S9" t="s">
        <v>68</v>
      </c>
      <c r="U9" t="s">
        <v>69</v>
      </c>
      <c r="W9" t="s">
        <v>70</v>
      </c>
    </row>
    <row r="10" spans="1:30" x14ac:dyDescent="0.25">
      <c r="A10">
        <v>6</v>
      </c>
      <c r="B10" t="s">
        <v>71</v>
      </c>
      <c r="C10" s="10">
        <v>41389</v>
      </c>
      <c r="D10">
        <v>2</v>
      </c>
      <c r="F10">
        <v>2</v>
      </c>
      <c r="G10" t="s">
        <v>72</v>
      </c>
      <c r="H10">
        <v>16.920000000000002</v>
      </c>
      <c r="I10" t="s">
        <v>73</v>
      </c>
      <c r="J10">
        <v>13.86</v>
      </c>
      <c r="K10" t="s">
        <v>74</v>
      </c>
      <c r="L10">
        <v>9.76</v>
      </c>
      <c r="M10" t="s">
        <v>75</v>
      </c>
      <c r="N10">
        <v>12.12</v>
      </c>
      <c r="O10" t="s">
        <v>76</v>
      </c>
      <c r="P10">
        <v>4.3</v>
      </c>
      <c r="Q10" t="s">
        <v>77</v>
      </c>
      <c r="R10">
        <v>2.5499999999999998</v>
      </c>
      <c r="S10" t="s">
        <v>78</v>
      </c>
      <c r="T10">
        <v>2.12</v>
      </c>
      <c r="U10" t="s">
        <v>79</v>
      </c>
      <c r="V10">
        <v>1.63</v>
      </c>
    </row>
    <row r="11" spans="1:30" x14ac:dyDescent="0.25">
      <c r="A11">
        <v>7</v>
      </c>
      <c r="B11" t="s">
        <v>80</v>
      </c>
      <c r="C11" s="10">
        <v>41383</v>
      </c>
      <c r="D11">
        <v>1</v>
      </c>
      <c r="F11">
        <v>2</v>
      </c>
      <c r="G11" t="s">
        <v>81</v>
      </c>
      <c r="H11">
        <v>1.4</v>
      </c>
      <c r="I11" t="s">
        <v>83</v>
      </c>
      <c r="J11">
        <v>1.87</v>
      </c>
      <c r="K11" t="s">
        <v>82</v>
      </c>
      <c r="L11">
        <v>5.2</v>
      </c>
      <c r="M11" t="s">
        <v>84</v>
      </c>
      <c r="O11" t="s">
        <v>85</v>
      </c>
      <c r="Q11" t="s">
        <v>86</v>
      </c>
      <c r="R11">
        <v>1.52</v>
      </c>
    </row>
    <row r="12" spans="1:30" x14ac:dyDescent="0.25">
      <c r="A12">
        <v>8</v>
      </c>
      <c r="B12" t="s">
        <v>87</v>
      </c>
      <c r="C12" s="10">
        <v>41354</v>
      </c>
      <c r="D12">
        <v>1</v>
      </c>
      <c r="F12">
        <v>2</v>
      </c>
      <c r="G12" t="s">
        <v>88</v>
      </c>
      <c r="H12">
        <v>2.2200000000000002</v>
      </c>
      <c r="I12" t="s">
        <v>89</v>
      </c>
      <c r="J12">
        <v>1.81</v>
      </c>
      <c r="K12" t="s">
        <v>90</v>
      </c>
      <c r="L12">
        <v>10.41</v>
      </c>
      <c r="M12" t="s">
        <v>91</v>
      </c>
      <c r="N12">
        <v>7.77</v>
      </c>
      <c r="O12" t="s">
        <v>92</v>
      </c>
      <c r="P12">
        <v>2.95</v>
      </c>
      <c r="Q12" t="s">
        <v>93</v>
      </c>
      <c r="R12">
        <v>2.86</v>
      </c>
    </row>
    <row r="13" spans="1:30" x14ac:dyDescent="0.25">
      <c r="A13">
        <v>9</v>
      </c>
      <c r="B13" t="s">
        <v>94</v>
      </c>
      <c r="C13" s="10">
        <v>41367</v>
      </c>
      <c r="D13">
        <v>1</v>
      </c>
      <c r="F13">
        <v>2</v>
      </c>
      <c r="G13" t="s">
        <v>95</v>
      </c>
      <c r="H13">
        <v>39.56</v>
      </c>
      <c r="I13" t="s">
        <v>96</v>
      </c>
      <c r="J13">
        <v>30.6</v>
      </c>
      <c r="K13" t="s">
        <v>97</v>
      </c>
      <c r="L13">
        <v>18.57</v>
      </c>
      <c r="M13" t="s">
        <v>98</v>
      </c>
      <c r="N13">
        <v>6.21</v>
      </c>
      <c r="O13" t="s">
        <v>99</v>
      </c>
    </row>
    <row r="14" spans="1:30" x14ac:dyDescent="0.25">
      <c r="A14">
        <v>10</v>
      </c>
      <c r="B14" t="s">
        <v>104</v>
      </c>
      <c r="C14" s="10">
        <v>42342</v>
      </c>
      <c r="D14">
        <v>2</v>
      </c>
      <c r="F14">
        <v>2</v>
      </c>
      <c r="G14" t="s">
        <v>423</v>
      </c>
      <c r="H14">
        <v>22.59</v>
      </c>
      <c r="I14" t="s">
        <v>424</v>
      </c>
      <c r="J14">
        <v>7.09</v>
      </c>
      <c r="K14" t="s">
        <v>425</v>
      </c>
      <c r="L14">
        <v>6.24</v>
      </c>
      <c r="M14" t="s">
        <v>426</v>
      </c>
      <c r="N14">
        <v>8.9</v>
      </c>
      <c r="O14" t="s">
        <v>427</v>
      </c>
      <c r="P14">
        <v>3.53</v>
      </c>
      <c r="Q14" t="s">
        <v>428</v>
      </c>
      <c r="R14">
        <v>2.5</v>
      </c>
      <c r="S14" t="s">
        <v>429</v>
      </c>
      <c r="T14">
        <v>3.7</v>
      </c>
      <c r="U14" t="s">
        <v>430</v>
      </c>
      <c r="V14">
        <v>2.36</v>
      </c>
      <c r="W14" t="s">
        <v>431</v>
      </c>
      <c r="X14">
        <v>1.89</v>
      </c>
      <c r="Y14" t="s">
        <v>432</v>
      </c>
      <c r="Z14">
        <v>1.08</v>
      </c>
      <c r="AA14" t="s">
        <v>433</v>
      </c>
      <c r="AB14">
        <v>0.86</v>
      </c>
      <c r="AC14" t="s">
        <v>434</v>
      </c>
      <c r="AD14">
        <v>0.64</v>
      </c>
    </row>
    <row r="15" spans="1:30" x14ac:dyDescent="0.25">
      <c r="A15">
        <v>11</v>
      </c>
      <c r="B15" t="s">
        <v>106</v>
      </c>
      <c r="C15" s="10">
        <v>42341</v>
      </c>
      <c r="D15">
        <v>2</v>
      </c>
      <c r="F15">
        <v>2</v>
      </c>
      <c r="G15" t="s">
        <v>413</v>
      </c>
      <c r="H15">
        <v>3.03</v>
      </c>
      <c r="I15" t="s">
        <v>414</v>
      </c>
      <c r="J15">
        <v>2.27</v>
      </c>
      <c r="K15" t="s">
        <v>415</v>
      </c>
      <c r="L15">
        <v>2.44</v>
      </c>
      <c r="M15" t="s">
        <v>416</v>
      </c>
      <c r="N15">
        <v>2.94</v>
      </c>
      <c r="O15" t="s">
        <v>417</v>
      </c>
      <c r="P15">
        <v>2.5</v>
      </c>
      <c r="Q15" t="s">
        <v>418</v>
      </c>
      <c r="R15">
        <v>3.32</v>
      </c>
      <c r="S15" t="s">
        <v>419</v>
      </c>
      <c r="T15">
        <v>2.2400000000000002</v>
      </c>
      <c r="U15" t="s">
        <v>420</v>
      </c>
      <c r="V15">
        <v>2.31</v>
      </c>
      <c r="W15" t="s">
        <v>421</v>
      </c>
      <c r="X15">
        <v>2.2400000000000002</v>
      </c>
      <c r="Y15" t="s">
        <v>422</v>
      </c>
      <c r="Z15">
        <v>2.2599999999999998</v>
      </c>
    </row>
    <row r="16" spans="1:30" x14ac:dyDescent="0.25">
      <c r="A16">
        <v>12</v>
      </c>
      <c r="B16" t="s">
        <v>107</v>
      </c>
      <c r="C16" t="s">
        <v>402</v>
      </c>
      <c r="D16">
        <v>2</v>
      </c>
      <c r="F16">
        <v>2</v>
      </c>
      <c r="G16" t="s">
        <v>403</v>
      </c>
      <c r="H16">
        <v>94.68</v>
      </c>
      <c r="I16" t="s">
        <v>404</v>
      </c>
      <c r="J16">
        <v>59.2</v>
      </c>
      <c r="K16" s="10" t="s">
        <v>405</v>
      </c>
      <c r="L16">
        <v>42.04</v>
      </c>
      <c r="M16" t="s">
        <v>406</v>
      </c>
      <c r="N16">
        <v>9.6</v>
      </c>
      <c r="O16" t="s">
        <v>407</v>
      </c>
      <c r="P16">
        <v>4.68</v>
      </c>
      <c r="Q16" t="s">
        <v>408</v>
      </c>
      <c r="R16">
        <v>5.92</v>
      </c>
      <c r="S16" t="s">
        <v>409</v>
      </c>
      <c r="T16">
        <v>9.4499999999999993</v>
      </c>
      <c r="U16" t="s">
        <v>410</v>
      </c>
      <c r="V16">
        <v>4.24</v>
      </c>
      <c r="W16" t="s">
        <v>411</v>
      </c>
      <c r="X16">
        <v>3.12</v>
      </c>
      <c r="Y16" t="s">
        <v>412</v>
      </c>
      <c r="Z16">
        <v>2.56</v>
      </c>
    </row>
    <row r="17" spans="1:30" x14ac:dyDescent="0.25">
      <c r="A17">
        <v>13</v>
      </c>
      <c r="B17" t="s">
        <v>108</v>
      </c>
      <c r="C17" s="10">
        <v>42340</v>
      </c>
      <c r="D17">
        <v>2</v>
      </c>
      <c r="F17">
        <v>2</v>
      </c>
      <c r="G17" t="s">
        <v>394</v>
      </c>
      <c r="H17">
        <v>2.12</v>
      </c>
      <c r="I17" t="s">
        <v>395</v>
      </c>
      <c r="J17">
        <v>2.5299999999999998</v>
      </c>
      <c r="K17" t="s">
        <v>396</v>
      </c>
      <c r="L17">
        <v>5.56</v>
      </c>
      <c r="M17" t="s">
        <v>397</v>
      </c>
      <c r="N17">
        <v>4.79</v>
      </c>
      <c r="O17" t="s">
        <v>398</v>
      </c>
      <c r="P17">
        <v>3.54</v>
      </c>
      <c r="Q17" t="s">
        <v>399</v>
      </c>
      <c r="R17">
        <v>3.96</v>
      </c>
      <c r="S17" t="s">
        <v>400</v>
      </c>
      <c r="T17">
        <v>4.93</v>
      </c>
      <c r="U17" t="s">
        <v>401</v>
      </c>
      <c r="V17">
        <v>3.9</v>
      </c>
    </row>
    <row r="18" spans="1:30" x14ac:dyDescent="0.25">
      <c r="A18">
        <v>14</v>
      </c>
      <c r="B18" t="s">
        <v>109</v>
      </c>
      <c r="C18" s="10">
        <v>42329</v>
      </c>
      <c r="D18">
        <v>2</v>
      </c>
      <c r="F18">
        <v>2</v>
      </c>
      <c r="G18" t="s">
        <v>386</v>
      </c>
      <c r="H18">
        <v>44.03</v>
      </c>
      <c r="I18" t="s">
        <v>387</v>
      </c>
      <c r="J18">
        <v>16.989999999999998</v>
      </c>
      <c r="K18" t="s">
        <v>388</v>
      </c>
      <c r="L18">
        <v>10.3</v>
      </c>
      <c r="M18" t="s">
        <v>389</v>
      </c>
      <c r="N18" s="11">
        <v>0.4375</v>
      </c>
      <c r="O18" t="s">
        <v>390</v>
      </c>
      <c r="P18">
        <v>18.760000000000002</v>
      </c>
      <c r="Q18" t="s">
        <v>391</v>
      </c>
      <c r="R18">
        <v>3.18</v>
      </c>
      <c r="S18" t="s">
        <v>392</v>
      </c>
      <c r="T18">
        <v>1.4</v>
      </c>
      <c r="U18" t="s">
        <v>393</v>
      </c>
      <c r="V18">
        <v>1.44</v>
      </c>
    </row>
    <row r="19" spans="1:30" x14ac:dyDescent="0.25">
      <c r="A19">
        <v>15</v>
      </c>
      <c r="B19" t="s">
        <v>111</v>
      </c>
      <c r="C19" s="10">
        <v>42336</v>
      </c>
      <c r="D19">
        <v>1</v>
      </c>
      <c r="F19">
        <v>2</v>
      </c>
      <c r="G19" t="s">
        <v>378</v>
      </c>
      <c r="H19">
        <v>2.57</v>
      </c>
      <c r="I19" t="s">
        <v>379</v>
      </c>
      <c r="J19">
        <v>4.8499999999999996</v>
      </c>
      <c r="K19" t="s">
        <v>380</v>
      </c>
      <c r="L19">
        <v>5.52</v>
      </c>
      <c r="M19" t="s">
        <v>381</v>
      </c>
      <c r="N19">
        <v>4.08</v>
      </c>
      <c r="O19" t="s">
        <v>382</v>
      </c>
      <c r="P19">
        <v>3.75</v>
      </c>
      <c r="Q19" t="s">
        <v>383</v>
      </c>
      <c r="R19">
        <v>1.9</v>
      </c>
      <c r="S19" t="s">
        <v>384</v>
      </c>
      <c r="T19">
        <v>1.83</v>
      </c>
      <c r="U19" t="s">
        <v>385</v>
      </c>
      <c r="V19">
        <v>1.87</v>
      </c>
    </row>
    <row r="20" spans="1:30" x14ac:dyDescent="0.25">
      <c r="A20">
        <v>16</v>
      </c>
      <c r="B20" t="s">
        <v>112</v>
      </c>
      <c r="C20" s="10">
        <v>42351</v>
      </c>
      <c r="D20">
        <v>2</v>
      </c>
      <c r="F20">
        <v>2</v>
      </c>
      <c r="G20" t="s">
        <v>228</v>
      </c>
      <c r="H20">
        <v>25.7</v>
      </c>
      <c r="I20" t="s">
        <v>229</v>
      </c>
      <c r="J20">
        <v>14.48</v>
      </c>
      <c r="K20" t="s">
        <v>230</v>
      </c>
      <c r="L20">
        <v>37.44</v>
      </c>
      <c r="M20" t="s">
        <v>231</v>
      </c>
      <c r="N20">
        <v>24.73</v>
      </c>
      <c r="O20" t="s">
        <v>232</v>
      </c>
      <c r="P20">
        <v>24.73</v>
      </c>
      <c r="Q20" t="s">
        <v>233</v>
      </c>
      <c r="R20">
        <v>9.9</v>
      </c>
      <c r="S20" t="s">
        <v>234</v>
      </c>
      <c r="T20">
        <v>3.41</v>
      </c>
      <c r="U20" t="s">
        <v>235</v>
      </c>
      <c r="V20">
        <v>3.22</v>
      </c>
      <c r="W20" t="s">
        <v>236</v>
      </c>
      <c r="X20">
        <v>7.72</v>
      </c>
      <c r="Y20" t="s">
        <v>237</v>
      </c>
      <c r="Z20">
        <v>5.3</v>
      </c>
      <c r="AA20" t="s">
        <v>238</v>
      </c>
      <c r="AB20">
        <v>3.17</v>
      </c>
      <c r="AC20" t="s">
        <v>239</v>
      </c>
      <c r="AD20">
        <v>2.17</v>
      </c>
    </row>
    <row r="21" spans="1:30" x14ac:dyDescent="0.25">
      <c r="A21">
        <v>17</v>
      </c>
      <c r="B21" t="s">
        <v>119</v>
      </c>
      <c r="C21" t="s">
        <v>184</v>
      </c>
      <c r="D21">
        <v>2</v>
      </c>
      <c r="F21">
        <v>2</v>
      </c>
      <c r="G21" t="s">
        <v>185</v>
      </c>
      <c r="H21">
        <v>58.25</v>
      </c>
      <c r="I21" t="s">
        <v>186</v>
      </c>
      <c r="J21">
        <v>49.6</v>
      </c>
      <c r="K21" t="s">
        <v>187</v>
      </c>
      <c r="L21">
        <v>35.46</v>
      </c>
      <c r="M21" t="s">
        <v>188</v>
      </c>
      <c r="N21">
        <v>10.41</v>
      </c>
      <c r="O21" t="s">
        <v>189</v>
      </c>
      <c r="P21">
        <v>2.91</v>
      </c>
      <c r="Q21" t="s">
        <v>190</v>
      </c>
      <c r="R21">
        <v>1.96</v>
      </c>
      <c r="S21" t="s">
        <v>191</v>
      </c>
      <c r="T21">
        <v>1.46</v>
      </c>
    </row>
    <row r="22" spans="1:30" x14ac:dyDescent="0.25">
      <c r="A22">
        <v>18</v>
      </c>
      <c r="B22" t="s">
        <v>120</v>
      </c>
      <c r="C22" s="10">
        <v>42340</v>
      </c>
      <c r="D22">
        <v>2</v>
      </c>
      <c r="F22">
        <v>2</v>
      </c>
      <c r="G22" t="s">
        <v>176</v>
      </c>
      <c r="H22">
        <v>3.48</v>
      </c>
      <c r="I22" t="s">
        <v>177</v>
      </c>
      <c r="J22">
        <v>2.19</v>
      </c>
      <c r="K22" t="s">
        <v>178</v>
      </c>
      <c r="L22">
        <v>4.45</v>
      </c>
      <c r="M22" t="s">
        <v>179</v>
      </c>
      <c r="N22">
        <v>2.63</v>
      </c>
      <c r="O22" t="s">
        <v>180</v>
      </c>
      <c r="P22">
        <v>3.3</v>
      </c>
      <c r="Q22" t="s">
        <v>181</v>
      </c>
      <c r="R22">
        <v>6.5</v>
      </c>
      <c r="S22" t="s">
        <v>182</v>
      </c>
      <c r="T22">
        <v>4.01</v>
      </c>
      <c r="U22" t="s">
        <v>183</v>
      </c>
      <c r="V22">
        <v>1.95</v>
      </c>
    </row>
    <row r="23" spans="1:30" x14ac:dyDescent="0.25">
      <c r="A23">
        <v>19</v>
      </c>
      <c r="B23" t="s">
        <v>124</v>
      </c>
      <c r="C23" t="s">
        <v>140</v>
      </c>
      <c r="D23">
        <v>2</v>
      </c>
      <c r="F23">
        <v>2</v>
      </c>
      <c r="G23" t="s">
        <v>141</v>
      </c>
      <c r="H23">
        <v>124.6</v>
      </c>
      <c r="I23" t="s">
        <v>142</v>
      </c>
      <c r="J23">
        <v>54.34</v>
      </c>
      <c r="K23" t="s">
        <v>143</v>
      </c>
      <c r="L23">
        <v>129.9</v>
      </c>
      <c r="M23" t="s">
        <v>144</v>
      </c>
      <c r="N23">
        <v>43.97</v>
      </c>
      <c r="O23" t="s">
        <v>145</v>
      </c>
      <c r="P23">
        <v>5.35</v>
      </c>
      <c r="Q23" t="s">
        <v>146</v>
      </c>
      <c r="R23">
        <v>2.08</v>
      </c>
      <c r="S23" t="s">
        <v>147</v>
      </c>
      <c r="T23">
        <v>1.41</v>
      </c>
    </row>
    <row r="24" spans="1:30" x14ac:dyDescent="0.25">
      <c r="A24">
        <v>20</v>
      </c>
      <c r="B24" t="s">
        <v>208</v>
      </c>
      <c r="C24" t="s">
        <v>209</v>
      </c>
      <c r="D24">
        <v>2</v>
      </c>
      <c r="F24">
        <v>2</v>
      </c>
      <c r="G24" t="s">
        <v>210</v>
      </c>
      <c r="H24">
        <v>9.82</v>
      </c>
      <c r="I24" t="s">
        <v>211</v>
      </c>
      <c r="J24">
        <v>9.77</v>
      </c>
      <c r="K24" t="s">
        <v>212</v>
      </c>
      <c r="L24">
        <v>7.37</v>
      </c>
      <c r="M24" t="s">
        <v>213</v>
      </c>
      <c r="N24">
        <v>2.9</v>
      </c>
      <c r="O24" t="s">
        <v>214</v>
      </c>
      <c r="P24">
        <v>1.92</v>
      </c>
      <c r="Q24" t="s">
        <v>215</v>
      </c>
      <c r="R24">
        <v>1.82</v>
      </c>
      <c r="S24" t="s">
        <v>216</v>
      </c>
      <c r="T24">
        <v>1.64</v>
      </c>
      <c r="U24" t="s">
        <v>217</v>
      </c>
      <c r="V24">
        <v>2.33</v>
      </c>
      <c r="W24" t="s">
        <v>218</v>
      </c>
      <c r="X24">
        <v>1.41</v>
      </c>
      <c r="Y24" t="s">
        <v>219</v>
      </c>
      <c r="Z24">
        <v>1.64</v>
      </c>
    </row>
    <row r="25" spans="1:30" x14ac:dyDescent="0.25">
      <c r="A25">
        <v>21</v>
      </c>
      <c r="B25" t="s">
        <v>220</v>
      </c>
      <c r="C25" t="s">
        <v>221</v>
      </c>
      <c r="D25">
        <v>2</v>
      </c>
      <c r="F25">
        <v>2</v>
      </c>
      <c r="G25" t="s">
        <v>222</v>
      </c>
      <c r="H25">
        <v>3.68</v>
      </c>
      <c r="I25" t="s">
        <v>223</v>
      </c>
      <c r="J25">
        <v>1.87</v>
      </c>
      <c r="K25" t="s">
        <v>224</v>
      </c>
      <c r="L25">
        <v>3.05</v>
      </c>
      <c r="M25" t="s">
        <v>225</v>
      </c>
      <c r="N25">
        <v>3.77</v>
      </c>
      <c r="O25" t="s">
        <v>226</v>
      </c>
      <c r="P25">
        <v>2.09</v>
      </c>
      <c r="Q25" t="s">
        <v>227</v>
      </c>
      <c r="R25">
        <v>2.2599999999999998</v>
      </c>
    </row>
    <row r="26" spans="1:30" x14ac:dyDescent="0.25">
      <c r="A26">
        <v>22</v>
      </c>
      <c r="B26" t="s">
        <v>240</v>
      </c>
      <c r="C26" s="10">
        <v>42356</v>
      </c>
      <c r="D26">
        <v>2</v>
      </c>
      <c r="F26">
        <v>2</v>
      </c>
      <c r="G26" t="s">
        <v>241</v>
      </c>
      <c r="H26">
        <v>8.52</v>
      </c>
      <c r="I26" t="s">
        <v>242</v>
      </c>
      <c r="J26">
        <v>7.16</v>
      </c>
      <c r="K26" t="s">
        <v>243</v>
      </c>
      <c r="L26">
        <v>7.98</v>
      </c>
      <c r="M26" t="s">
        <v>244</v>
      </c>
      <c r="N26">
        <v>5.0599999999999996</v>
      </c>
      <c r="O26" t="s">
        <v>245</v>
      </c>
      <c r="P26">
        <v>3.24</v>
      </c>
      <c r="Q26" t="s">
        <v>246</v>
      </c>
      <c r="R26">
        <v>2.39</v>
      </c>
      <c r="S26" t="s">
        <v>247</v>
      </c>
      <c r="T26">
        <v>36.94</v>
      </c>
      <c r="U26" t="s">
        <v>248</v>
      </c>
      <c r="V26">
        <v>50.09</v>
      </c>
      <c r="W26" t="s">
        <v>249</v>
      </c>
      <c r="X26">
        <v>42.12</v>
      </c>
      <c r="Y26" t="s">
        <v>250</v>
      </c>
      <c r="Z26">
        <v>6.87</v>
      </c>
      <c r="AA26" t="s">
        <v>251</v>
      </c>
      <c r="AB26">
        <v>2.84</v>
      </c>
    </row>
    <row r="27" spans="1:30" x14ac:dyDescent="0.25">
      <c r="A27">
        <v>23</v>
      </c>
      <c r="B27" t="s">
        <v>101</v>
      </c>
      <c r="C27" t="s">
        <v>497</v>
      </c>
      <c r="D27">
        <v>2</v>
      </c>
      <c r="F27">
        <v>2</v>
      </c>
      <c r="G27" t="s">
        <v>498</v>
      </c>
      <c r="H27" s="11">
        <v>8.5416666666666655E-2</v>
      </c>
      <c r="I27" t="s">
        <v>499</v>
      </c>
      <c r="J27">
        <v>1.95</v>
      </c>
      <c r="K27" t="s">
        <v>500</v>
      </c>
      <c r="L27">
        <v>4.16</v>
      </c>
      <c r="M27" t="s">
        <v>501</v>
      </c>
      <c r="N27">
        <v>7.01</v>
      </c>
      <c r="O27" t="s">
        <v>502</v>
      </c>
      <c r="P27">
        <v>3.07</v>
      </c>
      <c r="Q27" t="s">
        <v>503</v>
      </c>
      <c r="R27">
        <v>2.46</v>
      </c>
      <c r="S27" t="s">
        <v>504</v>
      </c>
      <c r="T27">
        <v>1.65</v>
      </c>
    </row>
    <row r="28" spans="1:30" x14ac:dyDescent="0.25">
      <c r="A28">
        <v>24</v>
      </c>
      <c r="B28" t="s">
        <v>118</v>
      </c>
      <c r="C28" s="10">
        <v>42346</v>
      </c>
      <c r="D28">
        <v>2</v>
      </c>
      <c r="F28">
        <v>2</v>
      </c>
      <c r="G28" t="s">
        <v>537</v>
      </c>
      <c r="H28">
        <v>1.9</v>
      </c>
      <c r="I28" t="s">
        <v>538</v>
      </c>
      <c r="J28">
        <v>1.64</v>
      </c>
      <c r="K28" t="s">
        <v>539</v>
      </c>
      <c r="L28">
        <v>6.78</v>
      </c>
      <c r="M28" t="s">
        <v>540</v>
      </c>
      <c r="N28">
        <v>9.08</v>
      </c>
      <c r="O28" t="s">
        <v>541</v>
      </c>
      <c r="P28">
        <v>8.93</v>
      </c>
      <c r="Q28" t="s">
        <v>542</v>
      </c>
      <c r="R28">
        <v>5.31</v>
      </c>
      <c r="S28" t="s">
        <v>543</v>
      </c>
      <c r="T28">
        <v>2.6</v>
      </c>
      <c r="U28" t="s">
        <v>544</v>
      </c>
      <c r="V28">
        <v>2.85</v>
      </c>
    </row>
    <row r="29" spans="1:30" x14ac:dyDescent="0.25">
      <c r="A29">
        <v>25</v>
      </c>
      <c r="B29" t="s">
        <v>113</v>
      </c>
      <c r="C29" t="s">
        <v>490</v>
      </c>
      <c r="D29">
        <v>1</v>
      </c>
      <c r="F29">
        <v>2</v>
      </c>
      <c r="G29" t="s">
        <v>491</v>
      </c>
      <c r="H29">
        <v>9.6199999999999992</v>
      </c>
      <c r="I29" t="s">
        <v>492</v>
      </c>
      <c r="J29">
        <v>7.18</v>
      </c>
      <c r="K29" t="s">
        <v>493</v>
      </c>
      <c r="L29">
        <v>3.9</v>
      </c>
      <c r="M29" t="s">
        <v>494</v>
      </c>
      <c r="N29">
        <v>2.21</v>
      </c>
      <c r="O29" t="s">
        <v>495</v>
      </c>
      <c r="P29">
        <v>1.48</v>
      </c>
      <c r="Q29" t="s">
        <v>496</v>
      </c>
      <c r="R29">
        <v>1.36</v>
      </c>
    </row>
    <row r="31" spans="1:30" x14ac:dyDescent="0.25">
      <c r="A31" t="s">
        <v>545</v>
      </c>
    </row>
    <row r="32" spans="1:30" x14ac:dyDescent="0.25">
      <c r="A32" t="s">
        <v>545</v>
      </c>
    </row>
    <row r="33" spans="1:1" x14ac:dyDescent="0.25">
      <c r="A33" t="s">
        <v>545</v>
      </c>
    </row>
    <row r="34" spans="1:1" x14ac:dyDescent="0.25">
      <c r="A34" t="s">
        <v>545</v>
      </c>
    </row>
    <row r="35" spans="1:1" x14ac:dyDescent="0.25">
      <c r="A35" t="s">
        <v>545</v>
      </c>
    </row>
    <row r="36" spans="1:1" x14ac:dyDescent="0.25">
      <c r="A36" t="s">
        <v>545</v>
      </c>
    </row>
    <row r="37" spans="1:1" x14ac:dyDescent="0.25">
      <c r="A37" t="s">
        <v>545</v>
      </c>
    </row>
    <row r="38" spans="1:1" x14ac:dyDescent="0.25">
      <c r="A38" t="s">
        <v>546</v>
      </c>
    </row>
    <row r="39" spans="1:1" x14ac:dyDescent="0.25">
      <c r="A39" t="s">
        <v>545</v>
      </c>
    </row>
    <row r="40" spans="1:1" x14ac:dyDescent="0.25">
      <c r="A40" t="s">
        <v>545</v>
      </c>
    </row>
    <row r="41" spans="1:1" x14ac:dyDescent="0.25">
      <c r="A41" t="s">
        <v>545</v>
      </c>
    </row>
    <row r="42" spans="1:1" x14ac:dyDescent="0.25">
      <c r="A42" t="s">
        <v>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29"/>
  <sheetViews>
    <sheetView topLeftCell="C1" zoomScale="64" zoomScaleNormal="140" zoomScalePageLayoutView="140" workbookViewId="0">
      <selection activeCell="M8" sqref="M8"/>
    </sheetView>
  </sheetViews>
  <sheetFormatPr defaultColWidth="8.85546875" defaultRowHeight="15" x14ac:dyDescent="0.25"/>
  <cols>
    <col min="2" max="2" width="27.85546875" customWidth="1"/>
    <col min="3" max="3" width="36.7109375" bestFit="1" customWidth="1"/>
    <col min="4" max="4" width="23.7109375" bestFit="1" customWidth="1"/>
    <col min="5" max="5" width="6" customWidth="1"/>
    <col min="6" max="6" width="14.28515625" customWidth="1"/>
    <col min="7" max="7" width="15.7109375" customWidth="1"/>
    <col min="8" max="8" width="18" customWidth="1"/>
    <col min="9" max="9" width="17.85546875" customWidth="1"/>
    <col min="10" max="10" width="13.28515625" customWidth="1"/>
    <col min="12" max="14" width="21.7109375" customWidth="1"/>
    <col min="16" max="17" width="19" customWidth="1"/>
    <col min="18" max="18" width="13.140625" customWidth="1"/>
    <col min="20" max="20" width="14.28515625" customWidth="1"/>
    <col min="21" max="21" width="21.140625" customWidth="1"/>
    <col min="22" max="22" width="12.85546875" customWidth="1"/>
    <col min="24" max="25" width="18.7109375" customWidth="1"/>
    <col min="26" max="26" width="12.28515625" customWidth="1"/>
    <col min="28" max="28" width="14.85546875" customWidth="1"/>
    <col min="29" max="29" width="20" customWidth="1"/>
    <col min="30" max="30" width="14.85546875" customWidth="1"/>
    <col min="31" max="31" width="11.140625" customWidth="1"/>
    <col min="32" max="32" width="18" customWidth="1"/>
    <col min="33" max="33" width="24" customWidth="1"/>
    <col min="35" max="35" width="17" customWidth="1"/>
    <col min="36" max="37" width="27.28515625" customWidth="1"/>
    <col min="38" max="38" width="11.85546875" customWidth="1"/>
    <col min="40" max="41" width="18.7109375" customWidth="1"/>
    <col min="42" max="42" width="13.7109375" customWidth="1"/>
    <col min="44" max="45" width="20.28515625" customWidth="1"/>
    <col min="46" max="46" width="15.85546875" customWidth="1"/>
    <col min="48" max="48" width="20.7109375" customWidth="1"/>
    <col min="49" max="49" width="20.140625" customWidth="1"/>
    <col min="50" max="50" width="13" customWidth="1"/>
    <col min="52" max="52" width="13.140625" customWidth="1"/>
    <col min="53" max="53" width="18.85546875" customWidth="1"/>
    <col min="54" max="54" width="14.28515625" customWidth="1"/>
    <col min="56" max="56" width="12.42578125" customWidth="1"/>
    <col min="57" max="57" width="14.28515625" customWidth="1"/>
    <col min="60" max="60" width="22.5703125" customWidth="1"/>
    <col min="61" max="61" width="20.28515625" customWidth="1"/>
    <col min="63" max="63" width="12.7109375" customWidth="1"/>
  </cols>
  <sheetData>
    <row r="1" spans="1:63" x14ac:dyDescent="0.25">
      <c r="B1" s="29" t="s">
        <v>570</v>
      </c>
    </row>
    <row r="3" spans="1:63" ht="21" x14ac:dyDescent="0.35">
      <c r="B3" s="1" t="s">
        <v>0</v>
      </c>
      <c r="C3" s="2" t="s">
        <v>1</v>
      </c>
      <c r="D3" s="3" t="s">
        <v>2</v>
      </c>
      <c r="E3" s="3" t="s">
        <v>3</v>
      </c>
      <c r="F3" s="4"/>
      <c r="G3" s="4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6"/>
      <c r="AC3" s="6"/>
      <c r="AD3" s="6"/>
      <c r="AE3" s="6"/>
      <c r="AF3" s="5"/>
      <c r="AG3" s="5"/>
      <c r="AH3" s="5"/>
      <c r="AI3" s="5"/>
      <c r="AJ3" s="5"/>
      <c r="AK3" s="5"/>
      <c r="AL3" s="5"/>
      <c r="AM3" s="5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</row>
    <row r="4" spans="1:63" ht="15.75" x14ac:dyDescent="0.25">
      <c r="B4" s="5" t="s">
        <v>4</v>
      </c>
      <c r="C4" s="7" t="s">
        <v>5</v>
      </c>
      <c r="D4" s="5" t="s">
        <v>53</v>
      </c>
      <c r="E4" s="5" t="s">
        <v>6</v>
      </c>
      <c r="F4" s="5" t="s">
        <v>7</v>
      </c>
      <c r="G4" s="5" t="s">
        <v>8</v>
      </c>
      <c r="H4" s="15" t="s">
        <v>548</v>
      </c>
      <c r="I4" s="25" t="s">
        <v>547</v>
      </c>
      <c r="J4" s="8" t="s">
        <v>9</v>
      </c>
      <c r="K4" s="8" t="s">
        <v>10</v>
      </c>
      <c r="L4" s="16" t="s">
        <v>549</v>
      </c>
      <c r="M4" s="13" t="s">
        <v>547</v>
      </c>
      <c r="N4" s="5" t="s">
        <v>11</v>
      </c>
      <c r="O4" s="5" t="s">
        <v>12</v>
      </c>
      <c r="P4" s="15" t="s">
        <v>550</v>
      </c>
      <c r="Q4" s="13" t="s">
        <v>547</v>
      </c>
      <c r="R4" s="5" t="s">
        <v>13</v>
      </c>
      <c r="S4" s="5" t="s">
        <v>14</v>
      </c>
      <c r="T4" s="16" t="s">
        <v>551</v>
      </c>
      <c r="U4" s="13" t="s">
        <v>547</v>
      </c>
      <c r="V4" s="5" t="s">
        <v>15</v>
      </c>
      <c r="W4" s="5" t="s">
        <v>16</v>
      </c>
      <c r="X4" s="16" t="s">
        <v>552</v>
      </c>
      <c r="Y4" s="13" t="s">
        <v>547</v>
      </c>
      <c r="Z4" s="5" t="s">
        <v>17</v>
      </c>
      <c r="AA4" s="5" t="s">
        <v>18</v>
      </c>
      <c r="AB4" s="16" t="s">
        <v>553</v>
      </c>
      <c r="AC4" s="13" t="s">
        <v>547</v>
      </c>
      <c r="AD4" s="5" t="s">
        <v>19</v>
      </c>
      <c r="AE4" s="5" t="s">
        <v>20</v>
      </c>
      <c r="AF4" s="16" t="s">
        <v>554</v>
      </c>
      <c r="AG4" s="13" t="s">
        <v>547</v>
      </c>
      <c r="AH4" s="5" t="s">
        <v>21</v>
      </c>
      <c r="AI4" s="5" t="s">
        <v>22</v>
      </c>
      <c r="AJ4" s="16" t="s">
        <v>555</v>
      </c>
      <c r="AK4" s="13" t="s">
        <v>547</v>
      </c>
      <c r="AL4" s="5" t="s">
        <v>23</v>
      </c>
      <c r="AM4" s="5" t="s">
        <v>24</v>
      </c>
      <c r="AN4" s="16" t="s">
        <v>556</v>
      </c>
      <c r="AO4" s="13" t="s">
        <v>547</v>
      </c>
      <c r="AP4" s="5" t="s">
        <v>25</v>
      </c>
      <c r="AQ4" s="5" t="s">
        <v>26</v>
      </c>
      <c r="AR4" s="16" t="s">
        <v>557</v>
      </c>
      <c r="AS4" s="13" t="s">
        <v>547</v>
      </c>
      <c r="AT4" s="5" t="s">
        <v>27</v>
      </c>
      <c r="AU4" s="5" t="s">
        <v>28</v>
      </c>
      <c r="AV4" s="16" t="s">
        <v>558</v>
      </c>
      <c r="AW4" s="13" t="s">
        <v>547</v>
      </c>
      <c r="AX4" s="5" t="s">
        <v>29</v>
      </c>
      <c r="AY4" s="5" t="s">
        <v>30</v>
      </c>
      <c r="AZ4" s="16" t="s">
        <v>560</v>
      </c>
      <c r="BA4" s="13" t="s">
        <v>547</v>
      </c>
      <c r="BB4" s="14" t="s">
        <v>559</v>
      </c>
      <c r="BC4" s="14" t="s">
        <v>561</v>
      </c>
      <c r="BD4" s="16" t="s">
        <v>566</v>
      </c>
      <c r="BE4" s="13" t="s">
        <v>547</v>
      </c>
      <c r="BF4" s="14" t="s">
        <v>562</v>
      </c>
      <c r="BG4" s="14" t="s">
        <v>564</v>
      </c>
      <c r="BH4" s="16" t="s">
        <v>567</v>
      </c>
      <c r="BI4" s="13" t="s">
        <v>547</v>
      </c>
      <c r="BJ4" s="14" t="s">
        <v>563</v>
      </c>
      <c r="BK4" s="14" t="s">
        <v>565</v>
      </c>
    </row>
    <row r="5" spans="1:63" x14ac:dyDescent="0.25">
      <c r="A5">
        <v>1</v>
      </c>
      <c r="B5" t="s">
        <v>117</v>
      </c>
      <c r="C5" s="17">
        <v>42337.375</v>
      </c>
      <c r="D5">
        <v>2</v>
      </c>
      <c r="E5">
        <v>2</v>
      </c>
      <c r="G5">
        <v>2</v>
      </c>
      <c r="H5" s="17">
        <v>42337.54583333333</v>
      </c>
      <c r="I5" s="18">
        <f t="shared" ref="I5:I29" si="0">H5-C5</f>
        <v>0.17083333332993789</v>
      </c>
      <c r="J5">
        <v>1.21</v>
      </c>
      <c r="K5">
        <v>36.33</v>
      </c>
      <c r="L5" s="17">
        <v>42337.804166666669</v>
      </c>
      <c r="M5" s="18">
        <f t="shared" ref="M5:M29" si="1">L5-C5</f>
        <v>0.42916666666860692</v>
      </c>
      <c r="N5">
        <v>2.79</v>
      </c>
      <c r="O5">
        <v>70.23</v>
      </c>
      <c r="P5" s="17">
        <v>42338.402083333334</v>
      </c>
      <c r="Q5" s="18">
        <f t="shared" ref="Q5:Q29" si="2">P5-C5</f>
        <v>1.0270833333343035</v>
      </c>
      <c r="R5">
        <v>1.25</v>
      </c>
      <c r="S5">
        <v>38.51</v>
      </c>
      <c r="T5" s="17">
        <v>42339.394444444442</v>
      </c>
      <c r="U5" s="18">
        <f t="shared" ref="U5:U29" si="3">T5-C5</f>
        <v>2.0194444444423425</v>
      </c>
      <c r="V5">
        <v>0.60299999999999998</v>
      </c>
      <c r="W5">
        <v>9.19</v>
      </c>
      <c r="X5" s="17">
        <v>42340.373611111114</v>
      </c>
      <c r="Y5" s="18">
        <f t="shared" ref="Y5:Y29" si="4">X5-C5</f>
        <v>2.9986111111138598</v>
      </c>
      <c r="Z5">
        <v>0.66500000000000004</v>
      </c>
      <c r="AA5">
        <v>3.69</v>
      </c>
      <c r="AB5" s="17">
        <v>42341.411805555559</v>
      </c>
      <c r="AC5" s="18">
        <f t="shared" ref="AC5:AC20" si="5">AB5-C5</f>
        <v>4.0368055555591127</v>
      </c>
      <c r="AD5">
        <v>0.69199999999999995</v>
      </c>
      <c r="AE5">
        <v>2.04</v>
      </c>
      <c r="AF5" s="17">
        <v>42341.775000000001</v>
      </c>
      <c r="AG5" s="18">
        <f t="shared" ref="AG5:AG10" si="6">AF5-C5</f>
        <v>4.4000000000014552</v>
      </c>
      <c r="AH5">
        <v>0.54100000000000004</v>
      </c>
      <c r="AI5">
        <v>2.5</v>
      </c>
      <c r="AJ5" s="17">
        <v>42342.420138888891</v>
      </c>
      <c r="AK5" s="18">
        <f t="shared" ref="AK5:AK10" si="7">AJ5-C5</f>
        <v>5.0451388888905058</v>
      </c>
      <c r="AL5">
        <v>0.48299999999999998</v>
      </c>
      <c r="AM5">
        <v>2.83</v>
      </c>
      <c r="AN5" s="17">
        <v>42344.399305555555</v>
      </c>
      <c r="AO5" s="18">
        <f t="shared" ref="AO5:AO10" si="8">AN5-C5</f>
        <v>7.0243055555547471</v>
      </c>
      <c r="AP5">
        <v>0.10199999999999999</v>
      </c>
      <c r="AQ5">
        <v>6.13</v>
      </c>
      <c r="AR5" s="17">
        <v>42345.436805555553</v>
      </c>
      <c r="AS5" s="18">
        <f>AR5-C5</f>
        <v>8.0618055555532919</v>
      </c>
      <c r="AT5">
        <v>6.9000000000000006E-2</v>
      </c>
      <c r="AU5">
        <v>5.65</v>
      </c>
      <c r="AV5" s="17">
        <v>42346.43472222222</v>
      </c>
      <c r="AW5" s="18">
        <f>AV5-C5</f>
        <v>9.0597222222204437</v>
      </c>
      <c r="AX5">
        <v>5.0999999999999997E-2</v>
      </c>
      <c r="AY5">
        <v>5.19</v>
      </c>
      <c r="AZ5" s="17">
        <v>42347.461111111108</v>
      </c>
      <c r="BA5" s="18">
        <f>AZ5-C5</f>
        <v>10.086111111108039</v>
      </c>
      <c r="BB5">
        <v>3.5000000000000003E-2</v>
      </c>
      <c r="BC5">
        <v>2.67</v>
      </c>
    </row>
    <row r="6" spans="1:63" x14ac:dyDescent="0.25">
      <c r="A6">
        <v>2</v>
      </c>
      <c r="B6" t="s">
        <v>103</v>
      </c>
      <c r="C6" s="17">
        <v>42356.833333333336</v>
      </c>
      <c r="D6">
        <v>0</v>
      </c>
      <c r="E6">
        <v>2</v>
      </c>
      <c r="G6">
        <v>2</v>
      </c>
      <c r="H6" s="17">
        <v>42357.188194444447</v>
      </c>
      <c r="I6" s="18">
        <f t="shared" si="0"/>
        <v>0.35486111111094942</v>
      </c>
      <c r="J6">
        <v>16.63</v>
      </c>
      <c r="K6">
        <v>600</v>
      </c>
      <c r="L6" s="17">
        <v>42357.473611111112</v>
      </c>
      <c r="M6" s="18">
        <f t="shared" si="1"/>
        <v>0.64027777777664596</v>
      </c>
      <c r="N6">
        <v>21.43</v>
      </c>
      <c r="O6">
        <v>600</v>
      </c>
      <c r="P6" s="17">
        <v>42357.745138888888</v>
      </c>
      <c r="Q6" s="18">
        <f t="shared" si="2"/>
        <v>0.91180555555183673</v>
      </c>
      <c r="R6">
        <v>13.57</v>
      </c>
      <c r="S6">
        <v>459.4</v>
      </c>
      <c r="T6" s="17">
        <v>42358.469444444447</v>
      </c>
      <c r="U6" s="18">
        <f t="shared" si="3"/>
        <v>1.6361111111109494</v>
      </c>
      <c r="V6">
        <v>8.8000000000000007</v>
      </c>
      <c r="W6">
        <v>89.88</v>
      </c>
      <c r="X6" s="17">
        <v>42359.5</v>
      </c>
      <c r="Y6" s="18">
        <f t="shared" si="4"/>
        <v>2.6666666666642413</v>
      </c>
      <c r="Z6">
        <v>7.91</v>
      </c>
      <c r="AA6">
        <v>12.75</v>
      </c>
      <c r="AB6" s="17">
        <v>42360.388888888891</v>
      </c>
      <c r="AC6" s="18">
        <f t="shared" si="5"/>
        <v>3.5555555555547471</v>
      </c>
      <c r="AD6">
        <v>7.22</v>
      </c>
      <c r="AE6">
        <v>6.74</v>
      </c>
      <c r="AF6" s="17">
        <v>42360.739583333336</v>
      </c>
      <c r="AG6" s="18">
        <f t="shared" si="6"/>
        <v>3.90625</v>
      </c>
      <c r="AH6">
        <v>6.78</v>
      </c>
      <c r="AI6">
        <v>7.51</v>
      </c>
      <c r="AJ6" s="17">
        <v>42361.394444444442</v>
      </c>
      <c r="AK6" s="18">
        <f t="shared" si="7"/>
        <v>4.5611111111065838</v>
      </c>
      <c r="AL6">
        <v>5.47</v>
      </c>
      <c r="AM6">
        <v>6.72</v>
      </c>
      <c r="AN6" s="17">
        <v>42362.382638888892</v>
      </c>
      <c r="AO6" s="18">
        <f t="shared" si="8"/>
        <v>5.5493055555562023</v>
      </c>
      <c r="AP6">
        <v>4.72</v>
      </c>
      <c r="AQ6">
        <v>3.93</v>
      </c>
      <c r="AR6" s="17">
        <v>42363.407638888886</v>
      </c>
      <c r="AS6" s="18">
        <f>AR6-C6</f>
        <v>6.5743055555503815</v>
      </c>
      <c r="AT6">
        <v>3.83</v>
      </c>
      <c r="AU6">
        <v>4.22</v>
      </c>
      <c r="AV6" s="17">
        <v>42364.427777777775</v>
      </c>
      <c r="AW6" s="18">
        <f>AV6-C6</f>
        <v>7.5944444444394321</v>
      </c>
      <c r="AX6">
        <v>3.02</v>
      </c>
      <c r="AY6">
        <v>5.47</v>
      </c>
      <c r="AZ6" s="17">
        <v>42365.438888888886</v>
      </c>
      <c r="BA6" s="18">
        <f>AZ6-C6</f>
        <v>8.6055555555503815</v>
      </c>
      <c r="BB6">
        <v>2.35</v>
      </c>
      <c r="BC6">
        <v>4.34</v>
      </c>
      <c r="BD6" s="17">
        <v>42366.40625</v>
      </c>
      <c r="BE6" s="18">
        <f>BD6-C6</f>
        <v>9.5729166666642413</v>
      </c>
      <c r="BF6">
        <v>1.52</v>
      </c>
      <c r="BG6">
        <v>3.53</v>
      </c>
      <c r="BH6" s="12">
        <v>42367.434027777781</v>
      </c>
      <c r="BI6" s="18">
        <f>BH6-C6</f>
        <v>10.600694444445253</v>
      </c>
      <c r="BJ6">
        <v>1.1200000000000001</v>
      </c>
      <c r="BK6">
        <v>2.77</v>
      </c>
    </row>
    <row r="7" spans="1:63" x14ac:dyDescent="0.25">
      <c r="A7">
        <v>3</v>
      </c>
      <c r="B7" t="s">
        <v>105</v>
      </c>
      <c r="C7" s="17">
        <v>42343.708333333336</v>
      </c>
      <c r="D7">
        <v>2</v>
      </c>
      <c r="E7">
        <v>2</v>
      </c>
      <c r="G7">
        <v>2</v>
      </c>
      <c r="H7" s="17">
        <v>42343.882638888892</v>
      </c>
      <c r="I7" s="18">
        <f t="shared" si="0"/>
        <v>0.17430555555620231</v>
      </c>
      <c r="J7">
        <v>1.08</v>
      </c>
      <c r="K7">
        <v>135.69999999999999</v>
      </c>
      <c r="L7" s="17">
        <v>42344.067361111112</v>
      </c>
      <c r="M7" s="18">
        <f t="shared" si="1"/>
        <v>0.35902777777664596</v>
      </c>
      <c r="N7">
        <v>7.25</v>
      </c>
      <c r="O7">
        <v>7.25</v>
      </c>
      <c r="P7" s="17">
        <v>42344.415972222225</v>
      </c>
      <c r="Q7" s="18">
        <f t="shared" si="2"/>
        <v>0.70763888888905058</v>
      </c>
      <c r="R7">
        <v>11.13</v>
      </c>
      <c r="S7">
        <v>400.7</v>
      </c>
      <c r="T7" s="17">
        <v>42345.436805555553</v>
      </c>
      <c r="U7" s="18">
        <f t="shared" si="3"/>
        <v>1.7284722222175333</v>
      </c>
      <c r="V7">
        <v>6.28</v>
      </c>
      <c r="W7">
        <v>29</v>
      </c>
      <c r="X7" s="17">
        <v>42346.43472222222</v>
      </c>
      <c r="Y7" s="18">
        <f t="shared" si="4"/>
        <v>2.726388888884685</v>
      </c>
      <c r="Z7">
        <v>6.41</v>
      </c>
      <c r="AA7">
        <v>5.93</v>
      </c>
      <c r="AB7" s="17">
        <v>42347.43472222222</v>
      </c>
      <c r="AC7" s="18">
        <f t="shared" si="5"/>
        <v>3.726388888884685</v>
      </c>
      <c r="AD7">
        <v>5.47</v>
      </c>
      <c r="AE7">
        <v>2.98</v>
      </c>
      <c r="AF7" s="17">
        <v>42348.427083333336</v>
      </c>
      <c r="AG7" s="18">
        <f t="shared" si="6"/>
        <v>4.71875</v>
      </c>
      <c r="AH7">
        <v>4</v>
      </c>
      <c r="AI7">
        <v>2.33</v>
      </c>
      <c r="AJ7" s="17">
        <v>42350.37222222222</v>
      </c>
      <c r="AK7" s="18">
        <f t="shared" si="7"/>
        <v>6.663888888884685</v>
      </c>
      <c r="AL7">
        <v>1.34</v>
      </c>
      <c r="AM7">
        <v>1.54</v>
      </c>
      <c r="AN7" s="17">
        <v>42351.445138888892</v>
      </c>
      <c r="AO7" s="18">
        <f t="shared" si="8"/>
        <v>7.7368055555562023</v>
      </c>
      <c r="AP7">
        <v>0.82799999999999996</v>
      </c>
      <c r="AQ7">
        <v>1.29</v>
      </c>
      <c r="AR7" s="17">
        <v>42352.509027777778</v>
      </c>
      <c r="AS7" s="18">
        <f>AR7-C7</f>
        <v>8.8006944444423425</v>
      </c>
      <c r="AT7">
        <v>0.47599999999999998</v>
      </c>
      <c r="AU7">
        <v>1.1499999999999999</v>
      </c>
      <c r="AV7" s="17"/>
      <c r="AW7" s="18"/>
      <c r="AZ7" s="17"/>
      <c r="BA7" s="18"/>
      <c r="BD7" s="17"/>
      <c r="BE7" s="18"/>
      <c r="BI7" s="18"/>
    </row>
    <row r="8" spans="1:63" x14ac:dyDescent="0.25">
      <c r="A8">
        <v>4</v>
      </c>
      <c r="B8" t="s">
        <v>110</v>
      </c>
      <c r="C8" s="17">
        <v>42328.875</v>
      </c>
      <c r="D8">
        <v>0</v>
      </c>
      <c r="E8">
        <v>2</v>
      </c>
      <c r="G8">
        <v>2</v>
      </c>
      <c r="H8" s="17">
        <v>42329.118055555555</v>
      </c>
      <c r="I8" s="18">
        <f t="shared" si="0"/>
        <v>0.24305555555474712</v>
      </c>
      <c r="J8">
        <v>5.8000000000000003E-2</v>
      </c>
      <c r="K8">
        <v>5.46</v>
      </c>
      <c r="L8" s="17">
        <v>42329.424305555556</v>
      </c>
      <c r="M8" s="18">
        <f t="shared" si="1"/>
        <v>0.54930555555620231</v>
      </c>
      <c r="N8">
        <v>0.215</v>
      </c>
      <c r="O8">
        <v>17.71</v>
      </c>
      <c r="P8" s="17">
        <v>42329.727777777778</v>
      </c>
      <c r="Q8" s="18">
        <f t="shared" si="2"/>
        <v>0.85277777777810115</v>
      </c>
      <c r="R8">
        <v>0.33100000000000002</v>
      </c>
      <c r="S8">
        <v>20.350000000000001</v>
      </c>
      <c r="T8" s="17">
        <v>42330.441666666666</v>
      </c>
      <c r="U8" s="18">
        <f t="shared" si="3"/>
        <v>1.5666666666656965</v>
      </c>
      <c r="V8">
        <v>0.29799999999999999</v>
      </c>
      <c r="W8">
        <v>6.62</v>
      </c>
      <c r="X8" s="17">
        <v>42331.418055555558</v>
      </c>
      <c r="Y8" s="18">
        <f t="shared" si="4"/>
        <v>2.5430555555576575</v>
      </c>
      <c r="Z8">
        <v>0.33</v>
      </c>
      <c r="AA8">
        <v>2.2799999999999998</v>
      </c>
      <c r="AB8" s="17">
        <v>42332.4</v>
      </c>
      <c r="AC8" s="18">
        <f t="shared" si="5"/>
        <v>3.5250000000014552</v>
      </c>
      <c r="AD8">
        <v>0.33300000000000002</v>
      </c>
      <c r="AE8">
        <v>1.56</v>
      </c>
      <c r="AF8" s="17">
        <v>42333.379166666666</v>
      </c>
      <c r="AG8" s="18">
        <f t="shared" si="6"/>
        <v>4.5041666666656965</v>
      </c>
      <c r="AH8">
        <v>0.19600000000000001</v>
      </c>
      <c r="AI8">
        <v>1.58</v>
      </c>
      <c r="AJ8" s="17">
        <v>42334.386805555558</v>
      </c>
      <c r="AK8" s="18">
        <f t="shared" si="7"/>
        <v>5.5118055555576575</v>
      </c>
      <c r="AL8">
        <v>7.8E-2</v>
      </c>
      <c r="AM8">
        <v>1.72</v>
      </c>
      <c r="AN8" s="17">
        <v>42335.429861111108</v>
      </c>
      <c r="AO8" s="18">
        <f t="shared" si="8"/>
        <v>6.554861111108039</v>
      </c>
      <c r="AP8">
        <v>3.5000000000000003E-2</v>
      </c>
      <c r="AQ8">
        <v>1.87</v>
      </c>
      <c r="AR8" s="17"/>
      <c r="AS8" s="18"/>
      <c r="AV8" s="17"/>
      <c r="AW8" s="18"/>
      <c r="AZ8" s="17"/>
      <c r="BA8" s="18"/>
      <c r="BD8" s="17"/>
      <c r="BE8" s="18"/>
      <c r="BI8" s="18"/>
    </row>
    <row r="9" spans="1:63" x14ac:dyDescent="0.25">
      <c r="A9">
        <v>5</v>
      </c>
      <c r="B9" t="s">
        <v>121</v>
      </c>
      <c r="C9" s="17">
        <v>42351.625</v>
      </c>
      <c r="D9">
        <v>0</v>
      </c>
      <c r="E9">
        <v>1</v>
      </c>
      <c r="G9">
        <v>2</v>
      </c>
      <c r="H9" s="17">
        <v>42351.851388888892</v>
      </c>
      <c r="I9" s="18">
        <f t="shared" si="0"/>
        <v>0.22638888889196096</v>
      </c>
      <c r="J9">
        <v>0.53</v>
      </c>
      <c r="K9">
        <v>24.14</v>
      </c>
      <c r="L9" s="17">
        <v>42352.006944444445</v>
      </c>
      <c r="M9" s="18">
        <f t="shared" si="1"/>
        <v>0.38194444444525288</v>
      </c>
      <c r="N9">
        <v>0.749</v>
      </c>
      <c r="O9">
        <v>31.89</v>
      </c>
      <c r="P9" s="17">
        <v>42352.406944444447</v>
      </c>
      <c r="Q9" s="18">
        <f t="shared" si="2"/>
        <v>0.78194444444670808</v>
      </c>
      <c r="R9">
        <v>0.91100000000000003</v>
      </c>
      <c r="S9">
        <v>34.93</v>
      </c>
      <c r="T9" s="17">
        <v>42352.796527777777</v>
      </c>
      <c r="U9" s="18">
        <f t="shared" si="3"/>
        <v>1.171527777776646</v>
      </c>
      <c r="V9">
        <v>0.67300000000000004</v>
      </c>
      <c r="W9">
        <v>19.850000000000001</v>
      </c>
      <c r="X9" s="17">
        <v>42353.377083333333</v>
      </c>
      <c r="Y9" s="18">
        <f t="shared" si="4"/>
        <v>1.7520833333328483</v>
      </c>
      <c r="Z9">
        <v>0.47399999999999998</v>
      </c>
      <c r="AA9">
        <v>7.36</v>
      </c>
      <c r="AB9" s="17">
        <v>42354.406944444447</v>
      </c>
      <c r="AC9" s="18">
        <f t="shared" si="5"/>
        <v>2.7819444444467081</v>
      </c>
      <c r="AD9">
        <v>0.438</v>
      </c>
      <c r="AE9">
        <v>3</v>
      </c>
      <c r="AF9" s="17">
        <v>42354.724999999999</v>
      </c>
      <c r="AG9" s="18">
        <f t="shared" si="6"/>
        <v>3.0999999999985448</v>
      </c>
      <c r="AH9">
        <v>0.35399999999999998</v>
      </c>
      <c r="AI9">
        <v>2.94</v>
      </c>
      <c r="AJ9" s="17">
        <v>42355.378472222219</v>
      </c>
      <c r="AK9" s="18">
        <f t="shared" si="7"/>
        <v>3.7534722222189885</v>
      </c>
      <c r="AL9">
        <v>0.371</v>
      </c>
      <c r="AM9">
        <v>2.67</v>
      </c>
      <c r="AN9" s="17">
        <v>42356.421527777777</v>
      </c>
      <c r="AO9" s="18">
        <f t="shared" si="8"/>
        <v>4.796527777776646</v>
      </c>
      <c r="AP9">
        <v>0.28100000000000003</v>
      </c>
      <c r="AQ9">
        <v>3.08</v>
      </c>
      <c r="AR9" s="17"/>
      <c r="AS9" s="18"/>
      <c r="AV9" s="17"/>
      <c r="AW9" s="18"/>
      <c r="AZ9" s="17"/>
      <c r="BA9" s="18"/>
      <c r="BD9" s="17"/>
      <c r="BE9" s="18"/>
      <c r="BI9" s="18"/>
    </row>
    <row r="10" spans="1:63" x14ac:dyDescent="0.25">
      <c r="A10">
        <v>6</v>
      </c>
      <c r="B10" t="s">
        <v>122</v>
      </c>
      <c r="C10" s="17">
        <v>42331.625</v>
      </c>
      <c r="D10">
        <v>0</v>
      </c>
      <c r="E10">
        <v>2</v>
      </c>
      <c r="G10">
        <v>2</v>
      </c>
      <c r="H10" s="17">
        <v>42331.80972222222</v>
      </c>
      <c r="I10" s="18">
        <f t="shared" si="0"/>
        <v>0.18472222222044365</v>
      </c>
      <c r="J10">
        <v>1.68</v>
      </c>
      <c r="K10">
        <v>114.4</v>
      </c>
      <c r="L10" s="17">
        <v>42332.051388888889</v>
      </c>
      <c r="M10" s="18">
        <f t="shared" si="1"/>
        <v>0.42638888888905058</v>
      </c>
      <c r="N10">
        <v>3.74</v>
      </c>
      <c r="O10">
        <v>387.3</v>
      </c>
      <c r="P10" s="17">
        <v>42332.446527777778</v>
      </c>
      <c r="Q10" s="18">
        <f t="shared" si="2"/>
        <v>0.82152777777810115</v>
      </c>
      <c r="R10">
        <v>6.42</v>
      </c>
      <c r="S10">
        <v>125.6</v>
      </c>
      <c r="T10" s="17">
        <v>42332.650694444441</v>
      </c>
      <c r="U10" s="18">
        <f t="shared" si="3"/>
        <v>1.0256944444408873</v>
      </c>
      <c r="V10">
        <v>3.69</v>
      </c>
      <c r="W10">
        <v>184.2</v>
      </c>
      <c r="X10" s="17">
        <v>42333.297222222223</v>
      </c>
      <c r="Y10" s="18">
        <f t="shared" si="4"/>
        <v>1.672222222223354</v>
      </c>
      <c r="Z10">
        <v>3.05</v>
      </c>
      <c r="AA10">
        <v>49.45</v>
      </c>
      <c r="AB10" s="17">
        <v>42334.386805555558</v>
      </c>
      <c r="AC10" s="18">
        <f t="shared" si="5"/>
        <v>2.7618055555576575</v>
      </c>
      <c r="AD10">
        <v>2.41</v>
      </c>
      <c r="AE10">
        <v>8.33</v>
      </c>
      <c r="AF10" s="17">
        <v>42334.78402777778</v>
      </c>
      <c r="AG10" s="18">
        <f t="shared" si="6"/>
        <v>3.1590277777795563</v>
      </c>
      <c r="AH10">
        <v>2.14</v>
      </c>
      <c r="AI10">
        <v>5.94</v>
      </c>
      <c r="AJ10" s="17">
        <v>42335.412499999999</v>
      </c>
      <c r="AK10" s="18">
        <f t="shared" si="7"/>
        <v>3.7874999999985448</v>
      </c>
      <c r="AL10">
        <v>2.39</v>
      </c>
      <c r="AM10">
        <v>4.84</v>
      </c>
      <c r="AN10" s="17">
        <v>42336.355555555558</v>
      </c>
      <c r="AO10" s="18">
        <f t="shared" si="8"/>
        <v>4.7305555555576575</v>
      </c>
      <c r="AP10">
        <v>1.48</v>
      </c>
      <c r="AQ10">
        <v>2.69</v>
      </c>
      <c r="AR10" s="17">
        <v>42337.400694444441</v>
      </c>
      <c r="AS10" s="18">
        <f>AR10-C10</f>
        <v>5.7756944444408873</v>
      </c>
      <c r="AT10">
        <v>0.62</v>
      </c>
      <c r="AU10">
        <v>2.2400000000000002</v>
      </c>
      <c r="AV10" s="17">
        <v>42338.442361111112</v>
      </c>
      <c r="AW10" s="18">
        <f>AV10-C10</f>
        <v>6.8173611111124046</v>
      </c>
      <c r="AX10">
        <v>0.31900000000000001</v>
      </c>
      <c r="AY10">
        <v>2.36</v>
      </c>
      <c r="AZ10" s="17"/>
      <c r="BA10" s="18"/>
      <c r="BD10" s="17"/>
      <c r="BE10" s="18"/>
      <c r="BI10" s="18"/>
    </row>
    <row r="11" spans="1:63" x14ac:dyDescent="0.25">
      <c r="A11">
        <v>7</v>
      </c>
      <c r="B11" t="s">
        <v>123</v>
      </c>
      <c r="C11" s="17">
        <v>42338.5</v>
      </c>
      <c r="D11">
        <v>0</v>
      </c>
      <c r="E11">
        <v>1</v>
      </c>
      <c r="G11">
        <v>2</v>
      </c>
      <c r="H11" s="17">
        <v>42338.745833333334</v>
      </c>
      <c r="I11" s="18">
        <f t="shared" si="0"/>
        <v>0.24583333333430346</v>
      </c>
      <c r="J11">
        <v>1.71</v>
      </c>
      <c r="K11">
        <v>105.6</v>
      </c>
      <c r="L11" s="17">
        <v>42338.97152777778</v>
      </c>
      <c r="M11" s="18">
        <f t="shared" si="1"/>
        <v>0.47152777777955635</v>
      </c>
      <c r="N11">
        <v>9.36</v>
      </c>
      <c r="O11">
        <v>299.60000000000002</v>
      </c>
      <c r="P11" s="17">
        <v>42339.409722222219</v>
      </c>
      <c r="Q11" s="18">
        <f t="shared" si="2"/>
        <v>0.90972222221898846</v>
      </c>
      <c r="R11">
        <v>8.43</v>
      </c>
      <c r="S11">
        <v>171.9</v>
      </c>
      <c r="T11" s="17">
        <v>42340.373611111114</v>
      </c>
      <c r="U11" s="18">
        <f>T11-C11</f>
        <v>1.8736111111138598</v>
      </c>
      <c r="V11">
        <v>4.3</v>
      </c>
      <c r="W11">
        <v>12.88</v>
      </c>
      <c r="X11" s="17">
        <v>42341.390277777777</v>
      </c>
      <c r="Y11" s="18">
        <f t="shared" si="4"/>
        <v>2.890277777776646</v>
      </c>
      <c r="Z11">
        <v>4.74</v>
      </c>
      <c r="AA11">
        <v>3.43</v>
      </c>
      <c r="AB11" s="17">
        <v>42342.442361111112</v>
      </c>
      <c r="AC11" s="18">
        <f t="shared" si="5"/>
        <v>3.9423611111124046</v>
      </c>
      <c r="AD11">
        <v>3.85</v>
      </c>
      <c r="AE11">
        <v>1.64</v>
      </c>
      <c r="AF11" s="17"/>
      <c r="AG11" s="18"/>
      <c r="AJ11" s="17"/>
      <c r="AK11" s="18"/>
      <c r="AN11" s="17"/>
      <c r="AO11" s="18"/>
      <c r="AR11" s="17"/>
      <c r="AS11" s="18"/>
      <c r="AV11" s="17"/>
      <c r="AW11" s="18"/>
      <c r="AZ11" s="17"/>
      <c r="BA11" s="18"/>
      <c r="BD11" s="17"/>
      <c r="BE11" s="18"/>
      <c r="BI11" s="18"/>
    </row>
    <row r="12" spans="1:63" x14ac:dyDescent="0.25">
      <c r="A12">
        <v>8</v>
      </c>
      <c r="B12" t="s">
        <v>125</v>
      </c>
      <c r="C12" s="17">
        <v>42335.125</v>
      </c>
      <c r="D12">
        <v>0</v>
      </c>
      <c r="E12">
        <v>2</v>
      </c>
      <c r="G12">
        <v>2</v>
      </c>
      <c r="H12" s="17">
        <v>42335.322222222225</v>
      </c>
      <c r="I12" s="18">
        <f t="shared" si="0"/>
        <v>0.19722222222480923</v>
      </c>
      <c r="J12">
        <v>0.31</v>
      </c>
      <c r="K12">
        <v>48.95</v>
      </c>
      <c r="L12" s="17">
        <v>42335.675694444442</v>
      </c>
      <c r="M12" s="18">
        <f t="shared" si="1"/>
        <v>0.5506944444423425</v>
      </c>
      <c r="N12">
        <v>3.72</v>
      </c>
      <c r="O12">
        <v>300</v>
      </c>
      <c r="P12" s="17">
        <v>42336.375694444447</v>
      </c>
      <c r="Q12" s="18">
        <f t="shared" si="2"/>
        <v>1.2506944444467081</v>
      </c>
      <c r="R12">
        <v>4.18</v>
      </c>
      <c r="S12">
        <v>184.1</v>
      </c>
      <c r="T12" s="17">
        <v>42337.400694444441</v>
      </c>
      <c r="U12" s="18">
        <f t="shared" si="3"/>
        <v>2.2756944444408873</v>
      </c>
      <c r="V12">
        <v>2.13</v>
      </c>
      <c r="W12">
        <v>17.78</v>
      </c>
      <c r="X12" s="17">
        <v>42338.388194444444</v>
      </c>
      <c r="Y12" s="18">
        <f t="shared" si="4"/>
        <v>3.2631944444437977</v>
      </c>
      <c r="Z12">
        <v>2.67</v>
      </c>
      <c r="AA12">
        <v>4.67</v>
      </c>
      <c r="AB12" s="17">
        <v>42339.384722222225</v>
      </c>
      <c r="AC12" s="18">
        <f t="shared" si="5"/>
        <v>4.2597222222248092</v>
      </c>
      <c r="AD12">
        <v>3.99</v>
      </c>
      <c r="AE12">
        <v>2.0299999999999998</v>
      </c>
      <c r="AF12" s="17">
        <v>42340.373611111114</v>
      </c>
      <c r="AG12" s="18">
        <f t="shared" ref="AG12:AG20" si="9">AF12-C12</f>
        <v>5.2486111111138598</v>
      </c>
      <c r="AH12">
        <v>3.16</v>
      </c>
      <c r="AI12">
        <v>1.76</v>
      </c>
      <c r="AJ12" s="17">
        <v>42341.418749999997</v>
      </c>
      <c r="AK12" s="18">
        <f t="shared" ref="AK12:AK17" si="10">AJ12-C12</f>
        <v>6.2937499999970896</v>
      </c>
      <c r="AL12">
        <v>1.71</v>
      </c>
      <c r="AM12">
        <v>1.73</v>
      </c>
      <c r="AN12" s="17">
        <v>42342.442361111112</v>
      </c>
      <c r="AO12" s="18">
        <f>AN12-C12</f>
        <v>7.3173611111124046</v>
      </c>
      <c r="AP12">
        <v>0.76</v>
      </c>
      <c r="AQ12">
        <v>1.75</v>
      </c>
      <c r="AR12" s="17">
        <v>42343.436111111114</v>
      </c>
      <c r="AS12" s="18">
        <f>AR12-C12</f>
        <v>8.3111111111138598</v>
      </c>
      <c r="AT12">
        <v>0.45500000000000002</v>
      </c>
      <c r="AU12">
        <v>1.56</v>
      </c>
      <c r="AV12" s="17">
        <v>42344.384027777778</v>
      </c>
      <c r="AW12" s="18">
        <f>AV12-C12</f>
        <v>9.2590277777781012</v>
      </c>
      <c r="AX12">
        <v>0.29299999999999998</v>
      </c>
      <c r="AY12">
        <v>1.3</v>
      </c>
      <c r="AZ12" s="17">
        <v>42345.458333333336</v>
      </c>
      <c r="BA12" s="18">
        <f>AZ12-C12</f>
        <v>10.333333333335759</v>
      </c>
      <c r="BB12">
        <v>0.182</v>
      </c>
      <c r="BC12">
        <v>1.31</v>
      </c>
      <c r="BD12" s="17"/>
      <c r="BE12" s="18"/>
      <c r="BI12" s="18"/>
    </row>
    <row r="13" spans="1:63" x14ac:dyDescent="0.25">
      <c r="A13">
        <v>9</v>
      </c>
      <c r="B13" t="s">
        <v>192</v>
      </c>
      <c r="C13" s="17">
        <v>42359.791666666664</v>
      </c>
      <c r="D13">
        <v>0</v>
      </c>
      <c r="E13">
        <v>2</v>
      </c>
      <c r="G13">
        <v>2</v>
      </c>
      <c r="H13" s="17">
        <v>42359.98333333333</v>
      </c>
      <c r="I13" s="18">
        <f t="shared" si="0"/>
        <v>0.19166666666569654</v>
      </c>
      <c r="J13">
        <v>1.57</v>
      </c>
      <c r="K13">
        <v>121.9</v>
      </c>
      <c r="L13" s="17">
        <v>42360.290277777778</v>
      </c>
      <c r="M13" s="18">
        <f t="shared" si="1"/>
        <v>0.49861111111385981</v>
      </c>
      <c r="N13">
        <v>7.81</v>
      </c>
      <c r="O13">
        <v>300</v>
      </c>
      <c r="P13" s="17">
        <v>42360.739583333336</v>
      </c>
      <c r="Q13" s="18">
        <f t="shared" si="2"/>
        <v>0.94791666667151731</v>
      </c>
      <c r="R13">
        <v>7.46</v>
      </c>
      <c r="S13">
        <v>205.4</v>
      </c>
      <c r="T13" s="17">
        <v>42361.394444444442</v>
      </c>
      <c r="U13" s="18">
        <f t="shared" si="3"/>
        <v>1.6027777777781012</v>
      </c>
      <c r="V13">
        <v>6.58</v>
      </c>
      <c r="W13">
        <v>61.94</v>
      </c>
      <c r="X13" s="17">
        <v>42362.354166666664</v>
      </c>
      <c r="Y13" s="18">
        <f t="shared" si="4"/>
        <v>2.5625</v>
      </c>
      <c r="Z13">
        <v>5.93</v>
      </c>
      <c r="AA13">
        <v>11.91</v>
      </c>
      <c r="AB13" s="17">
        <v>42363.429861111108</v>
      </c>
      <c r="AC13" s="18">
        <f t="shared" si="5"/>
        <v>3.6381944444437977</v>
      </c>
      <c r="AD13">
        <v>4.9800000000000004</v>
      </c>
      <c r="AE13">
        <v>5.6</v>
      </c>
      <c r="AF13" s="17">
        <v>42364.438888888886</v>
      </c>
      <c r="AG13" s="18">
        <f t="shared" si="9"/>
        <v>4.6472222222218988</v>
      </c>
      <c r="AH13">
        <v>1.72</v>
      </c>
      <c r="AI13">
        <v>3.37</v>
      </c>
      <c r="AJ13" s="17">
        <v>42365.447222222225</v>
      </c>
      <c r="AK13" s="18">
        <f t="shared" si="10"/>
        <v>5.6555555555605679</v>
      </c>
      <c r="AL13">
        <v>0.43</v>
      </c>
      <c r="AM13">
        <v>2.94</v>
      </c>
      <c r="AN13" s="17">
        <v>42366.35</v>
      </c>
      <c r="AO13" s="18">
        <f>AN13-C13</f>
        <v>6.5583333333343035</v>
      </c>
      <c r="AP13">
        <v>0.14399999999999999</v>
      </c>
      <c r="AQ13">
        <v>3.86</v>
      </c>
      <c r="AR13" s="17">
        <v>42366.788194444445</v>
      </c>
      <c r="AS13" s="18">
        <f>AR13-C13</f>
        <v>6.9965277777810115</v>
      </c>
      <c r="AT13">
        <v>2.1800000000000002</v>
      </c>
      <c r="AU13">
        <v>59.68</v>
      </c>
      <c r="AV13" s="17">
        <v>42366.994444444441</v>
      </c>
      <c r="AW13" s="18">
        <f>AV13-C13</f>
        <v>7.202777777776646</v>
      </c>
      <c r="AX13">
        <v>2.14</v>
      </c>
      <c r="AY13">
        <v>54.25</v>
      </c>
      <c r="AZ13" s="17">
        <v>42367.4</v>
      </c>
      <c r="BA13" s="18">
        <f>AZ13-C13</f>
        <v>7.6083333333372138</v>
      </c>
      <c r="BB13">
        <v>2.16</v>
      </c>
      <c r="BC13">
        <v>35.74</v>
      </c>
      <c r="BD13" s="17">
        <v>42368.387499999997</v>
      </c>
      <c r="BE13" s="18">
        <f>BD13-C13</f>
        <v>8.5958333333328483</v>
      </c>
      <c r="BF13">
        <v>0.89600000000000002</v>
      </c>
      <c r="BG13">
        <v>5.72</v>
      </c>
      <c r="BH13" s="12">
        <v>42369.405555555553</v>
      </c>
      <c r="BI13" s="18">
        <f>BH13-C13</f>
        <v>9.6138888888890506</v>
      </c>
      <c r="BJ13">
        <v>0.97299999999999998</v>
      </c>
      <c r="BK13">
        <v>4.74</v>
      </c>
    </row>
    <row r="14" spans="1:63" x14ac:dyDescent="0.25">
      <c r="A14">
        <v>10</v>
      </c>
      <c r="B14" t="s">
        <v>252</v>
      </c>
      <c r="C14" s="17">
        <v>42354.625</v>
      </c>
      <c r="D14">
        <v>0</v>
      </c>
      <c r="E14">
        <v>2</v>
      </c>
      <c r="G14">
        <v>2</v>
      </c>
      <c r="H14" s="17">
        <v>42354.931250000001</v>
      </c>
      <c r="I14" s="18">
        <f t="shared" si="0"/>
        <v>0.30625000000145519</v>
      </c>
      <c r="J14">
        <v>5.15</v>
      </c>
      <c r="K14">
        <v>215.8</v>
      </c>
      <c r="L14" s="17">
        <v>42355.131249999999</v>
      </c>
      <c r="M14" s="18">
        <f t="shared" si="1"/>
        <v>0.50624999999854481</v>
      </c>
      <c r="N14">
        <v>3.82</v>
      </c>
      <c r="O14">
        <v>288.89999999999998</v>
      </c>
      <c r="P14" s="17">
        <v>42355.406944444447</v>
      </c>
      <c r="Q14" s="18">
        <f t="shared" si="2"/>
        <v>0.78194444444670808</v>
      </c>
      <c r="R14">
        <v>3.03</v>
      </c>
      <c r="S14">
        <v>170.5</v>
      </c>
      <c r="T14" s="17">
        <v>42356.421527777777</v>
      </c>
      <c r="U14" s="18">
        <f t="shared" si="3"/>
        <v>1.796527777776646</v>
      </c>
      <c r="V14">
        <v>2.81</v>
      </c>
      <c r="W14">
        <v>16.8</v>
      </c>
      <c r="X14" s="17">
        <v>42357.445138888892</v>
      </c>
      <c r="Y14" s="18">
        <f t="shared" si="4"/>
        <v>2.820138888891961</v>
      </c>
      <c r="Z14">
        <v>2.69</v>
      </c>
      <c r="AA14">
        <v>4.96</v>
      </c>
      <c r="AB14" s="17">
        <v>42358.425000000003</v>
      </c>
      <c r="AC14" s="18">
        <f t="shared" si="5"/>
        <v>3.8000000000029104</v>
      </c>
      <c r="AD14">
        <v>2.13</v>
      </c>
      <c r="AE14">
        <v>3.41</v>
      </c>
      <c r="AF14" s="17">
        <v>42359.459027777775</v>
      </c>
      <c r="AG14" s="18">
        <f t="shared" si="9"/>
        <v>4.8340277777751908</v>
      </c>
      <c r="AH14">
        <v>0.88900000000000001</v>
      </c>
      <c r="AI14">
        <v>3.4</v>
      </c>
      <c r="AJ14" s="17">
        <v>42360.400694444441</v>
      </c>
      <c r="AK14" s="18">
        <f t="shared" si="10"/>
        <v>5.7756944444408873</v>
      </c>
      <c r="AL14">
        <v>0.45800000000000002</v>
      </c>
      <c r="AM14">
        <v>3.26</v>
      </c>
      <c r="AN14" s="17">
        <v>42361.470833333333</v>
      </c>
      <c r="AO14" s="18">
        <f>AN14-C14</f>
        <v>6.8458333333328483</v>
      </c>
      <c r="AP14">
        <v>0.22800000000000001</v>
      </c>
      <c r="AQ14">
        <v>3.01</v>
      </c>
      <c r="AR14" s="17">
        <v>42362.427777777775</v>
      </c>
      <c r="AS14" s="18">
        <f>AR14-C14</f>
        <v>7.8027777777751908</v>
      </c>
      <c r="AT14">
        <v>0.124</v>
      </c>
      <c r="AU14">
        <v>2.5499999999999998</v>
      </c>
      <c r="AV14" s="17"/>
      <c r="AW14" s="18"/>
      <c r="AZ14" s="17"/>
      <c r="BA14" s="18"/>
    </row>
    <row r="15" spans="1:63" x14ac:dyDescent="0.25">
      <c r="A15">
        <v>11</v>
      </c>
      <c r="B15" t="s">
        <v>264</v>
      </c>
      <c r="C15" s="17">
        <v>42341.333333333336</v>
      </c>
      <c r="D15">
        <v>2</v>
      </c>
      <c r="E15">
        <v>2</v>
      </c>
      <c r="G15">
        <v>2</v>
      </c>
      <c r="H15" s="17">
        <v>42341.498611111114</v>
      </c>
      <c r="I15" s="18">
        <f t="shared" si="0"/>
        <v>0.16527777777810115</v>
      </c>
      <c r="J15">
        <v>5.65</v>
      </c>
      <c r="K15">
        <v>203.8</v>
      </c>
      <c r="L15" s="17">
        <v>42341.744444444441</v>
      </c>
      <c r="M15" s="18">
        <f t="shared" si="1"/>
        <v>0.41111111110512866</v>
      </c>
      <c r="N15">
        <v>18.55</v>
      </c>
      <c r="O15">
        <v>290.3</v>
      </c>
      <c r="P15" s="17">
        <v>42342.426388888889</v>
      </c>
      <c r="Q15" s="18">
        <f t="shared" si="2"/>
        <v>1.0930555555532919</v>
      </c>
      <c r="R15">
        <v>9.43</v>
      </c>
      <c r="S15">
        <v>93.66</v>
      </c>
      <c r="T15" s="17">
        <v>42343.436805555553</v>
      </c>
      <c r="U15" s="18">
        <f t="shared" si="3"/>
        <v>2.1034722222175333</v>
      </c>
      <c r="V15">
        <v>4.24</v>
      </c>
      <c r="W15">
        <v>11.9</v>
      </c>
      <c r="X15" s="17">
        <v>42344.409722222219</v>
      </c>
      <c r="Y15" s="18">
        <f t="shared" si="4"/>
        <v>3.0763888888832298</v>
      </c>
      <c r="Z15">
        <v>3.51</v>
      </c>
      <c r="AA15">
        <v>5.93</v>
      </c>
      <c r="AB15" s="17">
        <v>42345.411805555559</v>
      </c>
      <c r="AC15" s="18">
        <f t="shared" si="5"/>
        <v>4.078472222223354</v>
      </c>
      <c r="AD15">
        <v>3.17</v>
      </c>
      <c r="AE15">
        <v>5.28</v>
      </c>
      <c r="AF15" s="17">
        <v>42345.747916666667</v>
      </c>
      <c r="AG15" s="18">
        <f t="shared" si="9"/>
        <v>4.4145833333313931</v>
      </c>
      <c r="AH15">
        <v>2.36</v>
      </c>
      <c r="AI15">
        <v>3.94</v>
      </c>
      <c r="AJ15" s="17">
        <v>42346.418055555558</v>
      </c>
      <c r="AK15" s="18">
        <f t="shared" si="10"/>
        <v>5.0847222222218988</v>
      </c>
      <c r="AL15" s="19">
        <v>42553</v>
      </c>
      <c r="AM15">
        <v>3.64</v>
      </c>
      <c r="AN15" s="17">
        <v>42347.466666666667</v>
      </c>
      <c r="AO15" s="18">
        <f>AN15-C15</f>
        <v>6.1333333333313931</v>
      </c>
      <c r="AP15">
        <v>1.91</v>
      </c>
      <c r="AQ15">
        <v>2.83</v>
      </c>
      <c r="AR15" s="17">
        <v>42348.427083333336</v>
      </c>
      <c r="AS15" s="18">
        <f>AR15-C15</f>
        <v>7.09375</v>
      </c>
      <c r="AT15">
        <v>1.56</v>
      </c>
      <c r="AU15">
        <v>2.4300000000000002</v>
      </c>
      <c r="AV15" s="17"/>
      <c r="AW15" s="18"/>
      <c r="AZ15" s="17"/>
      <c r="BA15" s="18"/>
    </row>
    <row r="16" spans="1:63" x14ac:dyDescent="0.25">
      <c r="A16">
        <v>12</v>
      </c>
      <c r="B16" t="s">
        <v>276</v>
      </c>
      <c r="C16" s="17">
        <v>42344.625</v>
      </c>
      <c r="D16">
        <v>0</v>
      </c>
      <c r="E16">
        <v>2</v>
      </c>
      <c r="G16">
        <v>1</v>
      </c>
      <c r="H16" s="17">
        <v>42344.790972222225</v>
      </c>
      <c r="I16" s="18">
        <f t="shared" si="0"/>
        <v>0.16597222222480923</v>
      </c>
      <c r="J16">
        <v>0.73299999999999998</v>
      </c>
      <c r="K16">
        <v>31.5</v>
      </c>
      <c r="L16" s="17">
        <v>42344.987500000003</v>
      </c>
      <c r="M16" s="18">
        <f t="shared" si="1"/>
        <v>0.36250000000291038</v>
      </c>
      <c r="N16">
        <v>1.1100000000000001</v>
      </c>
      <c r="O16">
        <v>26.33</v>
      </c>
      <c r="P16" s="17">
        <v>42345.436805555553</v>
      </c>
      <c r="Q16" s="18">
        <f t="shared" si="2"/>
        <v>0.81180555555329192</v>
      </c>
      <c r="R16">
        <v>1.18</v>
      </c>
      <c r="S16">
        <v>35.67</v>
      </c>
      <c r="T16" s="17">
        <v>42345.908333333333</v>
      </c>
      <c r="U16" s="18">
        <f t="shared" si="3"/>
        <v>1.2833333333328483</v>
      </c>
      <c r="V16">
        <v>0.96299999999999997</v>
      </c>
      <c r="W16">
        <v>14.45</v>
      </c>
      <c r="X16" s="17">
        <v>42345.923611111109</v>
      </c>
      <c r="Y16" s="18">
        <f t="shared" si="4"/>
        <v>1.2986111111094942</v>
      </c>
      <c r="Z16">
        <v>0.96299999999999997</v>
      </c>
      <c r="AA16">
        <v>14.45</v>
      </c>
      <c r="AB16" s="17">
        <v>42346.418055555558</v>
      </c>
      <c r="AC16" s="18">
        <f t="shared" si="5"/>
        <v>1.7930555555576575</v>
      </c>
      <c r="AD16">
        <v>1.0900000000000001</v>
      </c>
      <c r="AE16">
        <v>8.5</v>
      </c>
      <c r="AF16" s="17">
        <v>42347.43472222222</v>
      </c>
      <c r="AG16" s="18">
        <f t="shared" si="9"/>
        <v>2.8097222222204437</v>
      </c>
      <c r="AH16">
        <v>1.87</v>
      </c>
      <c r="AI16">
        <v>3.8</v>
      </c>
      <c r="AJ16" s="17">
        <v>42348.46875</v>
      </c>
      <c r="AK16" s="18">
        <f t="shared" si="10"/>
        <v>3.84375</v>
      </c>
      <c r="AL16">
        <v>2.16</v>
      </c>
      <c r="AM16">
        <v>2.2000000000000002</v>
      </c>
      <c r="AN16" s="17">
        <v>42349.459027777775</v>
      </c>
      <c r="AO16" s="18">
        <f>AN16-C16</f>
        <v>4.8340277777751908</v>
      </c>
      <c r="AP16">
        <v>1.92</v>
      </c>
      <c r="AQ16">
        <v>2.1800000000000002</v>
      </c>
      <c r="AR16" s="17">
        <v>42350.37222222222</v>
      </c>
      <c r="AS16" s="18">
        <f>AR16-C16</f>
        <v>5.7472222222204437</v>
      </c>
      <c r="AT16">
        <v>1.46</v>
      </c>
      <c r="AU16">
        <v>2.0099999999999998</v>
      </c>
      <c r="AV16" s="17"/>
      <c r="AW16" s="18"/>
      <c r="AZ16" s="17"/>
      <c r="BA16" s="18"/>
    </row>
    <row r="17" spans="1:55" x14ac:dyDescent="0.25">
      <c r="A17">
        <v>13</v>
      </c>
      <c r="B17" t="s">
        <v>288</v>
      </c>
      <c r="C17" s="17">
        <v>42096.625</v>
      </c>
      <c r="D17">
        <v>0</v>
      </c>
      <c r="E17">
        <v>2</v>
      </c>
      <c r="G17">
        <v>2</v>
      </c>
      <c r="H17" s="17">
        <v>42096.94027777778</v>
      </c>
      <c r="I17" s="18">
        <f t="shared" si="0"/>
        <v>0.31527777777955635</v>
      </c>
      <c r="J17">
        <v>0.20599999999999999</v>
      </c>
      <c r="K17">
        <v>28.32</v>
      </c>
      <c r="L17" s="17">
        <v>42097.095833333333</v>
      </c>
      <c r="M17" s="18">
        <f t="shared" si="1"/>
        <v>0.47083333333284827</v>
      </c>
      <c r="N17">
        <v>0.80300000000000005</v>
      </c>
      <c r="O17">
        <v>49.33</v>
      </c>
      <c r="P17" s="17">
        <v>42097.433333333334</v>
      </c>
      <c r="Q17" s="18">
        <f t="shared" si="2"/>
        <v>0.80833333333430346</v>
      </c>
      <c r="R17">
        <v>1.05</v>
      </c>
      <c r="S17">
        <v>58.12</v>
      </c>
      <c r="T17" s="17">
        <v>42099.481944444444</v>
      </c>
      <c r="U17" s="18">
        <f t="shared" si="3"/>
        <v>2.8569444444437977</v>
      </c>
      <c r="V17">
        <v>0.504</v>
      </c>
      <c r="W17">
        <v>2.87</v>
      </c>
      <c r="X17" s="17">
        <v>42100.441666666666</v>
      </c>
      <c r="Y17" s="18">
        <f t="shared" si="4"/>
        <v>3.8166666666656965</v>
      </c>
      <c r="Z17">
        <v>0.753</v>
      </c>
      <c r="AA17">
        <v>1.99</v>
      </c>
      <c r="AB17" s="17">
        <v>42101.449305555558</v>
      </c>
      <c r="AC17" s="18">
        <f t="shared" si="5"/>
        <v>4.8243055555576575</v>
      </c>
      <c r="AD17">
        <v>0.62</v>
      </c>
      <c r="AE17">
        <v>3.12</v>
      </c>
      <c r="AF17" s="17">
        <v>42102.400694444441</v>
      </c>
      <c r="AG17" s="18">
        <f t="shared" si="9"/>
        <v>5.7756944444408873</v>
      </c>
      <c r="AH17">
        <v>0.42799999999999999</v>
      </c>
      <c r="AI17">
        <v>4.0599999999999996</v>
      </c>
      <c r="AJ17" s="17">
        <v>42103.427777777775</v>
      </c>
      <c r="AK17" s="18">
        <f t="shared" si="10"/>
        <v>6.8027777777751908</v>
      </c>
      <c r="AL17">
        <v>0.247</v>
      </c>
      <c r="AM17">
        <v>3.82</v>
      </c>
      <c r="AN17" s="17"/>
      <c r="AO17" s="18"/>
      <c r="AR17" s="17"/>
      <c r="AS17" s="18"/>
      <c r="AV17" s="17"/>
      <c r="AW17" s="18"/>
      <c r="AZ17" s="17"/>
      <c r="BA17" s="18"/>
    </row>
    <row r="18" spans="1:55" x14ac:dyDescent="0.25">
      <c r="A18">
        <v>14</v>
      </c>
      <c r="B18" t="s">
        <v>299</v>
      </c>
      <c r="C18" s="17">
        <v>42041.416666666664</v>
      </c>
      <c r="D18">
        <v>1</v>
      </c>
      <c r="E18">
        <v>2</v>
      </c>
      <c r="G18">
        <v>2</v>
      </c>
      <c r="H18" s="17">
        <v>42041.77847222222</v>
      </c>
      <c r="I18" s="18">
        <f t="shared" si="0"/>
        <v>0.36180555555620231</v>
      </c>
      <c r="J18">
        <v>8.7999999999999995E-2</v>
      </c>
      <c r="K18">
        <v>2.83</v>
      </c>
      <c r="L18" s="17">
        <v>42041.974999999999</v>
      </c>
      <c r="M18" s="18">
        <f t="shared" si="1"/>
        <v>0.55833333333430346</v>
      </c>
      <c r="N18">
        <v>6.9000000000000006E-2</v>
      </c>
      <c r="O18">
        <v>3.86</v>
      </c>
      <c r="P18" s="17">
        <v>42042.454861111109</v>
      </c>
      <c r="Q18" s="18">
        <f t="shared" si="2"/>
        <v>1.0381944444452529</v>
      </c>
      <c r="R18">
        <v>7.2999999999999995E-2</v>
      </c>
      <c r="S18">
        <v>5.73</v>
      </c>
      <c r="T18" s="17">
        <v>42043.449305555558</v>
      </c>
      <c r="U18" s="18">
        <f t="shared" si="3"/>
        <v>2.0326388888934162</v>
      </c>
      <c r="V18">
        <v>6.9000000000000006E-2</v>
      </c>
      <c r="W18">
        <v>3.4</v>
      </c>
      <c r="X18" s="17">
        <v>42044.421527777777</v>
      </c>
      <c r="Y18" s="18">
        <f t="shared" si="4"/>
        <v>3.0048611111124046</v>
      </c>
      <c r="Z18">
        <v>7.5999999999999998E-2</v>
      </c>
      <c r="AA18">
        <v>1.59</v>
      </c>
      <c r="AB18" s="17">
        <v>42045.395833333336</v>
      </c>
      <c r="AC18" s="18">
        <f t="shared" si="5"/>
        <v>3.9791666666715173</v>
      </c>
      <c r="AD18">
        <v>6.6000000000000003E-2</v>
      </c>
      <c r="AE18">
        <v>1.19</v>
      </c>
      <c r="AF18" s="17">
        <v>42046.438194444447</v>
      </c>
      <c r="AG18" s="18">
        <f t="shared" si="9"/>
        <v>5.0215277777824667</v>
      </c>
      <c r="AH18">
        <v>4.1000000000000002E-2</v>
      </c>
      <c r="AI18">
        <v>0.88</v>
      </c>
      <c r="AJ18" s="17"/>
      <c r="AK18" s="18"/>
      <c r="AN18" s="17"/>
      <c r="AO18" s="18"/>
      <c r="AR18" s="17"/>
      <c r="AS18" s="18"/>
      <c r="AV18" s="17"/>
      <c r="AW18" s="18"/>
      <c r="AZ18" s="17"/>
      <c r="BA18" s="18"/>
    </row>
    <row r="19" spans="1:55" x14ac:dyDescent="0.25">
      <c r="A19">
        <v>15</v>
      </c>
      <c r="B19" t="s">
        <v>308</v>
      </c>
      <c r="C19" s="17">
        <v>42041.458333333336</v>
      </c>
      <c r="D19">
        <v>1</v>
      </c>
      <c r="E19">
        <v>2</v>
      </c>
      <c r="G19">
        <v>2</v>
      </c>
      <c r="H19" s="17">
        <v>42041.777777777781</v>
      </c>
      <c r="I19" s="18">
        <f t="shared" si="0"/>
        <v>0.31944444444525288</v>
      </c>
      <c r="J19">
        <v>15.13</v>
      </c>
      <c r="K19">
        <v>254.7</v>
      </c>
      <c r="L19" s="17">
        <v>42041.984027777777</v>
      </c>
      <c r="M19" s="18">
        <f t="shared" si="1"/>
        <v>0.52569444444088731</v>
      </c>
      <c r="N19">
        <v>24.39</v>
      </c>
      <c r="O19">
        <v>277.2</v>
      </c>
      <c r="P19" s="17">
        <v>42042.454861111109</v>
      </c>
      <c r="Q19" s="18">
        <f t="shared" si="2"/>
        <v>0.99652777777373558</v>
      </c>
      <c r="R19">
        <v>21.44</v>
      </c>
      <c r="S19">
        <v>166.6</v>
      </c>
      <c r="T19" s="17">
        <v>42043.449305555558</v>
      </c>
      <c r="U19" s="18">
        <f t="shared" si="3"/>
        <v>1.9909722222218988</v>
      </c>
      <c r="V19">
        <v>10.59</v>
      </c>
      <c r="W19">
        <v>23.28</v>
      </c>
      <c r="X19" s="17">
        <v>42044.421527777777</v>
      </c>
      <c r="Y19" s="18">
        <f t="shared" si="4"/>
        <v>2.9631944444408873</v>
      </c>
      <c r="Z19">
        <v>8.73</v>
      </c>
      <c r="AA19">
        <v>12.19</v>
      </c>
      <c r="AB19" s="17">
        <v>42045.438888888886</v>
      </c>
      <c r="AC19" s="18">
        <f t="shared" si="5"/>
        <v>3.9805555555503815</v>
      </c>
      <c r="AD19">
        <v>7.28</v>
      </c>
      <c r="AE19">
        <v>7.88</v>
      </c>
      <c r="AF19" s="17">
        <v>42045.736805555556</v>
      </c>
      <c r="AG19" s="18">
        <f t="shared" si="9"/>
        <v>4.2784722222204437</v>
      </c>
      <c r="AH19">
        <v>6.22</v>
      </c>
      <c r="AJ19" s="22">
        <v>42046.427083333336</v>
      </c>
      <c r="AK19" s="23">
        <f>AJ19-C19</f>
        <v>4.96875</v>
      </c>
      <c r="AL19" s="20">
        <v>5.88</v>
      </c>
      <c r="AM19" s="21">
        <v>5.22</v>
      </c>
      <c r="AN19" s="17"/>
      <c r="AO19" s="18"/>
      <c r="AR19" s="17"/>
      <c r="AS19" s="18"/>
      <c r="AV19" s="17"/>
      <c r="AW19" s="18"/>
      <c r="AZ19" s="17"/>
      <c r="BA19" s="18"/>
    </row>
    <row r="20" spans="1:55" x14ac:dyDescent="0.25">
      <c r="A20">
        <v>16</v>
      </c>
      <c r="B20" t="s">
        <v>318</v>
      </c>
      <c r="C20" s="17">
        <v>42041.666666666664</v>
      </c>
      <c r="D20">
        <v>2</v>
      </c>
      <c r="E20">
        <v>2</v>
      </c>
      <c r="G20">
        <v>2</v>
      </c>
      <c r="H20" s="17">
        <v>42041.910416666666</v>
      </c>
      <c r="I20" s="18">
        <f t="shared" si="0"/>
        <v>0.24375000000145519</v>
      </c>
      <c r="J20">
        <v>1.54</v>
      </c>
      <c r="K20">
        <v>58.85</v>
      </c>
      <c r="L20" s="17">
        <v>42041.991666666669</v>
      </c>
      <c r="M20" s="18">
        <f t="shared" si="1"/>
        <v>0.32500000000436557</v>
      </c>
      <c r="N20">
        <v>2.4700000000000002</v>
      </c>
      <c r="O20">
        <v>73.599999999999994</v>
      </c>
      <c r="P20" s="17">
        <v>42042.454861111109</v>
      </c>
      <c r="Q20" s="18">
        <f t="shared" si="2"/>
        <v>0.78819444444525288</v>
      </c>
      <c r="R20">
        <v>2.5099999999999998</v>
      </c>
      <c r="S20">
        <v>62.28</v>
      </c>
      <c r="T20" s="17">
        <v>42043.449305555558</v>
      </c>
      <c r="U20" s="18">
        <f t="shared" si="3"/>
        <v>1.7826388888934162</v>
      </c>
      <c r="V20">
        <v>1.37</v>
      </c>
      <c r="W20">
        <v>13.02</v>
      </c>
      <c r="X20" s="17">
        <v>42044.421527777777</v>
      </c>
      <c r="Y20" s="18">
        <f t="shared" si="4"/>
        <v>2.7548611111124046</v>
      </c>
      <c r="Z20">
        <v>1.07</v>
      </c>
      <c r="AA20">
        <v>3.95</v>
      </c>
      <c r="AB20" s="17">
        <v>42044.780555555553</v>
      </c>
      <c r="AC20" s="18">
        <f t="shared" si="5"/>
        <v>3.1138888888890506</v>
      </c>
      <c r="AD20">
        <v>1.08</v>
      </c>
      <c r="AE20">
        <v>4.99</v>
      </c>
      <c r="AF20" s="17">
        <v>42045.395833333336</v>
      </c>
      <c r="AG20" s="18">
        <f t="shared" si="9"/>
        <v>3.7291666666715173</v>
      </c>
      <c r="AH20">
        <v>1.21</v>
      </c>
      <c r="AI20">
        <v>3.58</v>
      </c>
      <c r="AJ20" s="17">
        <v>42046.022222222222</v>
      </c>
      <c r="AK20" s="18">
        <f>AJ20-C20</f>
        <v>4.3555555555576575</v>
      </c>
      <c r="AL20">
        <v>1.02</v>
      </c>
      <c r="AM20">
        <v>2.56</v>
      </c>
      <c r="AN20" s="17"/>
      <c r="AO20" s="18"/>
      <c r="AR20" s="17"/>
      <c r="AS20" s="18"/>
      <c r="AV20" s="17"/>
      <c r="AW20" s="18"/>
      <c r="AZ20" s="17"/>
      <c r="BA20" s="18"/>
    </row>
    <row r="21" spans="1:55" x14ac:dyDescent="0.25">
      <c r="A21">
        <v>17</v>
      </c>
      <c r="B21" t="s">
        <v>329</v>
      </c>
      <c r="C21" s="17">
        <v>42058.458333333336</v>
      </c>
      <c r="D21">
        <v>1</v>
      </c>
      <c r="E21">
        <v>2</v>
      </c>
      <c r="G21">
        <v>2</v>
      </c>
      <c r="H21" s="17">
        <v>42059.776388888888</v>
      </c>
      <c r="I21" s="18">
        <f t="shared" si="0"/>
        <v>1.3180555555518367</v>
      </c>
      <c r="J21">
        <v>2.56</v>
      </c>
      <c r="K21">
        <v>27.61</v>
      </c>
      <c r="L21" s="17">
        <v>42059.976388888892</v>
      </c>
      <c r="M21" s="18">
        <f t="shared" si="1"/>
        <v>1.5180555555562023</v>
      </c>
      <c r="N21">
        <v>2.5499999999999998</v>
      </c>
      <c r="O21">
        <v>18.3</v>
      </c>
      <c r="P21" s="17">
        <v>42060.529861111114</v>
      </c>
      <c r="Q21" s="18">
        <f t="shared" si="2"/>
        <v>2.0715277777781012</v>
      </c>
      <c r="R21">
        <v>2.2000000000000002</v>
      </c>
      <c r="S21">
        <v>10.89</v>
      </c>
      <c r="T21" s="17">
        <v>42061.479166666664</v>
      </c>
      <c r="U21" s="18">
        <f t="shared" si="3"/>
        <v>3.0208333333284827</v>
      </c>
      <c r="V21">
        <v>1.74</v>
      </c>
      <c r="W21">
        <v>3.94</v>
      </c>
      <c r="X21" s="17">
        <v>42063.503472222219</v>
      </c>
      <c r="Y21" s="18">
        <f t="shared" si="4"/>
        <v>5.0451388888832298</v>
      </c>
      <c r="Z21">
        <v>0.81200000000000006</v>
      </c>
      <c r="AA21">
        <v>2.48</v>
      </c>
      <c r="AB21" s="17"/>
      <c r="AC21" s="18"/>
      <c r="AF21" s="17"/>
      <c r="AG21" s="18"/>
      <c r="AJ21" s="17"/>
      <c r="AK21" s="18"/>
      <c r="AN21" s="17"/>
      <c r="AO21" s="18"/>
      <c r="AR21" s="17"/>
      <c r="AS21" s="18"/>
      <c r="AV21" s="17"/>
      <c r="AW21" s="18"/>
      <c r="AZ21" s="17"/>
      <c r="BA21" s="18"/>
    </row>
    <row r="22" spans="1:55" x14ac:dyDescent="0.25">
      <c r="A22">
        <v>18</v>
      </c>
      <c r="B22" t="s">
        <v>335</v>
      </c>
      <c r="C22" s="17">
        <v>42090.666666666664</v>
      </c>
      <c r="D22">
        <v>2</v>
      </c>
      <c r="E22">
        <v>1</v>
      </c>
      <c r="G22">
        <v>2</v>
      </c>
      <c r="H22" s="17">
        <v>42091.561111111114</v>
      </c>
      <c r="I22" s="18">
        <f t="shared" si="0"/>
        <v>0.89444444444961846</v>
      </c>
      <c r="J22">
        <v>2.42</v>
      </c>
      <c r="K22">
        <v>263.2</v>
      </c>
      <c r="L22" s="17">
        <v>42092.051388888889</v>
      </c>
      <c r="M22" s="18">
        <f t="shared" si="1"/>
        <v>1.3847222222248092</v>
      </c>
      <c r="N22">
        <v>13</v>
      </c>
      <c r="O22">
        <v>514.5</v>
      </c>
      <c r="P22" s="17">
        <v>42092.416666666664</v>
      </c>
      <c r="Q22" s="18">
        <f t="shared" si="2"/>
        <v>1.75</v>
      </c>
      <c r="R22">
        <v>12.67</v>
      </c>
      <c r="S22">
        <v>284.5</v>
      </c>
      <c r="T22" s="17">
        <v>42093.539583333331</v>
      </c>
      <c r="U22" s="18">
        <f t="shared" si="3"/>
        <v>2.8729166666671517</v>
      </c>
      <c r="V22">
        <v>8.94</v>
      </c>
      <c r="W22">
        <v>31.52</v>
      </c>
      <c r="X22" s="17">
        <v>42095.415277777778</v>
      </c>
      <c r="Y22" s="18">
        <f t="shared" si="4"/>
        <v>4.7486111111138598</v>
      </c>
      <c r="Z22">
        <v>8.2200000000000006</v>
      </c>
      <c r="AA22">
        <v>4.03</v>
      </c>
      <c r="AB22" s="17">
        <v>42095.842361111114</v>
      </c>
      <c r="AC22" s="18">
        <f t="shared" ref="AC22:AC29" si="11">AB22-C22</f>
        <v>5.1756944444496185</v>
      </c>
      <c r="AD22">
        <v>6.66</v>
      </c>
      <c r="AE22">
        <v>4.47</v>
      </c>
      <c r="AF22" s="17">
        <v>42096.452777777777</v>
      </c>
      <c r="AG22" s="18">
        <f>AF22-C22</f>
        <v>5.7861111111124046</v>
      </c>
      <c r="AH22">
        <v>5.1100000000000003</v>
      </c>
      <c r="AI22">
        <v>3.94</v>
      </c>
      <c r="AJ22" s="17">
        <v>42097.433333333334</v>
      </c>
      <c r="AK22" s="18">
        <f>AJ22-C22</f>
        <v>6.7666666666700621</v>
      </c>
      <c r="AL22" s="19">
        <v>42645</v>
      </c>
      <c r="AM22">
        <v>2.86</v>
      </c>
      <c r="AN22" s="17">
        <v>42098.56527777778</v>
      </c>
      <c r="AO22" s="18">
        <f>AN22-C22</f>
        <v>7.898611111115315</v>
      </c>
      <c r="AP22">
        <v>0.75800000000000001</v>
      </c>
      <c r="AQ22">
        <v>3</v>
      </c>
      <c r="AR22" s="17"/>
      <c r="AS22" s="18"/>
      <c r="AV22" s="17"/>
      <c r="AW22" s="18"/>
      <c r="AZ22" s="17"/>
      <c r="BA22" s="18"/>
    </row>
    <row r="23" spans="1:55" x14ac:dyDescent="0.25">
      <c r="A23">
        <v>19</v>
      </c>
      <c r="B23" t="s">
        <v>346</v>
      </c>
      <c r="C23" s="17">
        <v>42038.708333333336</v>
      </c>
      <c r="D23">
        <v>1</v>
      </c>
      <c r="E23">
        <v>1</v>
      </c>
      <c r="G23">
        <v>2</v>
      </c>
      <c r="H23" s="17">
        <v>42039.415972222225</v>
      </c>
      <c r="I23" s="18">
        <f t="shared" si="0"/>
        <v>0.70763888888905058</v>
      </c>
      <c r="J23">
        <v>1.34</v>
      </c>
      <c r="K23">
        <v>99.78</v>
      </c>
      <c r="L23" s="17">
        <v>42039.710416666669</v>
      </c>
      <c r="M23" s="18">
        <f t="shared" si="1"/>
        <v>1.0020833333328483</v>
      </c>
      <c r="N23">
        <v>3.11</v>
      </c>
      <c r="O23">
        <v>244.6</v>
      </c>
      <c r="P23" s="17">
        <v>42040.372916666667</v>
      </c>
      <c r="Q23" s="18">
        <f t="shared" si="2"/>
        <v>1.6645833333313931</v>
      </c>
      <c r="R23">
        <v>2.67</v>
      </c>
      <c r="S23">
        <v>86.71</v>
      </c>
      <c r="T23" s="17">
        <v>42041.417361111111</v>
      </c>
      <c r="U23" s="18">
        <f t="shared" si="3"/>
        <v>2.7090277777751908</v>
      </c>
      <c r="V23">
        <v>2.78</v>
      </c>
      <c r="W23">
        <v>11.81</v>
      </c>
      <c r="X23" s="17">
        <v>42042.42291666667</v>
      </c>
      <c r="Y23" s="18">
        <f t="shared" si="4"/>
        <v>3.7145833333343035</v>
      </c>
      <c r="Z23">
        <v>2.9</v>
      </c>
      <c r="AA23">
        <v>3.89</v>
      </c>
      <c r="AB23" s="17">
        <v>42043.448611111111</v>
      </c>
      <c r="AC23" s="18">
        <f t="shared" si="11"/>
        <v>4.7402777777751908</v>
      </c>
      <c r="AD23">
        <v>2.13</v>
      </c>
      <c r="AE23">
        <v>2.21</v>
      </c>
      <c r="AF23" s="17">
        <v>42044.429166666669</v>
      </c>
      <c r="AG23" s="18">
        <f>AF23-C23</f>
        <v>5.7208333333328483</v>
      </c>
      <c r="AH23">
        <v>0.96899999999999997</v>
      </c>
      <c r="AI23">
        <v>1.81</v>
      </c>
      <c r="AJ23" s="17">
        <v>42044.712500000001</v>
      </c>
      <c r="AK23" s="18">
        <f>AJ23-C23</f>
        <v>6.0041666666656965</v>
      </c>
      <c r="AL23">
        <v>0.65800000000000003</v>
      </c>
      <c r="AM23">
        <v>1.57</v>
      </c>
      <c r="AN23" s="17">
        <v>42045.396527777775</v>
      </c>
      <c r="AO23" s="18">
        <f>AN23-C23</f>
        <v>6.6881944444394321</v>
      </c>
      <c r="AP23">
        <v>0.48299999999999998</v>
      </c>
      <c r="AQ23">
        <v>3.21</v>
      </c>
      <c r="AR23" s="17">
        <v>42046.444444444445</v>
      </c>
      <c r="AS23" s="18">
        <f>AR23-C23</f>
        <v>7.7361111111094942</v>
      </c>
      <c r="AT23">
        <v>0.26800000000000002</v>
      </c>
      <c r="AU23">
        <v>1.42</v>
      </c>
      <c r="AV23" s="17">
        <v>42047.431250000001</v>
      </c>
      <c r="AW23" s="18">
        <f>AV23-C23</f>
        <v>8.7229166666656965</v>
      </c>
      <c r="AX23">
        <v>0.189</v>
      </c>
      <c r="AY23">
        <v>0.99</v>
      </c>
      <c r="AZ23" s="17">
        <v>42048.453472222223</v>
      </c>
      <c r="BA23" s="18">
        <f>AZ23-C23</f>
        <v>9.7451388888875954</v>
      </c>
      <c r="BB23">
        <v>0.11799999999999999</v>
      </c>
      <c r="BC23">
        <v>0.93</v>
      </c>
    </row>
    <row r="24" spans="1:55" x14ac:dyDescent="0.25">
      <c r="A24">
        <v>20</v>
      </c>
      <c r="B24" t="s">
        <v>298</v>
      </c>
      <c r="C24" s="17">
        <v>42049.166666666664</v>
      </c>
      <c r="D24">
        <v>1</v>
      </c>
      <c r="E24">
        <v>2</v>
      </c>
      <c r="G24">
        <v>2</v>
      </c>
      <c r="H24" s="17">
        <v>42049.490972222222</v>
      </c>
      <c r="I24" s="18">
        <f t="shared" si="0"/>
        <v>0.3243055555576575</v>
      </c>
      <c r="J24">
        <v>5.27</v>
      </c>
      <c r="K24">
        <v>103.4</v>
      </c>
      <c r="L24" s="17">
        <v>42050.324999999997</v>
      </c>
      <c r="M24" s="18">
        <f t="shared" si="1"/>
        <v>1.1583333333328483</v>
      </c>
      <c r="N24">
        <v>4.4000000000000004</v>
      </c>
      <c r="O24">
        <v>74.25</v>
      </c>
      <c r="P24" s="17">
        <v>42050.454861111109</v>
      </c>
      <c r="Q24" s="18">
        <f t="shared" si="2"/>
        <v>1.2881944444452529</v>
      </c>
      <c r="R24">
        <v>2.42</v>
      </c>
      <c r="S24">
        <v>34.880000000000003</v>
      </c>
      <c r="T24" s="17">
        <v>42051.447916666664</v>
      </c>
      <c r="U24" s="18">
        <f t="shared" si="3"/>
        <v>2.28125</v>
      </c>
      <c r="V24">
        <v>1.08</v>
      </c>
      <c r="W24">
        <v>5.97</v>
      </c>
      <c r="X24" s="17">
        <v>42052.406944444447</v>
      </c>
      <c r="Y24" s="18">
        <f t="shared" si="4"/>
        <v>3.2402777777824667</v>
      </c>
      <c r="Z24">
        <v>0.752</v>
      </c>
      <c r="AA24">
        <v>1.85</v>
      </c>
      <c r="AB24" s="17">
        <v>42053.468055555553</v>
      </c>
      <c r="AC24" s="18">
        <f t="shared" si="11"/>
        <v>4.3013888888890506</v>
      </c>
      <c r="AD24">
        <v>0.66800000000000004</v>
      </c>
      <c r="AE24">
        <v>2.4900000000000002</v>
      </c>
      <c r="AF24" s="17"/>
      <c r="AG24" s="18"/>
      <c r="AJ24" s="17"/>
      <c r="AK24" s="18"/>
      <c r="AN24" s="17"/>
      <c r="AO24" s="18"/>
      <c r="AR24" s="17"/>
      <c r="AS24" s="18"/>
    </row>
    <row r="25" spans="1:55" x14ac:dyDescent="0.25">
      <c r="A25">
        <v>21</v>
      </c>
      <c r="B25" t="s">
        <v>367</v>
      </c>
      <c r="C25" s="17">
        <v>42046.625</v>
      </c>
      <c r="D25">
        <v>1</v>
      </c>
      <c r="E25">
        <v>2</v>
      </c>
      <c r="G25">
        <v>2</v>
      </c>
      <c r="H25" s="17">
        <v>42046.8</v>
      </c>
      <c r="I25" s="18">
        <f t="shared" si="0"/>
        <v>0.17500000000291038</v>
      </c>
      <c r="J25">
        <v>20.85</v>
      </c>
      <c r="K25">
        <v>547.5</v>
      </c>
      <c r="L25" s="17">
        <v>42047.081250000003</v>
      </c>
      <c r="M25" s="18">
        <f t="shared" si="1"/>
        <v>0.45625000000291038</v>
      </c>
      <c r="N25">
        <v>17.72</v>
      </c>
      <c r="O25">
        <v>495.6</v>
      </c>
      <c r="P25" s="17">
        <v>42047.460416666669</v>
      </c>
      <c r="Q25" s="18">
        <f t="shared" si="2"/>
        <v>0.83541666666860692</v>
      </c>
      <c r="R25">
        <v>9.85</v>
      </c>
      <c r="S25">
        <v>275.5</v>
      </c>
      <c r="T25" s="17">
        <v>42047.765277777777</v>
      </c>
      <c r="U25" s="18">
        <f t="shared" si="3"/>
        <v>1.140277777776646</v>
      </c>
      <c r="V25">
        <v>7.47</v>
      </c>
      <c r="W25">
        <v>87.33</v>
      </c>
      <c r="X25" s="17">
        <v>42048.438888888886</v>
      </c>
      <c r="Y25" s="18">
        <f t="shared" si="4"/>
        <v>1.8138888888861402</v>
      </c>
      <c r="Z25">
        <v>6.16</v>
      </c>
      <c r="AA25">
        <v>24.35</v>
      </c>
      <c r="AB25" s="17">
        <v>42049.455555555556</v>
      </c>
      <c r="AC25" s="18">
        <f t="shared" si="11"/>
        <v>2.8305555555562023</v>
      </c>
      <c r="AD25">
        <v>5.75</v>
      </c>
      <c r="AE25">
        <v>5.18</v>
      </c>
      <c r="AF25" s="17">
        <v>42050.455555555556</v>
      </c>
      <c r="AG25" s="18">
        <f>AF25-C25</f>
        <v>3.8305555555562023</v>
      </c>
      <c r="AH25">
        <v>4.5199999999999996</v>
      </c>
      <c r="AI25">
        <v>2.59</v>
      </c>
      <c r="AJ25" s="17">
        <v>42051.427083333336</v>
      </c>
      <c r="AK25" s="18">
        <f>AJ25-C25</f>
        <v>4.8020833333357587</v>
      </c>
      <c r="AL25">
        <v>2.95</v>
      </c>
      <c r="AM25">
        <v>3.28</v>
      </c>
      <c r="AN25" s="17">
        <v>42052.456944444442</v>
      </c>
      <c r="AO25" s="18">
        <f>AN25-C25</f>
        <v>5.8319444444423425</v>
      </c>
      <c r="AP25">
        <v>1.33</v>
      </c>
      <c r="AQ25">
        <v>2.82</v>
      </c>
      <c r="AR25" s="17"/>
      <c r="AS25" s="18"/>
    </row>
    <row r="26" spans="1:55" x14ac:dyDescent="0.25">
      <c r="A26">
        <v>22</v>
      </c>
      <c r="B26" t="s">
        <v>102</v>
      </c>
      <c r="C26" s="17">
        <v>42310.6875</v>
      </c>
      <c r="D26">
        <v>0</v>
      </c>
      <c r="E26">
        <v>2</v>
      </c>
      <c r="G26">
        <v>2</v>
      </c>
      <c r="H26" s="17">
        <v>42310.886805555558</v>
      </c>
      <c r="I26" s="18">
        <f t="shared" si="0"/>
        <v>0.1993055555576575</v>
      </c>
      <c r="J26">
        <v>2.82</v>
      </c>
      <c r="K26">
        <v>219.6</v>
      </c>
      <c r="L26" s="17">
        <v>42311.015277777777</v>
      </c>
      <c r="M26" s="18">
        <f t="shared" si="1"/>
        <v>0.32777777777664596</v>
      </c>
      <c r="N26">
        <v>12.21</v>
      </c>
      <c r="O26">
        <v>424</v>
      </c>
      <c r="P26" s="17">
        <v>42311.376388888886</v>
      </c>
      <c r="Q26" s="18">
        <f t="shared" si="2"/>
        <v>0.68888888888614019</v>
      </c>
      <c r="R26">
        <v>7.8</v>
      </c>
      <c r="S26">
        <v>277.39999999999998</v>
      </c>
      <c r="T26" s="17">
        <v>42312.429861111108</v>
      </c>
      <c r="U26" s="18">
        <f t="shared" si="3"/>
        <v>1.742361111108039</v>
      </c>
      <c r="V26">
        <v>3.48</v>
      </c>
      <c r="W26">
        <v>24.05</v>
      </c>
      <c r="X26" s="17">
        <v>42313.411111111112</v>
      </c>
      <c r="Y26" s="18">
        <f t="shared" si="4"/>
        <v>2.7236111111124046</v>
      </c>
      <c r="Z26">
        <v>3.66</v>
      </c>
      <c r="AA26">
        <v>5.76</v>
      </c>
      <c r="AB26" s="17">
        <v>42314.433333333334</v>
      </c>
      <c r="AC26" s="18">
        <f t="shared" si="11"/>
        <v>3.7458333333343035</v>
      </c>
      <c r="AD26">
        <v>3.66</v>
      </c>
      <c r="AE26">
        <v>3.07</v>
      </c>
      <c r="AF26" s="17">
        <v>42315.459027777775</v>
      </c>
      <c r="AG26" s="18">
        <f>AF26-C26</f>
        <v>4.7715277777751908</v>
      </c>
      <c r="AH26">
        <v>2.2200000000000002</v>
      </c>
      <c r="AI26">
        <v>2.35</v>
      </c>
      <c r="AJ26" s="17"/>
      <c r="AK26" s="18"/>
      <c r="AN26" s="17"/>
      <c r="AO26" s="18"/>
      <c r="AR26" s="17"/>
      <c r="AS26" s="18"/>
    </row>
    <row r="27" spans="1:55" x14ac:dyDescent="0.25">
      <c r="A27">
        <v>23</v>
      </c>
      <c r="B27" t="s">
        <v>114</v>
      </c>
      <c r="C27" s="17">
        <v>42340.291666666664</v>
      </c>
      <c r="D27">
        <v>0</v>
      </c>
      <c r="E27">
        <v>2</v>
      </c>
      <c r="G27">
        <v>2</v>
      </c>
      <c r="H27" s="17">
        <v>42340.745138888888</v>
      </c>
      <c r="I27" s="18">
        <f t="shared" si="0"/>
        <v>0.45347222222335404</v>
      </c>
      <c r="J27">
        <v>4</v>
      </c>
      <c r="K27">
        <v>265.89999999999998</v>
      </c>
      <c r="L27" s="17">
        <v>42340.95416666667</v>
      </c>
      <c r="M27" s="18">
        <f t="shared" si="1"/>
        <v>0.66250000000582077</v>
      </c>
      <c r="N27">
        <v>13.96</v>
      </c>
      <c r="O27">
        <v>589.79999999999995</v>
      </c>
      <c r="P27" s="17">
        <v>42341.42083333333</v>
      </c>
      <c r="Q27" s="18">
        <f t="shared" si="2"/>
        <v>1.1291666666656965</v>
      </c>
      <c r="R27">
        <v>12.05</v>
      </c>
      <c r="S27">
        <v>296</v>
      </c>
      <c r="T27" s="17">
        <v>42342.445138888892</v>
      </c>
      <c r="U27" s="18">
        <f t="shared" si="3"/>
        <v>2.1534722222277196</v>
      </c>
      <c r="V27">
        <v>12.33</v>
      </c>
      <c r="W27">
        <v>30.8</v>
      </c>
      <c r="X27" s="17">
        <v>42343.488888888889</v>
      </c>
      <c r="Y27" s="18">
        <f t="shared" si="4"/>
        <v>3.1972222222248092</v>
      </c>
      <c r="Z27">
        <v>11.89</v>
      </c>
      <c r="AA27">
        <v>8.67</v>
      </c>
      <c r="AB27" s="17">
        <v>42344.415972222225</v>
      </c>
      <c r="AC27" s="18">
        <f t="shared" si="11"/>
        <v>4.1243055555605679</v>
      </c>
      <c r="AD27">
        <v>9.59</v>
      </c>
      <c r="AE27">
        <v>5.17</v>
      </c>
      <c r="AF27" s="17">
        <v>42345.411805555559</v>
      </c>
      <c r="AG27" s="18">
        <f>AF27-C27</f>
        <v>5.1201388888948713</v>
      </c>
      <c r="AH27">
        <v>8.9</v>
      </c>
      <c r="AI27">
        <v>3.53</v>
      </c>
      <c r="AJ27" s="17">
        <v>42346.43472222222</v>
      </c>
      <c r="AK27" s="18">
        <f>AJ27-C27</f>
        <v>6.1430555555562023</v>
      </c>
      <c r="AL27">
        <v>7.06</v>
      </c>
      <c r="AM27">
        <v>3.3</v>
      </c>
      <c r="AN27" s="17"/>
      <c r="AO27" s="18"/>
      <c r="AR27" s="17"/>
      <c r="AS27" s="18"/>
    </row>
    <row r="28" spans="1:55" x14ac:dyDescent="0.25">
      <c r="A28">
        <v>24</v>
      </c>
      <c r="B28" t="s">
        <v>115</v>
      </c>
      <c r="C28" s="17">
        <v>42331.6875</v>
      </c>
      <c r="D28">
        <v>0</v>
      </c>
      <c r="E28">
        <v>1</v>
      </c>
      <c r="G28">
        <v>2</v>
      </c>
      <c r="H28" s="17">
        <v>42332.079861111109</v>
      </c>
      <c r="I28" s="28">
        <f>H28-C28</f>
        <v>0.39236111110949423</v>
      </c>
      <c r="J28">
        <v>1.02</v>
      </c>
      <c r="K28">
        <v>90.09</v>
      </c>
      <c r="L28" s="17">
        <v>42332.425000000003</v>
      </c>
      <c r="M28" s="28">
        <f>L28-C28</f>
        <v>0.73750000000291038</v>
      </c>
      <c r="N28">
        <v>9.64</v>
      </c>
      <c r="O28">
        <v>230.2</v>
      </c>
      <c r="P28" s="17">
        <v>42332.650694444441</v>
      </c>
      <c r="Q28" s="28">
        <f t="shared" si="2"/>
        <v>0.96319444444088731</v>
      </c>
      <c r="R28">
        <v>5.76</v>
      </c>
      <c r="S28">
        <v>116.3</v>
      </c>
      <c r="T28" s="17">
        <v>42333.379861111112</v>
      </c>
      <c r="U28" s="28">
        <f t="shared" si="3"/>
        <v>1.6923611111124046</v>
      </c>
      <c r="V28">
        <v>3.16</v>
      </c>
      <c r="W28">
        <v>33.64</v>
      </c>
      <c r="X28" s="17">
        <v>42334.393750000003</v>
      </c>
      <c r="Y28" s="28">
        <f t="shared" si="4"/>
        <v>2.7062500000029104</v>
      </c>
      <c r="Z28">
        <v>2.68</v>
      </c>
      <c r="AA28">
        <v>7.73</v>
      </c>
      <c r="AB28" s="17">
        <v>42335.412499999999</v>
      </c>
      <c r="AC28" s="28">
        <f t="shared" si="11"/>
        <v>3.7249999999985448</v>
      </c>
      <c r="AD28">
        <v>2.93</v>
      </c>
      <c r="AE28">
        <v>3.27</v>
      </c>
      <c r="AF28" s="17">
        <v>42336.355555555558</v>
      </c>
      <c r="AG28" s="28">
        <f>AF28-C28</f>
        <v>4.6680555555576575</v>
      </c>
      <c r="AH28">
        <v>2.9</v>
      </c>
      <c r="AI28">
        <v>1.87</v>
      </c>
      <c r="AJ28" s="17">
        <v>42337.43472222222</v>
      </c>
      <c r="AK28" s="28">
        <f>AJ28-C28</f>
        <v>5.7472222222204437</v>
      </c>
      <c r="AL28">
        <v>2.11</v>
      </c>
      <c r="AM28">
        <v>1.52</v>
      </c>
      <c r="AN28" s="17">
        <v>42338.388888888891</v>
      </c>
      <c r="AO28" s="28">
        <f>AN28-C28</f>
        <v>6.7013888888905058</v>
      </c>
      <c r="AP28">
        <v>1.34</v>
      </c>
      <c r="AQ28">
        <v>1.65</v>
      </c>
      <c r="AR28" s="17">
        <v>42339.431250000001</v>
      </c>
      <c r="AS28" s="28">
        <f>AR28-C28</f>
        <v>7.7437500000014552</v>
      </c>
      <c r="AT28">
        <v>0.74399999999999999</v>
      </c>
      <c r="AU28">
        <v>1.61</v>
      </c>
    </row>
    <row r="29" spans="1:55" x14ac:dyDescent="0.25">
      <c r="A29">
        <v>25</v>
      </c>
      <c r="B29" t="s">
        <v>116</v>
      </c>
      <c r="C29" s="17">
        <v>42340.552083333336</v>
      </c>
      <c r="D29">
        <v>0</v>
      </c>
      <c r="E29">
        <v>2</v>
      </c>
      <c r="G29">
        <v>2</v>
      </c>
      <c r="H29" s="17">
        <v>42340.730555555558</v>
      </c>
      <c r="I29" s="18">
        <f t="shared" si="0"/>
        <v>0.17847222222189885</v>
      </c>
      <c r="J29">
        <v>0.89900000000000002</v>
      </c>
      <c r="K29">
        <v>234.4</v>
      </c>
      <c r="L29" s="17">
        <v>42340.952777777777</v>
      </c>
      <c r="M29" s="18">
        <f t="shared" si="1"/>
        <v>0.40069444444088731</v>
      </c>
      <c r="N29">
        <v>2.83</v>
      </c>
      <c r="O29">
        <v>274.5</v>
      </c>
      <c r="P29" s="17">
        <v>42341.411805555559</v>
      </c>
      <c r="Q29" s="18">
        <f t="shared" si="2"/>
        <v>0.85972222222335404</v>
      </c>
      <c r="R29">
        <v>3.11</v>
      </c>
      <c r="S29">
        <v>138.4</v>
      </c>
      <c r="T29" s="17">
        <v>42342.420138888891</v>
      </c>
      <c r="U29" s="18">
        <f t="shared" si="3"/>
        <v>1.8680555555547471</v>
      </c>
      <c r="V29">
        <v>1.83</v>
      </c>
      <c r="W29">
        <v>17.739999999999998</v>
      </c>
      <c r="X29" s="17">
        <v>42343.436805555553</v>
      </c>
      <c r="Y29" s="18">
        <f t="shared" si="4"/>
        <v>2.8847222222175333</v>
      </c>
      <c r="Z29">
        <v>1.91</v>
      </c>
      <c r="AA29">
        <v>5.93</v>
      </c>
      <c r="AB29" s="17">
        <v>42344.409722222219</v>
      </c>
      <c r="AC29" s="18">
        <f t="shared" si="11"/>
        <v>3.8576388888832298</v>
      </c>
      <c r="AD29">
        <v>1.64</v>
      </c>
      <c r="AE29">
        <v>3.15</v>
      </c>
      <c r="AF29" s="17">
        <v>42345.411805555559</v>
      </c>
      <c r="AG29" s="18">
        <f>AF29-C29</f>
        <v>4.859722222223354</v>
      </c>
      <c r="AH29">
        <v>1.44</v>
      </c>
      <c r="AI29">
        <v>2.31</v>
      </c>
      <c r="AJ29" s="17">
        <v>42346.43472222222</v>
      </c>
      <c r="AK29" s="18">
        <f>AJ29-C29</f>
        <v>5.882638888884685</v>
      </c>
      <c r="AL29">
        <v>1.1399999999999999</v>
      </c>
      <c r="AM29">
        <v>2.34</v>
      </c>
      <c r="AN29" s="17">
        <v>42347.461111111108</v>
      </c>
      <c r="AO29" s="18">
        <f>AN29-C29</f>
        <v>6.9090277777722804</v>
      </c>
      <c r="AP29">
        <v>0.78200000000000003</v>
      </c>
      <c r="AQ29">
        <v>2.23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6"/>
  <sheetViews>
    <sheetView topLeftCell="H1" workbookViewId="0">
      <selection activeCell="C13" sqref="C13"/>
    </sheetView>
  </sheetViews>
  <sheetFormatPr defaultColWidth="11.42578125" defaultRowHeight="15" x14ac:dyDescent="0.25"/>
  <sheetData>
    <row r="1" spans="1:16" x14ac:dyDescent="0.25">
      <c r="A1" s="32" t="s">
        <v>571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 x14ac:dyDescent="0.25">
      <c r="A2" s="9" t="s">
        <v>572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x14ac:dyDescent="0.25">
      <c r="A3" s="9" t="s">
        <v>573</v>
      </c>
      <c r="B3">
        <f>STEMI_MODIF.!K5</f>
        <v>36.33</v>
      </c>
      <c r="C3">
        <f>STEMI_MODIF.!O5</f>
        <v>70.23</v>
      </c>
      <c r="D3">
        <f>STEMI_MODIF.!S5</f>
        <v>38.51</v>
      </c>
      <c r="E3">
        <f>STEMI_MODIF.!W5</f>
        <v>9.19</v>
      </c>
      <c r="F3">
        <f>STEMI_MODIF.!AA5</f>
        <v>3.69</v>
      </c>
      <c r="G3">
        <f>STEMI_MODIF.!AE5</f>
        <v>2.04</v>
      </c>
      <c r="H3">
        <f>STEMI_MODIF.!AI5</f>
        <v>2.5</v>
      </c>
      <c r="I3">
        <f>STEMI_MODIF.!AM5</f>
        <v>2.83</v>
      </c>
      <c r="J3">
        <f>STEMI_MODIF.!AQ5</f>
        <v>6.13</v>
      </c>
      <c r="K3">
        <f>STEMI_MODIF.!AU5</f>
        <v>5.65</v>
      </c>
      <c r="L3">
        <f>STEMI_MODIF.!AY5</f>
        <v>5.19</v>
      </c>
      <c r="M3">
        <f>STEMI_MODIF.!BC5</f>
        <v>2.67</v>
      </c>
      <c r="N3">
        <f>STEMI_MODIF.!BG5</f>
        <v>0</v>
      </c>
      <c r="O3">
        <f>STEMI_MODIF.!BK5</f>
        <v>0</v>
      </c>
      <c r="P3" s="9"/>
    </row>
    <row r="4" spans="1:16" x14ac:dyDescent="0.25">
      <c r="A4" s="9" t="s">
        <v>574</v>
      </c>
      <c r="B4">
        <f>STEMI_MODIF.!K6</f>
        <v>600</v>
      </c>
      <c r="C4">
        <f>STEMI_MODIF.!O6</f>
        <v>600</v>
      </c>
      <c r="D4">
        <f>STEMI_MODIF.!S6</f>
        <v>459.4</v>
      </c>
      <c r="E4">
        <f>STEMI_MODIF.!W6</f>
        <v>89.88</v>
      </c>
      <c r="F4">
        <f>STEMI_MODIF.!AA6</f>
        <v>12.75</v>
      </c>
      <c r="G4">
        <f>STEMI_MODIF.!AE6</f>
        <v>6.74</v>
      </c>
      <c r="H4">
        <f>STEMI_MODIF.!AI6</f>
        <v>7.51</v>
      </c>
      <c r="I4">
        <f>STEMI_MODIF.!AM6</f>
        <v>6.72</v>
      </c>
      <c r="J4">
        <f>STEMI_MODIF.!AQ6</f>
        <v>3.93</v>
      </c>
      <c r="K4">
        <f>STEMI_MODIF.!AU6</f>
        <v>4.22</v>
      </c>
      <c r="L4">
        <f>STEMI_MODIF.!AY6</f>
        <v>5.47</v>
      </c>
      <c r="M4">
        <f>STEMI_MODIF.!BC6</f>
        <v>4.34</v>
      </c>
      <c r="N4">
        <f>STEMI_MODIF.!BG6</f>
        <v>3.53</v>
      </c>
      <c r="O4">
        <f>STEMI_MODIF.!BK6</f>
        <v>2.77</v>
      </c>
      <c r="P4" s="9"/>
    </row>
    <row r="5" spans="1:16" x14ac:dyDescent="0.25">
      <c r="A5" s="9" t="s">
        <v>575</v>
      </c>
      <c r="B5">
        <f>STEMI_MODIF.!K7</f>
        <v>135.69999999999999</v>
      </c>
      <c r="C5">
        <f>STEMI_MODIF.!O7</f>
        <v>7.25</v>
      </c>
      <c r="D5">
        <f>STEMI_MODIF.!S7</f>
        <v>400.7</v>
      </c>
      <c r="E5">
        <f>STEMI_MODIF.!W7</f>
        <v>29</v>
      </c>
      <c r="F5">
        <f>STEMI_MODIF.!AA7</f>
        <v>5.93</v>
      </c>
      <c r="G5">
        <f>STEMI_MODIF.!AE7</f>
        <v>2.98</v>
      </c>
      <c r="H5">
        <f>STEMI_MODIF.!AI7</f>
        <v>2.33</v>
      </c>
      <c r="I5">
        <f>STEMI_MODIF.!AM7</f>
        <v>1.54</v>
      </c>
      <c r="J5">
        <f>STEMI_MODIF.!AQ7</f>
        <v>1.29</v>
      </c>
      <c r="K5">
        <f>STEMI_MODIF.!AU7</f>
        <v>1.1499999999999999</v>
      </c>
      <c r="L5">
        <f>STEMI_MODIF.!AY7</f>
        <v>0</v>
      </c>
      <c r="M5">
        <f>STEMI_MODIF.!BC7</f>
        <v>0</v>
      </c>
      <c r="N5">
        <f>STEMI_MODIF.!BG7</f>
        <v>0</v>
      </c>
      <c r="O5">
        <f>STEMI_MODIF.!BK7</f>
        <v>0</v>
      </c>
      <c r="P5" s="9"/>
    </row>
    <row r="6" spans="1:16" x14ac:dyDescent="0.25">
      <c r="A6" s="9" t="s">
        <v>576</v>
      </c>
      <c r="B6">
        <f>STEMI_MODIF.!K8</f>
        <v>5.46</v>
      </c>
      <c r="C6">
        <f>STEMI_MODIF.!O8</f>
        <v>17.71</v>
      </c>
      <c r="D6">
        <f>STEMI_MODIF.!S8</f>
        <v>20.350000000000001</v>
      </c>
      <c r="E6">
        <f>STEMI_MODIF.!W8</f>
        <v>6.62</v>
      </c>
      <c r="F6">
        <f>STEMI_MODIF.!AA8</f>
        <v>2.2799999999999998</v>
      </c>
      <c r="G6">
        <f>STEMI_MODIF.!AE8</f>
        <v>1.56</v>
      </c>
      <c r="H6">
        <f>STEMI_MODIF.!AI8</f>
        <v>1.58</v>
      </c>
      <c r="I6">
        <f>STEMI_MODIF.!AM8</f>
        <v>1.72</v>
      </c>
      <c r="J6">
        <f>STEMI_MODIF.!AQ8</f>
        <v>1.87</v>
      </c>
      <c r="K6">
        <f>STEMI_MODIF.!AU8</f>
        <v>0</v>
      </c>
      <c r="L6">
        <f>STEMI_MODIF.!AY8</f>
        <v>0</v>
      </c>
      <c r="M6">
        <f>STEMI_MODIF.!BC8</f>
        <v>0</v>
      </c>
      <c r="N6">
        <f>STEMI_MODIF.!BG8</f>
        <v>0</v>
      </c>
      <c r="O6">
        <f>STEMI_MODIF.!BK8</f>
        <v>0</v>
      </c>
      <c r="P6" s="9"/>
    </row>
    <row r="7" spans="1:16" x14ac:dyDescent="0.25">
      <c r="A7" s="9" t="s">
        <v>577</v>
      </c>
      <c r="B7">
        <f>STEMI_MODIF.!K9</f>
        <v>24.14</v>
      </c>
      <c r="C7">
        <f>STEMI_MODIF.!O9</f>
        <v>31.89</v>
      </c>
      <c r="D7">
        <f>STEMI_MODIF.!S9</f>
        <v>34.93</v>
      </c>
      <c r="E7">
        <f>STEMI_MODIF.!W9</f>
        <v>19.850000000000001</v>
      </c>
      <c r="F7">
        <f>STEMI_MODIF.!AA9</f>
        <v>7.36</v>
      </c>
      <c r="G7">
        <f>STEMI_MODIF.!AE9</f>
        <v>3</v>
      </c>
      <c r="H7">
        <f>STEMI_MODIF.!AI9</f>
        <v>2.94</v>
      </c>
      <c r="I7">
        <f>STEMI_MODIF.!AM9</f>
        <v>2.67</v>
      </c>
      <c r="J7">
        <f>STEMI_MODIF.!AQ9</f>
        <v>3.08</v>
      </c>
      <c r="K7">
        <f>STEMI_MODIF.!AU9</f>
        <v>0</v>
      </c>
      <c r="L7">
        <f>STEMI_MODIF.!AY9</f>
        <v>0</v>
      </c>
      <c r="M7">
        <f>STEMI_MODIF.!BC9</f>
        <v>0</v>
      </c>
      <c r="N7">
        <f>STEMI_MODIF.!BG9</f>
        <v>0</v>
      </c>
      <c r="O7">
        <f>STEMI_MODIF.!BK9</f>
        <v>0</v>
      </c>
      <c r="P7" s="9"/>
    </row>
    <row r="8" spans="1:16" x14ac:dyDescent="0.25">
      <c r="A8" s="9" t="s">
        <v>578</v>
      </c>
      <c r="B8">
        <f>STEMI_MODIF.!K10</f>
        <v>114.4</v>
      </c>
      <c r="C8">
        <f>STEMI_MODIF.!O10</f>
        <v>387.3</v>
      </c>
      <c r="D8">
        <f>STEMI_MODIF.!S10</f>
        <v>125.6</v>
      </c>
      <c r="E8">
        <f>STEMI_MODIF.!W10</f>
        <v>184.2</v>
      </c>
      <c r="F8">
        <f>STEMI_MODIF.!AA10</f>
        <v>49.45</v>
      </c>
      <c r="G8">
        <f>STEMI_MODIF.!AE10</f>
        <v>8.33</v>
      </c>
      <c r="H8">
        <f>STEMI_MODIF.!AI10</f>
        <v>5.94</v>
      </c>
      <c r="I8">
        <f>STEMI_MODIF.!AM10</f>
        <v>4.84</v>
      </c>
      <c r="J8">
        <f>STEMI_MODIF.!AQ10</f>
        <v>2.69</v>
      </c>
      <c r="K8">
        <f>STEMI_MODIF.!AU10</f>
        <v>2.2400000000000002</v>
      </c>
      <c r="L8">
        <f>STEMI_MODIF.!AY10</f>
        <v>2.36</v>
      </c>
      <c r="M8">
        <f>STEMI_MODIF.!BC10</f>
        <v>0</v>
      </c>
      <c r="N8">
        <f>STEMI_MODIF.!BG10</f>
        <v>0</v>
      </c>
      <c r="O8">
        <f>STEMI_MODIF.!BK10</f>
        <v>0</v>
      </c>
      <c r="P8" s="9"/>
    </row>
    <row r="9" spans="1:16" x14ac:dyDescent="0.25">
      <c r="A9" s="9" t="s">
        <v>579</v>
      </c>
      <c r="B9">
        <f>STEMI_MODIF.!K11</f>
        <v>105.6</v>
      </c>
      <c r="C9">
        <f>STEMI_MODIF.!O11</f>
        <v>299.60000000000002</v>
      </c>
      <c r="D9">
        <f>STEMI_MODIF.!S11</f>
        <v>171.9</v>
      </c>
      <c r="E9">
        <f>STEMI_MODIF.!W11</f>
        <v>12.88</v>
      </c>
      <c r="F9">
        <f>STEMI_MODIF.!AA11</f>
        <v>3.43</v>
      </c>
      <c r="G9">
        <f>STEMI_MODIF.!AE11</f>
        <v>1.64</v>
      </c>
      <c r="H9">
        <f>STEMI_MODIF.!AI11</f>
        <v>0</v>
      </c>
      <c r="I9">
        <f>STEMI_MODIF.!AM11</f>
        <v>0</v>
      </c>
      <c r="J9">
        <f>STEMI_MODIF.!AQ11</f>
        <v>0</v>
      </c>
      <c r="K9">
        <f>STEMI_MODIF.!AU11</f>
        <v>0</v>
      </c>
      <c r="L9">
        <f>STEMI_MODIF.!AY11</f>
        <v>0</v>
      </c>
      <c r="M9">
        <f>STEMI_MODIF.!BC11</f>
        <v>0</v>
      </c>
      <c r="N9">
        <f>STEMI_MODIF.!BG11</f>
        <v>0</v>
      </c>
      <c r="O9">
        <f>STEMI_MODIF.!BK11</f>
        <v>0</v>
      </c>
      <c r="P9" s="9"/>
    </row>
    <row r="10" spans="1:16" x14ac:dyDescent="0.25">
      <c r="A10" s="9" t="s">
        <v>580</v>
      </c>
      <c r="B10">
        <f>STEMI_MODIF.!K12</f>
        <v>48.95</v>
      </c>
      <c r="C10">
        <f>STEMI_MODIF.!O12</f>
        <v>300</v>
      </c>
      <c r="D10">
        <f>STEMI_MODIF.!S12</f>
        <v>184.1</v>
      </c>
      <c r="E10">
        <f>STEMI_MODIF.!W12</f>
        <v>17.78</v>
      </c>
      <c r="F10">
        <f>STEMI_MODIF.!AA12</f>
        <v>4.67</v>
      </c>
      <c r="G10">
        <f>STEMI_MODIF.!AE12</f>
        <v>2.0299999999999998</v>
      </c>
      <c r="H10">
        <f>STEMI_MODIF.!AI12</f>
        <v>1.76</v>
      </c>
      <c r="I10">
        <f>STEMI_MODIF.!AM12</f>
        <v>1.73</v>
      </c>
      <c r="J10">
        <f>STEMI_MODIF.!AQ12</f>
        <v>1.75</v>
      </c>
      <c r="K10">
        <f>STEMI_MODIF.!AU12</f>
        <v>1.56</v>
      </c>
      <c r="L10">
        <f>STEMI_MODIF.!AY12</f>
        <v>1.3</v>
      </c>
      <c r="M10">
        <f>STEMI_MODIF.!BC12</f>
        <v>1.31</v>
      </c>
      <c r="N10">
        <f>STEMI_MODIF.!BG12</f>
        <v>0</v>
      </c>
      <c r="O10">
        <f>STEMI_MODIF.!BK12</f>
        <v>0</v>
      </c>
      <c r="P10" s="9"/>
    </row>
    <row r="11" spans="1:16" x14ac:dyDescent="0.25">
      <c r="A11" s="9" t="s">
        <v>581</v>
      </c>
      <c r="B11">
        <f>STEMI_MODIF.!K13</f>
        <v>121.9</v>
      </c>
      <c r="C11">
        <f>STEMI_MODIF.!O13</f>
        <v>300</v>
      </c>
      <c r="D11">
        <f>STEMI_MODIF.!S13</f>
        <v>205.4</v>
      </c>
      <c r="E11">
        <f>STEMI_MODIF.!W13</f>
        <v>61.94</v>
      </c>
      <c r="F11">
        <f>STEMI_MODIF.!AA13</f>
        <v>11.91</v>
      </c>
      <c r="G11">
        <f>STEMI_MODIF.!AE13</f>
        <v>5.6</v>
      </c>
      <c r="H11">
        <f>STEMI_MODIF.!AI13</f>
        <v>3.37</v>
      </c>
      <c r="I11">
        <f>STEMI_MODIF.!AM13</f>
        <v>2.94</v>
      </c>
      <c r="J11">
        <f>STEMI_MODIF.!AQ13</f>
        <v>3.86</v>
      </c>
      <c r="K11">
        <f>STEMI_MODIF.!AU13</f>
        <v>59.68</v>
      </c>
      <c r="L11">
        <f>STEMI_MODIF.!AY13</f>
        <v>54.25</v>
      </c>
      <c r="M11">
        <f>STEMI_MODIF.!BC13</f>
        <v>35.74</v>
      </c>
      <c r="N11">
        <f>STEMI_MODIF.!BG13</f>
        <v>5.72</v>
      </c>
      <c r="O11">
        <f>STEMI_MODIF.!BK13</f>
        <v>4.74</v>
      </c>
      <c r="P11" s="9"/>
    </row>
    <row r="12" spans="1:16" x14ac:dyDescent="0.25">
      <c r="A12" s="9" t="s">
        <v>582</v>
      </c>
      <c r="B12">
        <f>STEMI_MODIF.!K14</f>
        <v>215.8</v>
      </c>
      <c r="C12">
        <f>STEMI_MODIF.!O14</f>
        <v>288.89999999999998</v>
      </c>
      <c r="D12">
        <f>STEMI_MODIF.!S14</f>
        <v>170.5</v>
      </c>
      <c r="E12">
        <f>STEMI_MODIF.!W14</f>
        <v>16.8</v>
      </c>
      <c r="F12">
        <f>STEMI_MODIF.!AA14</f>
        <v>4.96</v>
      </c>
      <c r="G12">
        <f>STEMI_MODIF.!AE14</f>
        <v>3.41</v>
      </c>
      <c r="H12">
        <f>STEMI_MODIF.!AI14</f>
        <v>3.4</v>
      </c>
      <c r="I12">
        <f>STEMI_MODIF.!AM14</f>
        <v>3.26</v>
      </c>
      <c r="J12">
        <f>STEMI_MODIF.!AQ14</f>
        <v>3.01</v>
      </c>
      <c r="K12">
        <f>STEMI_MODIF.!AU14</f>
        <v>2.5499999999999998</v>
      </c>
      <c r="L12">
        <f>STEMI_MODIF.!AY14</f>
        <v>0</v>
      </c>
      <c r="M12">
        <f>STEMI_MODIF.!BC14</f>
        <v>0</v>
      </c>
      <c r="N12">
        <f>STEMI_MODIF.!BG14</f>
        <v>0</v>
      </c>
      <c r="O12">
        <f>STEMI_MODIF.!BK14</f>
        <v>0</v>
      </c>
      <c r="P12" s="9"/>
    </row>
    <row r="13" spans="1:16" x14ac:dyDescent="0.25">
      <c r="A13" s="9" t="s">
        <v>583</v>
      </c>
      <c r="B13">
        <f>STEMI_MODIF.!K15</f>
        <v>203.8</v>
      </c>
      <c r="C13">
        <f>STEMI_MODIF.!O15</f>
        <v>290.3</v>
      </c>
      <c r="D13">
        <f>STEMI_MODIF.!S15</f>
        <v>93.66</v>
      </c>
      <c r="E13">
        <f>STEMI_MODIF.!W15</f>
        <v>11.9</v>
      </c>
      <c r="F13">
        <f>STEMI_MODIF.!AA15</f>
        <v>5.93</v>
      </c>
      <c r="G13">
        <f>STEMI_MODIF.!AE15</f>
        <v>5.28</v>
      </c>
      <c r="H13">
        <f>STEMI_MODIF.!AI15</f>
        <v>3.94</v>
      </c>
      <c r="I13">
        <f>STEMI_MODIF.!AM15</f>
        <v>3.64</v>
      </c>
      <c r="J13">
        <f>STEMI_MODIF.!AQ15</f>
        <v>2.83</v>
      </c>
      <c r="K13">
        <f>STEMI_MODIF.!AU15</f>
        <v>2.4300000000000002</v>
      </c>
      <c r="L13">
        <f>STEMI_MODIF.!AY15</f>
        <v>0</v>
      </c>
      <c r="M13">
        <f>STEMI_MODIF.!BC15</f>
        <v>0</v>
      </c>
      <c r="N13">
        <f>STEMI_MODIF.!BG15</f>
        <v>0</v>
      </c>
      <c r="O13">
        <f>STEMI_MODIF.!BK15</f>
        <v>0</v>
      </c>
      <c r="P13" s="9"/>
    </row>
    <row r="14" spans="1:16" x14ac:dyDescent="0.25">
      <c r="A14" s="9" t="s">
        <v>584</v>
      </c>
      <c r="B14">
        <f>STEMI_MODIF.!K16</f>
        <v>31.5</v>
      </c>
      <c r="C14">
        <f>STEMI_MODIF.!O16</f>
        <v>26.33</v>
      </c>
      <c r="D14">
        <f>STEMI_MODIF.!S16</f>
        <v>35.67</v>
      </c>
      <c r="E14">
        <f>STEMI_MODIF.!W16</f>
        <v>14.45</v>
      </c>
      <c r="F14">
        <f>STEMI_MODIF.!AA16</f>
        <v>14.45</v>
      </c>
      <c r="G14">
        <f>STEMI_MODIF.!AE16</f>
        <v>8.5</v>
      </c>
      <c r="H14">
        <f>STEMI_MODIF.!AI16</f>
        <v>3.8</v>
      </c>
      <c r="I14">
        <f>STEMI_MODIF.!AM16</f>
        <v>2.2000000000000002</v>
      </c>
      <c r="J14">
        <f>STEMI_MODIF.!AQ16</f>
        <v>2.1800000000000002</v>
      </c>
      <c r="K14">
        <f>STEMI_MODIF.!AU16</f>
        <v>2.0099999999999998</v>
      </c>
      <c r="L14">
        <f>STEMI_MODIF.!AY16</f>
        <v>0</v>
      </c>
      <c r="M14">
        <f>STEMI_MODIF.!BC16</f>
        <v>0</v>
      </c>
      <c r="N14">
        <f>STEMI_MODIF.!BG16</f>
        <v>0</v>
      </c>
      <c r="O14">
        <f>STEMI_MODIF.!BK16</f>
        <v>0</v>
      </c>
      <c r="P14" s="9"/>
    </row>
    <row r="15" spans="1:16" x14ac:dyDescent="0.25">
      <c r="A15" s="9" t="s">
        <v>585</v>
      </c>
      <c r="B15">
        <f>STEMI_MODIF.!K17</f>
        <v>28.32</v>
      </c>
      <c r="C15">
        <f>STEMI_MODIF.!O17</f>
        <v>49.33</v>
      </c>
      <c r="D15">
        <f>STEMI_MODIF.!S17</f>
        <v>58.12</v>
      </c>
      <c r="E15">
        <f>STEMI_MODIF.!W17</f>
        <v>2.87</v>
      </c>
      <c r="F15">
        <f>STEMI_MODIF.!AA17</f>
        <v>1.99</v>
      </c>
      <c r="G15">
        <f>STEMI_MODIF.!AE17</f>
        <v>3.12</v>
      </c>
      <c r="H15">
        <f>STEMI_MODIF.!AI17</f>
        <v>4.0599999999999996</v>
      </c>
      <c r="I15">
        <f>STEMI_MODIF.!AM17</f>
        <v>3.82</v>
      </c>
      <c r="J15">
        <f>STEMI_MODIF.!AQ17</f>
        <v>0</v>
      </c>
      <c r="K15">
        <f>STEMI_MODIF.!AU17</f>
        <v>0</v>
      </c>
      <c r="L15">
        <f>STEMI_MODIF.!AY17</f>
        <v>0</v>
      </c>
      <c r="M15">
        <f>STEMI_MODIF.!BC17</f>
        <v>0</v>
      </c>
      <c r="N15">
        <f>STEMI_MODIF.!BG17</f>
        <v>0</v>
      </c>
      <c r="O15">
        <f>STEMI_MODIF.!BK17</f>
        <v>0</v>
      </c>
      <c r="P15" s="9"/>
    </row>
    <row r="16" spans="1:16" x14ac:dyDescent="0.25">
      <c r="A16" s="9" t="s">
        <v>586</v>
      </c>
      <c r="B16">
        <f>STEMI_MODIF.!K18</f>
        <v>2.83</v>
      </c>
      <c r="C16">
        <f>STEMI_MODIF.!O18</f>
        <v>3.86</v>
      </c>
      <c r="D16">
        <f>STEMI_MODIF.!S18</f>
        <v>5.73</v>
      </c>
      <c r="E16">
        <f>STEMI_MODIF.!W18</f>
        <v>3.4</v>
      </c>
      <c r="F16">
        <f>STEMI_MODIF.!AA18</f>
        <v>1.59</v>
      </c>
      <c r="G16">
        <f>STEMI_MODIF.!AE18</f>
        <v>1.19</v>
      </c>
      <c r="H16">
        <f>STEMI_MODIF.!AI18</f>
        <v>0.88</v>
      </c>
      <c r="I16">
        <f>STEMI_MODIF.!AM18</f>
        <v>0</v>
      </c>
      <c r="J16">
        <f>STEMI_MODIF.!AQ18</f>
        <v>0</v>
      </c>
      <c r="K16">
        <f>STEMI_MODIF.!AU18</f>
        <v>0</v>
      </c>
      <c r="L16">
        <f>STEMI_MODIF.!AY18</f>
        <v>0</v>
      </c>
      <c r="M16">
        <f>STEMI_MODIF.!BC18</f>
        <v>0</v>
      </c>
      <c r="N16">
        <f>STEMI_MODIF.!BG18</f>
        <v>0</v>
      </c>
      <c r="O16">
        <f>STEMI_MODIF.!BK18</f>
        <v>0</v>
      </c>
      <c r="P16" s="9"/>
    </row>
    <row r="17" spans="1:16" x14ac:dyDescent="0.25">
      <c r="A17" s="9" t="s">
        <v>587</v>
      </c>
      <c r="B17">
        <f>STEMI_MODIF.!K19</f>
        <v>254.7</v>
      </c>
      <c r="C17">
        <f>STEMI_MODIF.!O19</f>
        <v>277.2</v>
      </c>
      <c r="D17">
        <f>STEMI_MODIF.!S19</f>
        <v>166.6</v>
      </c>
      <c r="E17">
        <f>STEMI_MODIF.!W19</f>
        <v>23.28</v>
      </c>
      <c r="F17">
        <f>STEMI_MODIF.!AA19</f>
        <v>12.19</v>
      </c>
      <c r="G17">
        <f>STEMI_MODIF.!AE19</f>
        <v>7.88</v>
      </c>
      <c r="H17">
        <f>STEMI_MODIF.!AI19</f>
        <v>0</v>
      </c>
      <c r="I17">
        <f>STEMI_MODIF.!AM19</f>
        <v>5.22</v>
      </c>
      <c r="J17">
        <f>STEMI_MODIF.!AQ19</f>
        <v>0</v>
      </c>
      <c r="K17">
        <f>STEMI_MODIF.!AU19</f>
        <v>0</v>
      </c>
      <c r="L17">
        <f>STEMI_MODIF.!AY19</f>
        <v>0</v>
      </c>
      <c r="M17">
        <f>STEMI_MODIF.!BC19</f>
        <v>0</v>
      </c>
      <c r="N17">
        <f>STEMI_MODIF.!BG19</f>
        <v>0</v>
      </c>
      <c r="O17">
        <f>STEMI_MODIF.!BK19</f>
        <v>0</v>
      </c>
      <c r="P17" s="9"/>
    </row>
    <row r="18" spans="1:16" x14ac:dyDescent="0.25">
      <c r="A18" s="9" t="s">
        <v>588</v>
      </c>
      <c r="B18">
        <f>STEMI_MODIF.!K20</f>
        <v>58.85</v>
      </c>
      <c r="C18">
        <f>STEMI_MODIF.!O20</f>
        <v>73.599999999999994</v>
      </c>
      <c r="D18">
        <f>STEMI_MODIF.!S20</f>
        <v>62.28</v>
      </c>
      <c r="E18">
        <f>STEMI_MODIF.!W20</f>
        <v>13.02</v>
      </c>
      <c r="F18">
        <f>STEMI_MODIF.!AA20</f>
        <v>3.95</v>
      </c>
      <c r="G18">
        <f>STEMI_MODIF.!AE20</f>
        <v>4.99</v>
      </c>
      <c r="H18">
        <f>STEMI_MODIF.!AI20</f>
        <v>3.58</v>
      </c>
      <c r="I18">
        <f>STEMI_MODIF.!AM20</f>
        <v>2.56</v>
      </c>
      <c r="J18">
        <f>STEMI_MODIF.!AQ20</f>
        <v>0</v>
      </c>
      <c r="K18">
        <f>STEMI_MODIF.!AU20</f>
        <v>0</v>
      </c>
      <c r="L18">
        <f>STEMI_MODIF.!AY20</f>
        <v>0</v>
      </c>
      <c r="M18">
        <f>STEMI_MODIF.!BC20</f>
        <v>0</v>
      </c>
      <c r="N18">
        <f>STEMI_MODIF.!BG20</f>
        <v>0</v>
      </c>
      <c r="O18">
        <f>STEMI_MODIF.!BK20</f>
        <v>0</v>
      </c>
      <c r="P18" s="9"/>
    </row>
    <row r="19" spans="1:16" x14ac:dyDescent="0.25">
      <c r="A19" s="9" t="s">
        <v>589</v>
      </c>
      <c r="B19">
        <f>STEMI_MODIF.!K21</f>
        <v>27.61</v>
      </c>
      <c r="C19">
        <f>STEMI_MODIF.!O21</f>
        <v>18.3</v>
      </c>
      <c r="D19">
        <f>STEMI_MODIF.!S21</f>
        <v>10.89</v>
      </c>
      <c r="E19">
        <f>STEMI_MODIF.!W21</f>
        <v>3.94</v>
      </c>
      <c r="F19">
        <f>STEMI_MODIF.!AA21</f>
        <v>2.48</v>
      </c>
      <c r="G19">
        <f>STEMI_MODIF.!AE21</f>
        <v>0</v>
      </c>
      <c r="H19">
        <f>STEMI_MODIF.!AI21</f>
        <v>0</v>
      </c>
      <c r="I19">
        <f>STEMI_MODIF.!AM21</f>
        <v>0</v>
      </c>
      <c r="J19">
        <f>STEMI_MODIF.!AQ21</f>
        <v>0</v>
      </c>
      <c r="K19">
        <f>STEMI_MODIF.!AU21</f>
        <v>0</v>
      </c>
      <c r="L19">
        <f>STEMI_MODIF.!AY21</f>
        <v>0</v>
      </c>
      <c r="M19">
        <f>STEMI_MODIF.!BC21</f>
        <v>0</v>
      </c>
      <c r="N19">
        <f>STEMI_MODIF.!BG21</f>
        <v>0</v>
      </c>
      <c r="O19">
        <f>STEMI_MODIF.!BK21</f>
        <v>0</v>
      </c>
      <c r="P19" s="9"/>
    </row>
    <row r="20" spans="1:16" x14ac:dyDescent="0.25">
      <c r="A20" s="9" t="s">
        <v>590</v>
      </c>
      <c r="B20">
        <f>STEMI_MODIF.!K22</f>
        <v>263.2</v>
      </c>
      <c r="C20">
        <f>STEMI_MODIF.!O22</f>
        <v>514.5</v>
      </c>
      <c r="D20">
        <f>STEMI_MODIF.!S22</f>
        <v>284.5</v>
      </c>
      <c r="E20">
        <f>STEMI_MODIF.!W22</f>
        <v>31.52</v>
      </c>
      <c r="F20">
        <f>STEMI_MODIF.!AA22</f>
        <v>4.03</v>
      </c>
      <c r="G20">
        <f>STEMI_MODIF.!AE22</f>
        <v>4.47</v>
      </c>
      <c r="H20">
        <f>STEMI_MODIF.!AI22</f>
        <v>3.94</v>
      </c>
      <c r="I20">
        <f>STEMI_MODIF.!AM22</f>
        <v>2.86</v>
      </c>
      <c r="J20">
        <f>STEMI_MODIF.!AQ22</f>
        <v>3</v>
      </c>
      <c r="K20">
        <f>STEMI_MODIF.!AU22</f>
        <v>0</v>
      </c>
      <c r="L20">
        <f>STEMI_MODIF.!AY22</f>
        <v>0</v>
      </c>
      <c r="M20">
        <f>STEMI_MODIF.!BC22</f>
        <v>0</v>
      </c>
      <c r="N20">
        <f>STEMI_MODIF.!BG22</f>
        <v>0</v>
      </c>
      <c r="O20">
        <f>STEMI_MODIF.!BK22</f>
        <v>0</v>
      </c>
      <c r="P20" s="9"/>
    </row>
    <row r="21" spans="1:16" x14ac:dyDescent="0.25">
      <c r="A21" s="9" t="s">
        <v>591</v>
      </c>
      <c r="B21">
        <f>STEMI_MODIF.!K23</f>
        <v>99.78</v>
      </c>
      <c r="C21">
        <f>STEMI_MODIF.!O23</f>
        <v>244.6</v>
      </c>
      <c r="D21">
        <f>STEMI_MODIF.!S23</f>
        <v>86.71</v>
      </c>
      <c r="E21">
        <f>STEMI_MODIF.!W23</f>
        <v>11.81</v>
      </c>
      <c r="F21">
        <f>STEMI_MODIF.!AA23</f>
        <v>3.89</v>
      </c>
      <c r="G21">
        <f>STEMI_MODIF.!AE23</f>
        <v>2.21</v>
      </c>
      <c r="H21">
        <f>STEMI_MODIF.!AI23</f>
        <v>1.81</v>
      </c>
      <c r="I21">
        <f>STEMI_MODIF.!AM23</f>
        <v>1.57</v>
      </c>
      <c r="J21">
        <f>STEMI_MODIF.!AQ23</f>
        <v>3.21</v>
      </c>
      <c r="K21">
        <f>STEMI_MODIF.!AU23</f>
        <v>1.42</v>
      </c>
      <c r="L21">
        <f>STEMI_MODIF.!AY23</f>
        <v>0.99</v>
      </c>
      <c r="M21">
        <f>STEMI_MODIF.!BC23</f>
        <v>0.93</v>
      </c>
      <c r="N21">
        <f>STEMI_MODIF.!BG23</f>
        <v>0</v>
      </c>
      <c r="O21">
        <f>STEMI_MODIF.!BK23</f>
        <v>0</v>
      </c>
      <c r="P21" s="9"/>
    </row>
    <row r="22" spans="1:16" x14ac:dyDescent="0.25">
      <c r="A22" s="9" t="s">
        <v>592</v>
      </c>
      <c r="B22">
        <f>STEMI_MODIF.!K24</f>
        <v>103.4</v>
      </c>
      <c r="C22">
        <f>STEMI_MODIF.!O24</f>
        <v>74.25</v>
      </c>
      <c r="D22">
        <f>STEMI_MODIF.!S24</f>
        <v>34.880000000000003</v>
      </c>
      <c r="E22">
        <f>STEMI_MODIF.!W24</f>
        <v>5.97</v>
      </c>
      <c r="F22">
        <f>STEMI_MODIF.!AA24</f>
        <v>1.85</v>
      </c>
      <c r="G22">
        <f>STEMI_MODIF.!AE24</f>
        <v>2.4900000000000002</v>
      </c>
      <c r="H22">
        <f>STEMI_MODIF.!AI24</f>
        <v>0</v>
      </c>
      <c r="I22">
        <f>STEMI_MODIF.!AM24</f>
        <v>0</v>
      </c>
      <c r="J22">
        <f>STEMI_MODIF.!AQ24</f>
        <v>0</v>
      </c>
      <c r="K22">
        <f>STEMI_MODIF.!AU24</f>
        <v>0</v>
      </c>
      <c r="L22">
        <f>STEMI_MODIF.!AY24</f>
        <v>0</v>
      </c>
      <c r="M22">
        <f>STEMI_MODIF.!BC24</f>
        <v>0</v>
      </c>
      <c r="N22">
        <f>STEMI_MODIF.!BG24</f>
        <v>0</v>
      </c>
      <c r="O22">
        <f>STEMI_MODIF.!BK24</f>
        <v>0</v>
      </c>
      <c r="P22" s="9"/>
    </row>
    <row r="23" spans="1:16" x14ac:dyDescent="0.25">
      <c r="A23" s="9" t="s">
        <v>593</v>
      </c>
      <c r="B23">
        <f>STEMI_MODIF.!K25</f>
        <v>547.5</v>
      </c>
      <c r="C23">
        <f>STEMI_MODIF.!O25</f>
        <v>495.6</v>
      </c>
      <c r="D23">
        <f>STEMI_MODIF.!S25</f>
        <v>275.5</v>
      </c>
      <c r="E23">
        <f>STEMI_MODIF.!W25</f>
        <v>87.33</v>
      </c>
      <c r="F23">
        <f>STEMI_MODIF.!AA25</f>
        <v>24.35</v>
      </c>
      <c r="G23">
        <f>STEMI_MODIF.!AE25</f>
        <v>5.18</v>
      </c>
      <c r="H23">
        <f>STEMI_MODIF.!AI25</f>
        <v>2.59</v>
      </c>
      <c r="I23">
        <f>STEMI_MODIF.!AM25</f>
        <v>3.28</v>
      </c>
      <c r="J23">
        <f>STEMI_MODIF.!AQ25</f>
        <v>2.82</v>
      </c>
      <c r="K23">
        <f>STEMI_MODIF.!AU25</f>
        <v>0</v>
      </c>
      <c r="L23">
        <f>STEMI_MODIF.!AY25</f>
        <v>0</v>
      </c>
      <c r="M23">
        <f>STEMI_MODIF.!BC25</f>
        <v>0</v>
      </c>
      <c r="N23">
        <f>STEMI_MODIF.!BG25</f>
        <v>0</v>
      </c>
      <c r="O23">
        <f>STEMI_MODIF.!BK25</f>
        <v>0</v>
      </c>
      <c r="P23" s="9"/>
    </row>
    <row r="24" spans="1:16" x14ac:dyDescent="0.25">
      <c r="A24" s="9" t="s">
        <v>594</v>
      </c>
      <c r="B24">
        <f>STEMI_MODIF.!K26</f>
        <v>219.6</v>
      </c>
      <c r="C24">
        <f>STEMI_MODIF.!O26</f>
        <v>424</v>
      </c>
      <c r="D24">
        <f>STEMI_MODIF.!S26</f>
        <v>277.39999999999998</v>
      </c>
      <c r="E24">
        <f>STEMI_MODIF.!W26</f>
        <v>24.05</v>
      </c>
      <c r="F24">
        <f>STEMI_MODIF.!AA26</f>
        <v>5.76</v>
      </c>
      <c r="G24">
        <f>STEMI_MODIF.!AE26</f>
        <v>3.07</v>
      </c>
      <c r="H24">
        <f>STEMI_MODIF.!AI26</f>
        <v>2.35</v>
      </c>
      <c r="I24">
        <f>STEMI_MODIF.!AM26</f>
        <v>0</v>
      </c>
      <c r="J24">
        <f>STEMI_MODIF.!AQ26</f>
        <v>0</v>
      </c>
      <c r="K24">
        <f>STEMI_MODIF.!AU26</f>
        <v>0</v>
      </c>
      <c r="L24">
        <f>STEMI_MODIF.!AY26</f>
        <v>0</v>
      </c>
      <c r="M24">
        <f>STEMI_MODIF.!BC26</f>
        <v>0</v>
      </c>
      <c r="N24">
        <f>STEMI_MODIF.!BG26</f>
        <v>0</v>
      </c>
      <c r="O24">
        <f>STEMI_MODIF.!BK26</f>
        <v>0</v>
      </c>
      <c r="P24" s="9"/>
    </row>
    <row r="25" spans="1:16" x14ac:dyDescent="0.25">
      <c r="A25" s="9" t="s">
        <v>595</v>
      </c>
      <c r="B25">
        <f>STEMI_MODIF.!K27</f>
        <v>265.89999999999998</v>
      </c>
      <c r="C25">
        <f>STEMI_MODIF.!O27</f>
        <v>589.79999999999995</v>
      </c>
      <c r="D25">
        <f>STEMI_MODIF.!S27</f>
        <v>296</v>
      </c>
      <c r="E25">
        <f>STEMI_MODIF.!W27</f>
        <v>30.8</v>
      </c>
      <c r="F25">
        <f>STEMI_MODIF.!AA27</f>
        <v>8.67</v>
      </c>
      <c r="G25">
        <f>STEMI_MODIF.!AE27</f>
        <v>5.17</v>
      </c>
      <c r="H25">
        <f>STEMI_MODIF.!AI27</f>
        <v>3.53</v>
      </c>
      <c r="I25">
        <f>STEMI_MODIF.!AM27</f>
        <v>3.3</v>
      </c>
      <c r="J25">
        <f>STEMI_MODIF.!AQ27</f>
        <v>0</v>
      </c>
      <c r="K25">
        <f>STEMI_MODIF.!AU27</f>
        <v>0</v>
      </c>
      <c r="L25">
        <f>STEMI_MODIF.!AY27</f>
        <v>0</v>
      </c>
      <c r="M25">
        <f>STEMI_MODIF.!BC27</f>
        <v>0</v>
      </c>
      <c r="N25">
        <f>STEMI_MODIF.!BG27</f>
        <v>0</v>
      </c>
      <c r="O25">
        <f>STEMI_MODIF.!BK27</f>
        <v>0</v>
      </c>
      <c r="P25" s="9"/>
    </row>
    <row r="26" spans="1:16" x14ac:dyDescent="0.25">
      <c r="A26" s="9" t="s">
        <v>596</v>
      </c>
      <c r="B26">
        <f>STEMI_MODIF.!K28</f>
        <v>90.09</v>
      </c>
      <c r="C26">
        <f>STEMI_MODIF.!O28</f>
        <v>230.2</v>
      </c>
      <c r="D26">
        <f>STEMI_MODIF.!S28</f>
        <v>116.3</v>
      </c>
      <c r="E26">
        <f>STEMI_MODIF.!W28</f>
        <v>33.64</v>
      </c>
      <c r="F26">
        <f>STEMI_MODIF.!AA28</f>
        <v>7.73</v>
      </c>
      <c r="G26">
        <f>STEMI_MODIF.!AE28</f>
        <v>3.27</v>
      </c>
      <c r="H26">
        <f>STEMI_MODIF.!AI28</f>
        <v>1.87</v>
      </c>
      <c r="I26">
        <f>STEMI_MODIF.!AM28</f>
        <v>1.52</v>
      </c>
      <c r="J26">
        <f>STEMI_MODIF.!AQ28</f>
        <v>1.65</v>
      </c>
      <c r="K26">
        <f>STEMI_MODIF.!AU28</f>
        <v>1.61</v>
      </c>
      <c r="L26">
        <f>STEMI_MODIF.!AY28</f>
        <v>0</v>
      </c>
      <c r="M26">
        <f>STEMI_MODIF.!BC28</f>
        <v>0</v>
      </c>
      <c r="N26">
        <f>STEMI_MODIF.!BG28</f>
        <v>0</v>
      </c>
      <c r="O26">
        <f>STEMI_MODIF.!BK28</f>
        <v>0</v>
      </c>
      <c r="P26" s="9"/>
    </row>
    <row r="27" spans="1:16" x14ac:dyDescent="0.25">
      <c r="A27" s="9" t="s">
        <v>597</v>
      </c>
      <c r="B27">
        <f>STEMI_MODIF.!K29</f>
        <v>234.4</v>
      </c>
      <c r="C27">
        <f>STEMI_MODIF.!O29</f>
        <v>274.5</v>
      </c>
      <c r="D27">
        <f>STEMI_MODIF.!S29</f>
        <v>138.4</v>
      </c>
      <c r="E27">
        <f>STEMI_MODIF.!W29</f>
        <v>17.739999999999998</v>
      </c>
      <c r="F27">
        <f>STEMI_MODIF.!AA29</f>
        <v>5.93</v>
      </c>
      <c r="G27">
        <f>STEMI_MODIF.!AE29</f>
        <v>3.15</v>
      </c>
      <c r="H27">
        <f>STEMI_MODIF.!AI29</f>
        <v>2.31</v>
      </c>
      <c r="I27">
        <f>STEMI_MODIF.!AM29</f>
        <v>2.34</v>
      </c>
      <c r="J27">
        <f>STEMI_MODIF.!AQ29</f>
        <v>2.23</v>
      </c>
      <c r="K27">
        <f>STEMI_MODIF.!AU29</f>
        <v>0</v>
      </c>
      <c r="L27">
        <f>STEMI_MODIF.!AY29</f>
        <v>0</v>
      </c>
      <c r="M27">
        <f>STEMI_MODIF.!BC29</f>
        <v>0</v>
      </c>
      <c r="N27">
        <f>STEMI_MODIF.!BG29</f>
        <v>0</v>
      </c>
      <c r="O27">
        <f>STEMI_MODIF.!BK29</f>
        <v>0</v>
      </c>
      <c r="P27" s="9"/>
    </row>
    <row r="28" spans="1:16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1:16" x14ac:dyDescent="0.25">
      <c r="A29" s="33" t="s">
        <v>598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</row>
    <row r="30" spans="1:16" x14ac:dyDescent="0.25">
      <c r="A30" s="30" t="s">
        <v>572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</row>
    <row r="31" spans="1:16" x14ac:dyDescent="0.25">
      <c r="A31" s="30" t="s">
        <v>573</v>
      </c>
      <c r="B31">
        <f>STEMI_MODIF.!J5</f>
        <v>1.21</v>
      </c>
      <c r="C31">
        <f>STEMI_MODIF.!N5</f>
        <v>2.79</v>
      </c>
      <c r="D31">
        <f>STEMI_MODIF.!R5</f>
        <v>1.25</v>
      </c>
      <c r="E31">
        <f>STEMI_MODIF.!V5</f>
        <v>0.60299999999999998</v>
      </c>
      <c r="F31">
        <f>STEMI_MODIF.!Z5</f>
        <v>0.66500000000000004</v>
      </c>
      <c r="G31">
        <f>STEMI_MODIF.!AD5</f>
        <v>0.69199999999999995</v>
      </c>
      <c r="H31">
        <f>STEMI_MODIF.!AH5</f>
        <v>0.54100000000000004</v>
      </c>
      <c r="I31">
        <f>STEMI_MODIF.!AL5</f>
        <v>0.48299999999999998</v>
      </c>
      <c r="J31">
        <f>STEMI_MODIF.!AP5</f>
        <v>0.10199999999999999</v>
      </c>
      <c r="K31">
        <f>STEMI_MODIF.!AT5</f>
        <v>6.9000000000000006E-2</v>
      </c>
      <c r="L31">
        <f>STEMI_MODIF.!AX5</f>
        <v>5.0999999999999997E-2</v>
      </c>
      <c r="M31">
        <f>STEMI_MODIF.!BB5</f>
        <v>3.5000000000000003E-2</v>
      </c>
      <c r="N31">
        <f>STEMI_MODIF.!BF5</f>
        <v>0</v>
      </c>
      <c r="O31">
        <f>STEMI_MODIF.!BJ5</f>
        <v>0</v>
      </c>
      <c r="P31" s="30"/>
    </row>
    <row r="32" spans="1:16" x14ac:dyDescent="0.25">
      <c r="A32" s="30" t="s">
        <v>574</v>
      </c>
      <c r="B32">
        <f>STEMI_MODIF.!J6</f>
        <v>16.63</v>
      </c>
      <c r="C32">
        <f>STEMI_MODIF.!N6</f>
        <v>21.43</v>
      </c>
      <c r="D32">
        <f>STEMI_MODIF.!R6</f>
        <v>13.57</v>
      </c>
      <c r="E32">
        <f>STEMI_MODIF.!V6</f>
        <v>8.8000000000000007</v>
      </c>
      <c r="F32">
        <f>STEMI_MODIF.!Z6</f>
        <v>7.91</v>
      </c>
      <c r="G32">
        <f>STEMI_MODIF.!AD6</f>
        <v>7.22</v>
      </c>
      <c r="H32">
        <f>STEMI_MODIF.!AH6</f>
        <v>6.78</v>
      </c>
      <c r="I32">
        <f>STEMI_MODIF.!AL6</f>
        <v>5.47</v>
      </c>
      <c r="J32">
        <f>STEMI_MODIF.!AP6</f>
        <v>4.72</v>
      </c>
      <c r="K32">
        <f>STEMI_MODIF.!AT6</f>
        <v>3.83</v>
      </c>
      <c r="L32">
        <f>STEMI_MODIF.!AX6</f>
        <v>3.02</v>
      </c>
      <c r="M32">
        <f>STEMI_MODIF.!BB6</f>
        <v>2.35</v>
      </c>
      <c r="N32">
        <f>STEMI_MODIF.!BF6</f>
        <v>1.52</v>
      </c>
      <c r="O32">
        <f>STEMI_MODIF.!BJ6</f>
        <v>1.1200000000000001</v>
      </c>
      <c r="P32" s="30"/>
    </row>
    <row r="33" spans="1:16" x14ac:dyDescent="0.25">
      <c r="A33" s="30" t="s">
        <v>575</v>
      </c>
      <c r="B33">
        <f>STEMI_MODIF.!J7</f>
        <v>1.08</v>
      </c>
      <c r="C33">
        <f>STEMI_MODIF.!N7</f>
        <v>7.25</v>
      </c>
      <c r="D33">
        <f>STEMI_MODIF.!R7</f>
        <v>11.13</v>
      </c>
      <c r="E33">
        <f>STEMI_MODIF.!V7</f>
        <v>6.28</v>
      </c>
      <c r="F33">
        <f>STEMI_MODIF.!Z7</f>
        <v>6.41</v>
      </c>
      <c r="G33">
        <f>STEMI_MODIF.!AD7</f>
        <v>5.47</v>
      </c>
      <c r="H33">
        <f>STEMI_MODIF.!AH7</f>
        <v>4</v>
      </c>
      <c r="I33">
        <f>STEMI_MODIF.!AL7</f>
        <v>1.34</v>
      </c>
      <c r="J33">
        <f>STEMI_MODIF.!AP7</f>
        <v>0.82799999999999996</v>
      </c>
      <c r="K33">
        <f>STEMI_MODIF.!AT7</f>
        <v>0.47599999999999998</v>
      </c>
      <c r="L33">
        <f>STEMI_MODIF.!AX7</f>
        <v>0</v>
      </c>
      <c r="M33">
        <f>STEMI_MODIF.!BB7</f>
        <v>0</v>
      </c>
      <c r="N33">
        <f>STEMI_MODIF.!BF7</f>
        <v>0</v>
      </c>
      <c r="O33">
        <f>STEMI_MODIF.!BJ7</f>
        <v>0</v>
      </c>
      <c r="P33" s="30"/>
    </row>
    <row r="34" spans="1:16" x14ac:dyDescent="0.25">
      <c r="A34" s="30" t="s">
        <v>576</v>
      </c>
      <c r="B34">
        <f>STEMI_MODIF.!J8</f>
        <v>5.8000000000000003E-2</v>
      </c>
      <c r="C34">
        <f>STEMI_MODIF.!N8</f>
        <v>0.215</v>
      </c>
      <c r="D34">
        <f>STEMI_MODIF.!R8</f>
        <v>0.33100000000000002</v>
      </c>
      <c r="E34">
        <f>STEMI_MODIF.!V8</f>
        <v>0.29799999999999999</v>
      </c>
      <c r="F34">
        <f>STEMI_MODIF.!Z8</f>
        <v>0.33</v>
      </c>
      <c r="G34">
        <f>STEMI_MODIF.!AD8</f>
        <v>0.33300000000000002</v>
      </c>
      <c r="H34">
        <f>STEMI_MODIF.!AH8</f>
        <v>0.19600000000000001</v>
      </c>
      <c r="I34">
        <f>STEMI_MODIF.!AL8</f>
        <v>7.8E-2</v>
      </c>
      <c r="J34">
        <f>STEMI_MODIF.!AP8</f>
        <v>3.5000000000000003E-2</v>
      </c>
      <c r="K34">
        <f>STEMI_MODIF.!AT8</f>
        <v>0</v>
      </c>
      <c r="L34">
        <f>STEMI_MODIF.!AX8</f>
        <v>0</v>
      </c>
      <c r="M34">
        <f>STEMI_MODIF.!BB8</f>
        <v>0</v>
      </c>
      <c r="N34">
        <f>STEMI_MODIF.!BF8</f>
        <v>0</v>
      </c>
      <c r="O34">
        <f>STEMI_MODIF.!BJ8</f>
        <v>0</v>
      </c>
      <c r="P34" s="30"/>
    </row>
    <row r="35" spans="1:16" x14ac:dyDescent="0.25">
      <c r="A35" s="30" t="s">
        <v>577</v>
      </c>
      <c r="B35">
        <f>STEMI_MODIF.!J9</f>
        <v>0.53</v>
      </c>
      <c r="C35">
        <f>STEMI_MODIF.!N9</f>
        <v>0.749</v>
      </c>
      <c r="D35">
        <f>STEMI_MODIF.!R9</f>
        <v>0.91100000000000003</v>
      </c>
      <c r="E35">
        <f>STEMI_MODIF.!V9</f>
        <v>0.67300000000000004</v>
      </c>
      <c r="F35">
        <f>STEMI_MODIF.!Z9</f>
        <v>0.47399999999999998</v>
      </c>
      <c r="G35">
        <f>STEMI_MODIF.!AD9</f>
        <v>0.438</v>
      </c>
      <c r="H35">
        <f>STEMI_MODIF.!AH9</f>
        <v>0.35399999999999998</v>
      </c>
      <c r="I35">
        <f>STEMI_MODIF.!AL9</f>
        <v>0.371</v>
      </c>
      <c r="J35">
        <f>STEMI_MODIF.!AP9</f>
        <v>0.28100000000000003</v>
      </c>
      <c r="K35">
        <f>STEMI_MODIF.!AT9</f>
        <v>0</v>
      </c>
      <c r="L35">
        <f>STEMI_MODIF.!AX9</f>
        <v>0</v>
      </c>
      <c r="M35">
        <f>STEMI_MODIF.!BB9</f>
        <v>0</v>
      </c>
      <c r="N35">
        <f>STEMI_MODIF.!BF9</f>
        <v>0</v>
      </c>
      <c r="O35">
        <f>STEMI_MODIF.!BJ9</f>
        <v>0</v>
      </c>
      <c r="P35" s="30"/>
    </row>
    <row r="36" spans="1:16" x14ac:dyDescent="0.25">
      <c r="A36" s="30" t="s">
        <v>578</v>
      </c>
      <c r="B36">
        <f>STEMI_MODIF.!J10</f>
        <v>1.68</v>
      </c>
      <c r="C36">
        <f>STEMI_MODIF.!N10</f>
        <v>3.74</v>
      </c>
      <c r="D36">
        <f>STEMI_MODIF.!R10</f>
        <v>6.42</v>
      </c>
      <c r="E36">
        <f>STEMI_MODIF.!V10</f>
        <v>3.69</v>
      </c>
      <c r="F36">
        <f>STEMI_MODIF.!Z10</f>
        <v>3.05</v>
      </c>
      <c r="G36">
        <f>STEMI_MODIF.!AD10</f>
        <v>2.41</v>
      </c>
      <c r="H36">
        <f>STEMI_MODIF.!AH10</f>
        <v>2.14</v>
      </c>
      <c r="I36">
        <f>STEMI_MODIF.!AL10</f>
        <v>2.39</v>
      </c>
      <c r="J36">
        <f>STEMI_MODIF.!AP10</f>
        <v>1.48</v>
      </c>
      <c r="K36">
        <f>STEMI_MODIF.!AT10</f>
        <v>0.62</v>
      </c>
      <c r="L36">
        <f>STEMI_MODIF.!AX10</f>
        <v>0.31900000000000001</v>
      </c>
      <c r="M36">
        <f>STEMI_MODIF.!BB10</f>
        <v>0</v>
      </c>
      <c r="N36">
        <f>STEMI_MODIF.!BF10</f>
        <v>0</v>
      </c>
      <c r="O36">
        <f>STEMI_MODIF.!BJ10</f>
        <v>0</v>
      </c>
      <c r="P36" s="30"/>
    </row>
    <row r="37" spans="1:16" x14ac:dyDescent="0.25">
      <c r="A37" s="30" t="s">
        <v>579</v>
      </c>
      <c r="B37">
        <f>STEMI_MODIF.!J11</f>
        <v>1.71</v>
      </c>
      <c r="C37">
        <f>STEMI_MODIF.!N11</f>
        <v>9.36</v>
      </c>
      <c r="D37">
        <f>STEMI_MODIF.!R11</f>
        <v>8.43</v>
      </c>
      <c r="E37">
        <f>STEMI_MODIF.!V11</f>
        <v>4.3</v>
      </c>
      <c r="F37">
        <f>STEMI_MODIF.!Z11</f>
        <v>4.74</v>
      </c>
      <c r="G37">
        <f>STEMI_MODIF.!AD11</f>
        <v>3.85</v>
      </c>
      <c r="H37">
        <f>STEMI_MODIF.!AH11</f>
        <v>0</v>
      </c>
      <c r="I37">
        <f>STEMI_MODIF.!AL11</f>
        <v>0</v>
      </c>
      <c r="J37">
        <f>STEMI_MODIF.!AP11</f>
        <v>0</v>
      </c>
      <c r="K37">
        <f>STEMI_MODIF.!AT11</f>
        <v>0</v>
      </c>
      <c r="L37">
        <f>STEMI_MODIF.!AX11</f>
        <v>0</v>
      </c>
      <c r="M37">
        <f>STEMI_MODIF.!BB11</f>
        <v>0</v>
      </c>
      <c r="N37">
        <f>STEMI_MODIF.!BF11</f>
        <v>0</v>
      </c>
      <c r="O37">
        <f>STEMI_MODIF.!BJ11</f>
        <v>0</v>
      </c>
      <c r="P37" s="30"/>
    </row>
    <row r="38" spans="1:16" x14ac:dyDescent="0.25">
      <c r="A38" s="30" t="s">
        <v>580</v>
      </c>
      <c r="B38">
        <f>STEMI_MODIF.!J12</f>
        <v>0.31</v>
      </c>
      <c r="C38">
        <f>STEMI_MODIF.!N12</f>
        <v>3.72</v>
      </c>
      <c r="D38">
        <f>STEMI_MODIF.!R12</f>
        <v>4.18</v>
      </c>
      <c r="E38">
        <f>STEMI_MODIF.!V12</f>
        <v>2.13</v>
      </c>
      <c r="F38">
        <f>STEMI_MODIF.!Z12</f>
        <v>2.67</v>
      </c>
      <c r="G38">
        <f>STEMI_MODIF.!AD12</f>
        <v>3.99</v>
      </c>
      <c r="H38">
        <f>STEMI_MODIF.!AH12</f>
        <v>3.16</v>
      </c>
      <c r="I38">
        <f>STEMI_MODIF.!AL12</f>
        <v>1.71</v>
      </c>
      <c r="J38">
        <f>STEMI_MODIF.!AP12</f>
        <v>0.76</v>
      </c>
      <c r="K38">
        <f>STEMI_MODIF.!AT12</f>
        <v>0.45500000000000002</v>
      </c>
      <c r="L38">
        <f>STEMI_MODIF.!AX12</f>
        <v>0.29299999999999998</v>
      </c>
      <c r="M38">
        <f>STEMI_MODIF.!BB12</f>
        <v>0.182</v>
      </c>
      <c r="N38">
        <f>STEMI_MODIF.!BF12</f>
        <v>0</v>
      </c>
      <c r="O38">
        <f>STEMI_MODIF.!BJ12</f>
        <v>0</v>
      </c>
      <c r="P38" s="30"/>
    </row>
    <row r="39" spans="1:16" x14ac:dyDescent="0.25">
      <c r="A39" s="30" t="s">
        <v>581</v>
      </c>
      <c r="B39">
        <f>STEMI_MODIF.!J13</f>
        <v>1.57</v>
      </c>
      <c r="C39">
        <f>STEMI_MODIF.!N13</f>
        <v>7.81</v>
      </c>
      <c r="D39">
        <f>STEMI_MODIF.!R13</f>
        <v>7.46</v>
      </c>
      <c r="E39">
        <f>STEMI_MODIF.!V13</f>
        <v>6.58</v>
      </c>
      <c r="F39">
        <f>STEMI_MODIF.!Z13</f>
        <v>5.93</v>
      </c>
      <c r="G39">
        <f>STEMI_MODIF.!AD13</f>
        <v>4.9800000000000004</v>
      </c>
      <c r="H39">
        <f>STEMI_MODIF.!AH13</f>
        <v>1.72</v>
      </c>
      <c r="I39">
        <f>STEMI_MODIF.!AL13</f>
        <v>0.43</v>
      </c>
      <c r="J39">
        <f>STEMI_MODIF.!AP13</f>
        <v>0.14399999999999999</v>
      </c>
      <c r="K39">
        <f>STEMI_MODIF.!AT13</f>
        <v>2.1800000000000002</v>
      </c>
      <c r="L39">
        <f>STEMI_MODIF.!AX13</f>
        <v>2.14</v>
      </c>
      <c r="M39">
        <f>STEMI_MODIF.!BB13</f>
        <v>2.16</v>
      </c>
      <c r="N39">
        <f>STEMI_MODIF.!BF13</f>
        <v>0.89600000000000002</v>
      </c>
      <c r="O39">
        <f>STEMI_MODIF.!BJ13</f>
        <v>0.97299999999999998</v>
      </c>
      <c r="P39" s="30"/>
    </row>
    <row r="40" spans="1:16" x14ac:dyDescent="0.25">
      <c r="A40" s="30" t="s">
        <v>582</v>
      </c>
      <c r="B40">
        <f>STEMI_MODIF.!J14</f>
        <v>5.15</v>
      </c>
      <c r="C40">
        <f>STEMI_MODIF.!N14</f>
        <v>3.82</v>
      </c>
      <c r="D40">
        <f>STEMI_MODIF.!R14</f>
        <v>3.03</v>
      </c>
      <c r="E40">
        <f>STEMI_MODIF.!V14</f>
        <v>2.81</v>
      </c>
      <c r="F40">
        <f>STEMI_MODIF.!Z14</f>
        <v>2.69</v>
      </c>
      <c r="G40">
        <f>STEMI_MODIF.!AD14</f>
        <v>2.13</v>
      </c>
      <c r="H40">
        <f>STEMI_MODIF.!AH14</f>
        <v>0.88900000000000001</v>
      </c>
      <c r="I40">
        <f>STEMI_MODIF.!AL14</f>
        <v>0.45800000000000002</v>
      </c>
      <c r="J40">
        <f>STEMI_MODIF.!AP14</f>
        <v>0.22800000000000001</v>
      </c>
      <c r="K40">
        <f>STEMI_MODIF.!AT14</f>
        <v>0.124</v>
      </c>
      <c r="L40">
        <f>STEMI_MODIF.!AX14</f>
        <v>0</v>
      </c>
      <c r="M40">
        <f>STEMI_MODIF.!BB14</f>
        <v>0</v>
      </c>
      <c r="N40">
        <f>STEMI_MODIF.!BF14</f>
        <v>0</v>
      </c>
      <c r="O40">
        <f>STEMI_MODIF.!BJ14</f>
        <v>0</v>
      </c>
      <c r="P40" s="30"/>
    </row>
    <row r="41" spans="1:16" x14ac:dyDescent="0.25">
      <c r="A41" s="30" t="s">
        <v>583</v>
      </c>
      <c r="B41">
        <f>STEMI_MODIF.!J15</f>
        <v>5.65</v>
      </c>
      <c r="C41">
        <f>STEMI_MODIF.!N15</f>
        <v>18.55</v>
      </c>
      <c r="D41">
        <f>STEMI_MODIF.!R15</f>
        <v>9.43</v>
      </c>
      <c r="E41">
        <f>STEMI_MODIF.!V15</f>
        <v>4.24</v>
      </c>
      <c r="F41">
        <f>STEMI_MODIF.!Z15</f>
        <v>3.51</v>
      </c>
      <c r="G41">
        <f>STEMI_MODIF.!AD15</f>
        <v>3.17</v>
      </c>
      <c r="H41">
        <f>STEMI_MODIF.!AH15</f>
        <v>2.36</v>
      </c>
      <c r="I41">
        <f>STEMI_MODIF.!AL15</f>
        <v>42553</v>
      </c>
      <c r="J41">
        <f>STEMI_MODIF.!AP15</f>
        <v>1.91</v>
      </c>
      <c r="K41">
        <f>STEMI_MODIF.!AT15</f>
        <v>1.56</v>
      </c>
      <c r="L41">
        <f>STEMI_MODIF.!AX15</f>
        <v>0</v>
      </c>
      <c r="M41">
        <f>STEMI_MODIF.!BB15</f>
        <v>0</v>
      </c>
      <c r="N41">
        <f>STEMI_MODIF.!BF15</f>
        <v>0</v>
      </c>
      <c r="O41">
        <f>STEMI_MODIF.!BJ15</f>
        <v>0</v>
      </c>
      <c r="P41" s="30"/>
    </row>
    <row r="42" spans="1:16" x14ac:dyDescent="0.25">
      <c r="A42" s="30" t="s">
        <v>584</v>
      </c>
      <c r="B42">
        <f>STEMI_MODIF.!J16</f>
        <v>0.73299999999999998</v>
      </c>
      <c r="C42">
        <f>STEMI_MODIF.!N16</f>
        <v>1.1100000000000001</v>
      </c>
      <c r="D42">
        <f>STEMI_MODIF.!R16</f>
        <v>1.18</v>
      </c>
      <c r="E42">
        <f>STEMI_MODIF.!V16</f>
        <v>0.96299999999999997</v>
      </c>
      <c r="F42">
        <f>STEMI_MODIF.!Z16</f>
        <v>0.96299999999999997</v>
      </c>
      <c r="G42">
        <f>STEMI_MODIF.!AD16</f>
        <v>1.0900000000000001</v>
      </c>
      <c r="H42">
        <f>STEMI_MODIF.!AH16</f>
        <v>1.87</v>
      </c>
      <c r="I42">
        <f>STEMI_MODIF.!AL16</f>
        <v>2.16</v>
      </c>
      <c r="J42">
        <f>STEMI_MODIF.!AP16</f>
        <v>1.92</v>
      </c>
      <c r="K42">
        <f>STEMI_MODIF.!AT16</f>
        <v>1.46</v>
      </c>
      <c r="L42">
        <f>STEMI_MODIF.!AX16</f>
        <v>0</v>
      </c>
      <c r="M42">
        <f>STEMI_MODIF.!BB16</f>
        <v>0</v>
      </c>
      <c r="N42">
        <f>STEMI_MODIF.!BF16</f>
        <v>0</v>
      </c>
      <c r="O42">
        <f>STEMI_MODIF.!BJ16</f>
        <v>0</v>
      </c>
      <c r="P42" s="30"/>
    </row>
    <row r="43" spans="1:16" x14ac:dyDescent="0.25">
      <c r="A43" s="30" t="s">
        <v>585</v>
      </c>
      <c r="B43">
        <f>STEMI_MODIF.!J17</f>
        <v>0.20599999999999999</v>
      </c>
      <c r="C43">
        <f>STEMI_MODIF.!N17</f>
        <v>0.80300000000000005</v>
      </c>
      <c r="D43">
        <f>STEMI_MODIF.!R17</f>
        <v>1.05</v>
      </c>
      <c r="E43">
        <f>STEMI_MODIF.!V17</f>
        <v>0.504</v>
      </c>
      <c r="F43">
        <f>STEMI_MODIF.!Z17</f>
        <v>0.753</v>
      </c>
      <c r="G43">
        <f>STEMI_MODIF.!AD17</f>
        <v>0.62</v>
      </c>
      <c r="H43">
        <f>STEMI_MODIF.!AH17</f>
        <v>0.42799999999999999</v>
      </c>
      <c r="I43">
        <f>STEMI_MODIF.!AL17</f>
        <v>0.247</v>
      </c>
      <c r="J43">
        <f>STEMI_MODIF.!AP17</f>
        <v>0</v>
      </c>
      <c r="K43">
        <f>STEMI_MODIF.!AT17</f>
        <v>0</v>
      </c>
      <c r="L43">
        <f>STEMI_MODIF.!AX17</f>
        <v>0</v>
      </c>
      <c r="M43">
        <f>STEMI_MODIF.!BB17</f>
        <v>0</v>
      </c>
      <c r="N43">
        <f>STEMI_MODIF.!BF17</f>
        <v>0</v>
      </c>
      <c r="O43">
        <f>STEMI_MODIF.!BJ17</f>
        <v>0</v>
      </c>
      <c r="P43" s="30"/>
    </row>
    <row r="44" spans="1:16" x14ac:dyDescent="0.25">
      <c r="A44" s="30" t="s">
        <v>586</v>
      </c>
      <c r="B44">
        <f>STEMI_MODIF.!J18</f>
        <v>8.7999999999999995E-2</v>
      </c>
      <c r="C44">
        <f>STEMI_MODIF.!N18</f>
        <v>6.9000000000000006E-2</v>
      </c>
      <c r="D44">
        <f>STEMI_MODIF.!R18</f>
        <v>7.2999999999999995E-2</v>
      </c>
      <c r="E44">
        <f>STEMI_MODIF.!V18</f>
        <v>6.9000000000000006E-2</v>
      </c>
      <c r="F44">
        <f>STEMI_MODIF.!Z18</f>
        <v>7.5999999999999998E-2</v>
      </c>
      <c r="G44">
        <f>STEMI_MODIF.!AD18</f>
        <v>6.6000000000000003E-2</v>
      </c>
      <c r="H44">
        <f>STEMI_MODIF.!AH18</f>
        <v>4.1000000000000002E-2</v>
      </c>
      <c r="I44">
        <f>STEMI_MODIF.!AL18</f>
        <v>0</v>
      </c>
      <c r="J44">
        <f>STEMI_MODIF.!AP18</f>
        <v>0</v>
      </c>
      <c r="K44">
        <f>STEMI_MODIF.!AT18</f>
        <v>0</v>
      </c>
      <c r="L44">
        <f>STEMI_MODIF.!AX18</f>
        <v>0</v>
      </c>
      <c r="M44">
        <f>STEMI_MODIF.!BB18</f>
        <v>0</v>
      </c>
      <c r="N44">
        <f>STEMI_MODIF.!BF18</f>
        <v>0</v>
      </c>
      <c r="O44">
        <f>STEMI_MODIF.!BJ18</f>
        <v>0</v>
      </c>
      <c r="P44" s="30"/>
    </row>
    <row r="45" spans="1:16" x14ac:dyDescent="0.25">
      <c r="A45" s="30" t="s">
        <v>587</v>
      </c>
      <c r="B45">
        <f>STEMI_MODIF.!J19</f>
        <v>15.13</v>
      </c>
      <c r="C45">
        <f>STEMI_MODIF.!N19</f>
        <v>24.39</v>
      </c>
      <c r="D45">
        <f>STEMI_MODIF.!R19</f>
        <v>21.44</v>
      </c>
      <c r="E45">
        <f>STEMI_MODIF.!V19</f>
        <v>10.59</v>
      </c>
      <c r="F45">
        <f>STEMI_MODIF.!Z19</f>
        <v>8.73</v>
      </c>
      <c r="G45">
        <f>STEMI_MODIF.!AD19</f>
        <v>7.28</v>
      </c>
      <c r="H45">
        <f>STEMI_MODIF.!AH19</f>
        <v>6.22</v>
      </c>
      <c r="I45">
        <f>STEMI_MODIF.!AL19</f>
        <v>5.88</v>
      </c>
      <c r="J45">
        <f>STEMI_MODIF.!AP19</f>
        <v>0</v>
      </c>
      <c r="K45">
        <f>STEMI_MODIF.!AT19</f>
        <v>0</v>
      </c>
      <c r="L45">
        <f>STEMI_MODIF.!AX19</f>
        <v>0</v>
      </c>
      <c r="M45">
        <f>STEMI_MODIF.!BB19</f>
        <v>0</v>
      </c>
      <c r="N45">
        <f>STEMI_MODIF.!BF19</f>
        <v>0</v>
      </c>
      <c r="O45">
        <f>STEMI_MODIF.!BJ19</f>
        <v>0</v>
      </c>
      <c r="P45" s="30"/>
    </row>
    <row r="46" spans="1:16" x14ac:dyDescent="0.25">
      <c r="A46" s="30" t="s">
        <v>588</v>
      </c>
      <c r="B46">
        <f>STEMI_MODIF.!J20</f>
        <v>1.54</v>
      </c>
      <c r="C46">
        <f>STEMI_MODIF.!N20</f>
        <v>2.4700000000000002</v>
      </c>
      <c r="D46">
        <f>STEMI_MODIF.!R20</f>
        <v>2.5099999999999998</v>
      </c>
      <c r="E46">
        <f>STEMI_MODIF.!V20</f>
        <v>1.37</v>
      </c>
      <c r="F46">
        <f>STEMI_MODIF.!Z20</f>
        <v>1.07</v>
      </c>
      <c r="G46">
        <f>STEMI_MODIF.!AD20</f>
        <v>1.08</v>
      </c>
      <c r="H46">
        <f>STEMI_MODIF.!AH20</f>
        <v>1.21</v>
      </c>
      <c r="I46">
        <f>STEMI_MODIF.!AL20</f>
        <v>1.02</v>
      </c>
      <c r="J46">
        <f>STEMI_MODIF.!AP20</f>
        <v>0</v>
      </c>
      <c r="K46">
        <f>STEMI_MODIF.!AT20</f>
        <v>0</v>
      </c>
      <c r="L46">
        <f>STEMI_MODIF.!AX20</f>
        <v>0</v>
      </c>
      <c r="M46">
        <f>STEMI_MODIF.!BB20</f>
        <v>0</v>
      </c>
      <c r="N46">
        <f>STEMI_MODIF.!BF20</f>
        <v>0</v>
      </c>
      <c r="O46">
        <f>STEMI_MODIF.!BJ20</f>
        <v>0</v>
      </c>
      <c r="P46" s="30"/>
    </row>
    <row r="47" spans="1:16" x14ac:dyDescent="0.25">
      <c r="A47" s="30" t="s">
        <v>589</v>
      </c>
      <c r="B47">
        <f>STEMI_MODIF.!J21</f>
        <v>2.56</v>
      </c>
      <c r="C47">
        <f>STEMI_MODIF.!N21</f>
        <v>2.5499999999999998</v>
      </c>
      <c r="D47">
        <f>STEMI_MODIF.!R21</f>
        <v>2.2000000000000002</v>
      </c>
      <c r="E47">
        <f>STEMI_MODIF.!V21</f>
        <v>1.74</v>
      </c>
      <c r="F47">
        <f>STEMI_MODIF.!Z21</f>
        <v>0.81200000000000006</v>
      </c>
      <c r="G47">
        <f>STEMI_MODIF.!AD21</f>
        <v>0</v>
      </c>
      <c r="H47">
        <f>STEMI_MODIF.!AH21</f>
        <v>0</v>
      </c>
      <c r="I47">
        <f>STEMI_MODIF.!AL21</f>
        <v>0</v>
      </c>
      <c r="J47">
        <f>STEMI_MODIF.!AP21</f>
        <v>0</v>
      </c>
      <c r="K47">
        <f>STEMI_MODIF.!AT21</f>
        <v>0</v>
      </c>
      <c r="L47">
        <f>STEMI_MODIF.!AX21</f>
        <v>0</v>
      </c>
      <c r="M47">
        <f>STEMI_MODIF.!BB21</f>
        <v>0</v>
      </c>
      <c r="N47">
        <f>STEMI_MODIF.!BF21</f>
        <v>0</v>
      </c>
      <c r="O47">
        <f>STEMI_MODIF.!BJ21</f>
        <v>0</v>
      </c>
      <c r="P47" s="30"/>
    </row>
    <row r="48" spans="1:16" x14ac:dyDescent="0.25">
      <c r="A48" s="30" t="s">
        <v>590</v>
      </c>
      <c r="B48">
        <f>STEMI_MODIF.!J22</f>
        <v>2.42</v>
      </c>
      <c r="C48">
        <f>STEMI_MODIF.!N22</f>
        <v>13</v>
      </c>
      <c r="D48">
        <f>STEMI_MODIF.!R22</f>
        <v>12.67</v>
      </c>
      <c r="E48">
        <f>STEMI_MODIF.!V22</f>
        <v>8.94</v>
      </c>
      <c r="F48">
        <f>STEMI_MODIF.!Z22</f>
        <v>8.2200000000000006</v>
      </c>
      <c r="G48">
        <f>STEMI_MODIF.!AD22</f>
        <v>6.66</v>
      </c>
      <c r="H48">
        <f>STEMI_MODIF.!AH22</f>
        <v>5.1100000000000003</v>
      </c>
      <c r="I48">
        <f>STEMI_MODIF.!AL22</f>
        <v>42645</v>
      </c>
      <c r="J48">
        <f>STEMI_MODIF.!AP22</f>
        <v>0.75800000000000001</v>
      </c>
      <c r="K48">
        <f>STEMI_MODIF.!AT22</f>
        <v>0</v>
      </c>
      <c r="L48">
        <f>STEMI_MODIF.!AX22</f>
        <v>0</v>
      </c>
      <c r="M48">
        <f>STEMI_MODIF.!BB22</f>
        <v>0</v>
      </c>
      <c r="N48">
        <f>STEMI_MODIF.!BF22</f>
        <v>0</v>
      </c>
      <c r="O48">
        <f>STEMI_MODIF.!BJ22</f>
        <v>0</v>
      </c>
      <c r="P48" s="30"/>
    </row>
    <row r="49" spans="1:16" x14ac:dyDescent="0.25">
      <c r="A49" s="30" t="s">
        <v>591</v>
      </c>
      <c r="B49">
        <f>STEMI_MODIF.!J23</f>
        <v>1.34</v>
      </c>
      <c r="C49">
        <f>STEMI_MODIF.!N23</f>
        <v>3.11</v>
      </c>
      <c r="D49">
        <f>STEMI_MODIF.!R23</f>
        <v>2.67</v>
      </c>
      <c r="E49">
        <f>STEMI_MODIF.!V23</f>
        <v>2.78</v>
      </c>
      <c r="F49">
        <f>STEMI_MODIF.!Z23</f>
        <v>2.9</v>
      </c>
      <c r="G49">
        <f>STEMI_MODIF.!AD23</f>
        <v>2.13</v>
      </c>
      <c r="H49">
        <f>STEMI_MODIF.!AH23</f>
        <v>0.96899999999999997</v>
      </c>
      <c r="I49">
        <f>STEMI_MODIF.!AL23</f>
        <v>0.65800000000000003</v>
      </c>
      <c r="J49">
        <f>STEMI_MODIF.!AP23</f>
        <v>0.48299999999999998</v>
      </c>
      <c r="K49">
        <f>STEMI_MODIF.!AT23</f>
        <v>0.26800000000000002</v>
      </c>
      <c r="L49">
        <f>STEMI_MODIF.!AX23</f>
        <v>0.189</v>
      </c>
      <c r="M49">
        <f>STEMI_MODIF.!BB23</f>
        <v>0.11799999999999999</v>
      </c>
      <c r="N49">
        <f>STEMI_MODIF.!BF23</f>
        <v>0</v>
      </c>
      <c r="O49">
        <f>STEMI_MODIF.!BJ23</f>
        <v>0</v>
      </c>
      <c r="P49" s="30"/>
    </row>
    <row r="50" spans="1:16" x14ac:dyDescent="0.25">
      <c r="A50" s="30" t="s">
        <v>592</v>
      </c>
      <c r="B50">
        <f>STEMI_MODIF.!J24</f>
        <v>5.27</v>
      </c>
      <c r="C50">
        <f>STEMI_MODIF.!N24</f>
        <v>4.4000000000000004</v>
      </c>
      <c r="D50">
        <f>STEMI_MODIF.!R24</f>
        <v>2.42</v>
      </c>
      <c r="E50">
        <f>STEMI_MODIF.!V24</f>
        <v>1.08</v>
      </c>
      <c r="F50">
        <f>STEMI_MODIF.!Z24</f>
        <v>0.752</v>
      </c>
      <c r="G50">
        <f>STEMI_MODIF.!AD24</f>
        <v>0.66800000000000004</v>
      </c>
      <c r="H50">
        <f>STEMI_MODIF.!AH24</f>
        <v>0</v>
      </c>
      <c r="I50">
        <f>STEMI_MODIF.!AL24</f>
        <v>0</v>
      </c>
      <c r="J50">
        <f>STEMI_MODIF.!AP24</f>
        <v>0</v>
      </c>
      <c r="K50">
        <f>STEMI_MODIF.!AT24</f>
        <v>0</v>
      </c>
      <c r="L50">
        <f>STEMI_MODIF.!AX24</f>
        <v>0</v>
      </c>
      <c r="M50">
        <f>STEMI_MODIF.!BB24</f>
        <v>0</v>
      </c>
      <c r="N50">
        <f>STEMI_MODIF.!BF24</f>
        <v>0</v>
      </c>
      <c r="O50">
        <f>STEMI_MODIF.!BJ24</f>
        <v>0</v>
      </c>
      <c r="P50" s="30"/>
    </row>
    <row r="51" spans="1:16" x14ac:dyDescent="0.25">
      <c r="A51" s="30" t="s">
        <v>593</v>
      </c>
      <c r="B51">
        <f>STEMI_MODIF.!J25</f>
        <v>20.85</v>
      </c>
      <c r="C51">
        <f>STEMI_MODIF.!N25</f>
        <v>17.72</v>
      </c>
      <c r="D51">
        <f>STEMI_MODIF.!R25</f>
        <v>9.85</v>
      </c>
      <c r="E51">
        <f>STEMI_MODIF.!V25</f>
        <v>7.47</v>
      </c>
      <c r="F51">
        <f>STEMI_MODIF.!Z25</f>
        <v>6.16</v>
      </c>
      <c r="G51">
        <f>STEMI_MODIF.!AD25</f>
        <v>5.75</v>
      </c>
      <c r="H51">
        <f>STEMI_MODIF.!AH25</f>
        <v>4.5199999999999996</v>
      </c>
      <c r="I51">
        <f>STEMI_MODIF.!AL25</f>
        <v>2.95</v>
      </c>
      <c r="J51">
        <f>STEMI_MODIF.!AP25</f>
        <v>1.33</v>
      </c>
      <c r="K51">
        <f>STEMI_MODIF.!AT25</f>
        <v>0</v>
      </c>
      <c r="L51">
        <f>STEMI_MODIF.!AX25</f>
        <v>0</v>
      </c>
      <c r="M51">
        <f>STEMI_MODIF.!BB25</f>
        <v>0</v>
      </c>
      <c r="N51">
        <f>STEMI_MODIF.!BF25</f>
        <v>0</v>
      </c>
      <c r="O51">
        <f>STEMI_MODIF.!BJ25</f>
        <v>0</v>
      </c>
      <c r="P51" s="30"/>
    </row>
    <row r="52" spans="1:16" x14ac:dyDescent="0.25">
      <c r="A52" s="30" t="s">
        <v>594</v>
      </c>
      <c r="B52">
        <f>STEMI_MODIF.!J26</f>
        <v>2.82</v>
      </c>
      <c r="C52">
        <f>STEMI_MODIF.!N26</f>
        <v>12.21</v>
      </c>
      <c r="D52">
        <f>STEMI_MODIF.!R26</f>
        <v>7.8</v>
      </c>
      <c r="E52">
        <f>STEMI_MODIF.!V26</f>
        <v>3.48</v>
      </c>
      <c r="F52">
        <f>STEMI_MODIF.!Z26</f>
        <v>3.66</v>
      </c>
      <c r="G52">
        <f>STEMI_MODIF.!AD26</f>
        <v>3.66</v>
      </c>
      <c r="H52">
        <f>STEMI_MODIF.!AH26</f>
        <v>2.2200000000000002</v>
      </c>
      <c r="I52">
        <f>STEMI_MODIF.!AL26</f>
        <v>0</v>
      </c>
      <c r="J52">
        <f>STEMI_MODIF.!AP26</f>
        <v>0</v>
      </c>
      <c r="K52">
        <f>STEMI_MODIF.!AT26</f>
        <v>0</v>
      </c>
      <c r="L52">
        <f>STEMI_MODIF.!AX26</f>
        <v>0</v>
      </c>
      <c r="M52">
        <f>STEMI_MODIF.!BB26</f>
        <v>0</v>
      </c>
      <c r="N52">
        <f>STEMI_MODIF.!BF26</f>
        <v>0</v>
      </c>
      <c r="O52">
        <f>STEMI_MODIF.!BJ26</f>
        <v>0</v>
      </c>
      <c r="P52" s="30"/>
    </row>
    <row r="53" spans="1:16" x14ac:dyDescent="0.25">
      <c r="A53" s="30" t="s">
        <v>595</v>
      </c>
      <c r="B53">
        <f>STEMI_MODIF.!J27</f>
        <v>4</v>
      </c>
      <c r="C53">
        <f>STEMI_MODIF.!N27</f>
        <v>13.96</v>
      </c>
      <c r="D53">
        <f>STEMI_MODIF.!R27</f>
        <v>12.05</v>
      </c>
      <c r="E53">
        <f>STEMI_MODIF.!V27</f>
        <v>12.33</v>
      </c>
      <c r="F53">
        <f>STEMI_MODIF.!Z27</f>
        <v>11.89</v>
      </c>
      <c r="G53">
        <f>STEMI_MODIF.!AD27</f>
        <v>9.59</v>
      </c>
      <c r="H53">
        <f>STEMI_MODIF.!AH27</f>
        <v>8.9</v>
      </c>
      <c r="I53">
        <f>STEMI_MODIF.!AL27</f>
        <v>7.06</v>
      </c>
      <c r="J53">
        <f>STEMI_MODIF.!AP27</f>
        <v>0</v>
      </c>
      <c r="K53">
        <f>STEMI_MODIF.!AT27</f>
        <v>0</v>
      </c>
      <c r="L53">
        <f>STEMI_MODIF.!AX27</f>
        <v>0</v>
      </c>
      <c r="M53">
        <f>STEMI_MODIF.!BB27</f>
        <v>0</v>
      </c>
      <c r="N53">
        <f>STEMI_MODIF.!BF27</f>
        <v>0</v>
      </c>
      <c r="O53">
        <f>STEMI_MODIF.!BJ27</f>
        <v>0</v>
      </c>
      <c r="P53" s="30"/>
    </row>
    <row r="54" spans="1:16" x14ac:dyDescent="0.25">
      <c r="A54" s="30" t="s">
        <v>596</v>
      </c>
      <c r="B54">
        <f>STEMI_MODIF.!J28</f>
        <v>1.02</v>
      </c>
      <c r="C54">
        <f>STEMI_MODIF.!N28</f>
        <v>9.64</v>
      </c>
      <c r="D54">
        <f>STEMI_MODIF.!R28</f>
        <v>5.76</v>
      </c>
      <c r="E54">
        <f>STEMI_MODIF.!V28</f>
        <v>3.16</v>
      </c>
      <c r="F54">
        <f>STEMI_MODIF.!Z28</f>
        <v>2.68</v>
      </c>
      <c r="G54">
        <f>STEMI_MODIF.!AD28</f>
        <v>2.93</v>
      </c>
      <c r="H54">
        <f>STEMI_MODIF.!AH28</f>
        <v>2.9</v>
      </c>
      <c r="I54">
        <f>STEMI_MODIF.!AL28</f>
        <v>2.11</v>
      </c>
      <c r="J54">
        <f>STEMI_MODIF.!AP28</f>
        <v>1.34</v>
      </c>
      <c r="K54">
        <f>STEMI_MODIF.!AT28</f>
        <v>0.74399999999999999</v>
      </c>
      <c r="L54">
        <f>STEMI_MODIF.!AX28</f>
        <v>0</v>
      </c>
      <c r="M54">
        <f>STEMI_MODIF.!BB28</f>
        <v>0</v>
      </c>
      <c r="N54">
        <f>STEMI_MODIF.!BF28</f>
        <v>0</v>
      </c>
      <c r="O54">
        <f>STEMI_MODIF.!BJ28</f>
        <v>0</v>
      </c>
      <c r="P54" s="30"/>
    </row>
    <row r="55" spans="1:16" x14ac:dyDescent="0.25">
      <c r="A55" s="30" t="s">
        <v>597</v>
      </c>
      <c r="B55">
        <f>STEMI_MODIF.!J29</f>
        <v>0.89900000000000002</v>
      </c>
      <c r="C55">
        <f>STEMI_MODIF.!N29</f>
        <v>2.83</v>
      </c>
      <c r="D55">
        <f>STEMI_MODIF.!R29</f>
        <v>3.11</v>
      </c>
      <c r="E55">
        <f>STEMI_MODIF.!V29</f>
        <v>1.83</v>
      </c>
      <c r="F55">
        <f>STEMI_MODIF.!Z29</f>
        <v>1.91</v>
      </c>
      <c r="G55">
        <f>STEMI_MODIF.!AD29</f>
        <v>1.64</v>
      </c>
      <c r="H55">
        <f>STEMI_MODIF.!AH29</f>
        <v>1.44</v>
      </c>
      <c r="I55">
        <f>STEMI_MODIF.!AL29</f>
        <v>1.1399999999999999</v>
      </c>
      <c r="J55">
        <f>STEMI_MODIF.!AP29</f>
        <v>0.78200000000000003</v>
      </c>
      <c r="K55">
        <f>STEMI_MODIF.!AT29</f>
        <v>0</v>
      </c>
      <c r="L55">
        <f>STEMI_MODIF.!AX29</f>
        <v>0</v>
      </c>
      <c r="M55">
        <f>STEMI_MODIF.!BB29</f>
        <v>0</v>
      </c>
      <c r="N55">
        <f>STEMI_MODIF.!BF29</f>
        <v>0</v>
      </c>
      <c r="O55">
        <f>STEMI_MODIF.!BJ29</f>
        <v>0</v>
      </c>
      <c r="P55" s="30"/>
    </row>
    <row r="56" spans="1:16" x14ac:dyDescent="0.25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</row>
  </sheetData>
  <mergeCells count="2">
    <mergeCell ref="A1:P1"/>
    <mergeCell ref="A29:P29"/>
  </mergeCells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B42"/>
  <sheetViews>
    <sheetView tabSelected="1" topLeftCell="A10" zoomScaleNormal="100" zoomScalePageLayoutView="140" workbookViewId="0">
      <selection activeCell="G31" sqref="G31"/>
    </sheetView>
  </sheetViews>
  <sheetFormatPr defaultColWidth="8.85546875" defaultRowHeight="15" x14ac:dyDescent="0.25"/>
  <cols>
    <col min="2" max="2" width="21.85546875" customWidth="1"/>
    <col min="3" max="3" width="13.140625" customWidth="1"/>
    <col min="4" max="4" width="18.7109375" customWidth="1"/>
    <col min="5" max="5" width="8.28515625" bestFit="1" customWidth="1"/>
    <col min="6" max="6" width="23.42578125" customWidth="1"/>
    <col min="7" max="7" width="15.85546875" customWidth="1"/>
    <col min="8" max="8" width="12.140625" customWidth="1"/>
    <col min="11" max="11" width="13.85546875" customWidth="1"/>
    <col min="12" max="12" width="15.85546875" bestFit="1" customWidth="1"/>
    <col min="13" max="13" width="11.140625" bestFit="1" customWidth="1"/>
    <col min="14" max="14" width="7.42578125" bestFit="1" customWidth="1"/>
    <col min="15" max="16" width="23.42578125" customWidth="1"/>
    <col min="17" max="17" width="23.42578125" bestFit="1" customWidth="1"/>
    <col min="19" max="19" width="14" customWidth="1"/>
    <col min="20" max="20" width="19.140625" customWidth="1"/>
    <col min="21" max="21" width="11.140625" bestFit="1" customWidth="1"/>
    <col min="22" max="22" width="7.42578125" bestFit="1" customWidth="1"/>
    <col min="23" max="24" width="22.42578125" customWidth="1"/>
    <col min="25" max="25" width="22.42578125" bestFit="1" customWidth="1"/>
    <col min="27" max="27" width="17.42578125" bestFit="1" customWidth="1"/>
    <col min="28" max="28" width="15.85546875" bestFit="1" customWidth="1"/>
    <col min="29" max="29" width="22.42578125" bestFit="1" customWidth="1"/>
    <col min="30" max="30" width="7.42578125" bestFit="1" customWidth="1"/>
    <col min="31" max="32" width="22.42578125" customWidth="1"/>
    <col min="33" max="33" width="22.42578125" bestFit="1" customWidth="1"/>
    <col min="35" max="36" width="22.42578125" customWidth="1"/>
    <col min="37" max="37" width="22.42578125" bestFit="1" customWidth="1"/>
    <col min="38" max="38" width="7.42578125" bestFit="1" customWidth="1"/>
    <col min="39" max="40" width="22.42578125" customWidth="1"/>
    <col min="41" max="41" width="22.42578125" bestFit="1" customWidth="1"/>
    <col min="42" max="42" width="7.42578125" bestFit="1" customWidth="1"/>
    <col min="43" max="44" width="23" customWidth="1"/>
    <col min="45" max="45" width="23" bestFit="1" customWidth="1"/>
    <col min="47" max="48" width="22.42578125" customWidth="1"/>
    <col min="49" max="49" width="22.42578125" bestFit="1" customWidth="1"/>
    <col min="51" max="52" width="22.42578125" customWidth="1"/>
    <col min="53" max="53" width="22.42578125" bestFit="1" customWidth="1"/>
  </cols>
  <sheetData>
    <row r="1" spans="1:54" x14ac:dyDescent="0.25">
      <c r="B1" s="27" t="s">
        <v>568</v>
      </c>
    </row>
    <row r="3" spans="1:54" x14ac:dyDescent="0.25">
      <c r="B3" s="9" t="s">
        <v>0</v>
      </c>
      <c r="C3" s="9" t="s">
        <v>1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</row>
    <row r="4" spans="1:54" x14ac:dyDescent="0.25">
      <c r="B4" s="9" t="s">
        <v>4</v>
      </c>
      <c r="C4" s="9" t="s">
        <v>5</v>
      </c>
      <c r="D4" s="9" t="s">
        <v>31</v>
      </c>
      <c r="E4" s="9" t="s">
        <v>7</v>
      </c>
      <c r="F4" s="9" t="s">
        <v>32</v>
      </c>
      <c r="G4" s="24" t="s">
        <v>548</v>
      </c>
      <c r="H4" s="9" t="s">
        <v>547</v>
      </c>
      <c r="I4" s="9" t="s">
        <v>9</v>
      </c>
      <c r="J4" s="9" t="s">
        <v>10</v>
      </c>
      <c r="K4" s="24" t="s">
        <v>549</v>
      </c>
      <c r="L4" s="9" t="s">
        <v>547</v>
      </c>
      <c r="M4" s="9" t="s">
        <v>11</v>
      </c>
      <c r="N4" s="9" t="s">
        <v>12</v>
      </c>
      <c r="O4" s="24" t="s">
        <v>550</v>
      </c>
      <c r="P4" s="9" t="s">
        <v>547</v>
      </c>
      <c r="Q4" s="9" t="s">
        <v>13</v>
      </c>
      <c r="R4" s="9" t="s">
        <v>14</v>
      </c>
      <c r="S4" s="24" t="s">
        <v>551</v>
      </c>
      <c r="T4" s="9" t="s">
        <v>547</v>
      </c>
      <c r="U4" s="9" t="s">
        <v>15</v>
      </c>
      <c r="V4" s="9" t="s">
        <v>16</v>
      </c>
      <c r="W4" s="24" t="s">
        <v>552</v>
      </c>
      <c r="X4" s="9" t="s">
        <v>547</v>
      </c>
      <c r="Y4" s="9" t="s">
        <v>17</v>
      </c>
      <c r="Z4" s="9" t="s">
        <v>18</v>
      </c>
      <c r="AA4" s="24" t="s">
        <v>553</v>
      </c>
      <c r="AB4" s="9" t="s">
        <v>547</v>
      </c>
      <c r="AC4" s="9" t="s">
        <v>19</v>
      </c>
      <c r="AD4" s="9" t="s">
        <v>20</v>
      </c>
      <c r="AE4" s="24" t="s">
        <v>554</v>
      </c>
      <c r="AF4" s="9" t="s">
        <v>547</v>
      </c>
      <c r="AG4" s="9" t="s">
        <v>21</v>
      </c>
      <c r="AH4" s="9" t="s">
        <v>22</v>
      </c>
      <c r="AI4" s="24" t="s">
        <v>555</v>
      </c>
      <c r="AJ4" s="9" t="s">
        <v>547</v>
      </c>
      <c r="AK4" s="9" t="s">
        <v>23</v>
      </c>
      <c r="AL4" s="9" t="s">
        <v>24</v>
      </c>
      <c r="AM4" s="24" t="s">
        <v>556</v>
      </c>
      <c r="AN4" s="9" t="s">
        <v>547</v>
      </c>
      <c r="AO4" s="9" t="s">
        <v>25</v>
      </c>
      <c r="AP4" s="9" t="s">
        <v>26</v>
      </c>
      <c r="AQ4" s="24" t="s">
        <v>557</v>
      </c>
      <c r="AR4" s="9" t="s">
        <v>547</v>
      </c>
      <c r="AS4" s="9" t="s">
        <v>27</v>
      </c>
      <c r="AT4" s="9" t="s">
        <v>28</v>
      </c>
      <c r="AU4" s="24" t="s">
        <v>569</v>
      </c>
      <c r="AV4" s="9" t="s">
        <v>547</v>
      </c>
      <c r="AW4" s="9" t="s">
        <v>29</v>
      </c>
      <c r="AX4" s="9" t="s">
        <v>30</v>
      </c>
      <c r="AY4" s="24" t="s">
        <v>560</v>
      </c>
      <c r="AZ4" s="9" t="s">
        <v>547</v>
      </c>
      <c r="BA4" s="9" t="s">
        <v>559</v>
      </c>
      <c r="BB4" s="9" t="s">
        <v>561</v>
      </c>
    </row>
    <row r="5" spans="1:54" x14ac:dyDescent="0.25">
      <c r="A5">
        <v>1</v>
      </c>
      <c r="B5" t="s">
        <v>33</v>
      </c>
      <c r="C5" s="17">
        <v>41338.541666666664</v>
      </c>
      <c r="D5">
        <v>2</v>
      </c>
      <c r="F5">
        <v>2</v>
      </c>
      <c r="G5" s="17">
        <v>41338.722222222219</v>
      </c>
      <c r="H5" s="18">
        <f t="shared" ref="H5:H10" si="0">G5-C5</f>
        <v>0.18055555555474712</v>
      </c>
      <c r="I5">
        <v>0.51400000000000001</v>
      </c>
      <c r="J5">
        <v>3.67</v>
      </c>
      <c r="K5" s="17">
        <v>41338.955555555556</v>
      </c>
      <c r="L5" s="18">
        <f t="shared" ref="L5:L29" si="1">K5-C5</f>
        <v>0.41388888889196096</v>
      </c>
      <c r="M5">
        <v>0.61799999999999999</v>
      </c>
      <c r="N5">
        <v>2.93</v>
      </c>
      <c r="O5" s="17">
        <v>41339.36041666667</v>
      </c>
      <c r="P5" s="18">
        <f t="shared" ref="P5:P29" si="2">O5-C5</f>
        <v>0.81875000000582077</v>
      </c>
      <c r="Q5">
        <v>0.54200000000000004</v>
      </c>
      <c r="R5">
        <v>2.73</v>
      </c>
      <c r="S5" s="17">
        <v>41339.761805555558</v>
      </c>
      <c r="T5" s="18">
        <f t="shared" ref="T5:T29" si="3">S5-C5</f>
        <v>1.2201388888934162</v>
      </c>
      <c r="U5">
        <v>0.57899999999999996</v>
      </c>
      <c r="V5">
        <v>3.25</v>
      </c>
      <c r="W5" s="17">
        <v>41340.35833333333</v>
      </c>
      <c r="X5" s="18">
        <f>W5-C5</f>
        <v>1.8166666666656965</v>
      </c>
      <c r="Y5">
        <v>0.42199999999999999</v>
      </c>
      <c r="Z5">
        <v>2.4500000000000002</v>
      </c>
      <c r="AA5" s="17">
        <v>41341.37222222222</v>
      </c>
      <c r="AB5" s="18">
        <f>AA5-C5</f>
        <v>2.8305555555562023</v>
      </c>
      <c r="AC5">
        <v>0.36599999999999999</v>
      </c>
      <c r="AD5">
        <v>1.28</v>
      </c>
    </row>
    <row r="6" spans="1:54" x14ac:dyDescent="0.25">
      <c r="A6">
        <v>2</v>
      </c>
      <c r="B6" t="s">
        <v>41</v>
      </c>
      <c r="C6" s="17">
        <v>41337.583333333336</v>
      </c>
      <c r="D6">
        <v>2</v>
      </c>
      <c r="F6">
        <v>2</v>
      </c>
      <c r="G6" s="17">
        <v>41339.56527777778</v>
      </c>
      <c r="H6" s="18">
        <f t="shared" si="0"/>
        <v>1.9819444444437977</v>
      </c>
      <c r="I6">
        <v>5.8999999999999997E-2</v>
      </c>
      <c r="J6">
        <v>1.77</v>
      </c>
      <c r="K6" s="17">
        <v>41339.961805555555</v>
      </c>
      <c r="L6" s="18">
        <f t="shared" si="1"/>
        <v>2.3784722222189885</v>
      </c>
      <c r="M6">
        <v>7.8200000000000006E-2</v>
      </c>
      <c r="N6">
        <v>2.11</v>
      </c>
      <c r="O6" s="17">
        <v>41340.370138888888</v>
      </c>
      <c r="P6" s="18">
        <f t="shared" si="2"/>
        <v>2.7868055555518367</v>
      </c>
      <c r="Q6">
        <v>7.8E-2</v>
      </c>
      <c r="R6">
        <v>3.03</v>
      </c>
      <c r="S6" s="17">
        <v>41341.424305555556</v>
      </c>
      <c r="T6" s="18">
        <f t="shared" si="3"/>
        <v>3.8409722222204437</v>
      </c>
      <c r="U6">
        <v>7.1999999999999995E-2</v>
      </c>
      <c r="W6" s="17"/>
      <c r="X6" s="18"/>
      <c r="AA6" s="17"/>
      <c r="AB6" s="18"/>
    </row>
    <row r="7" spans="1:54" x14ac:dyDescent="0.25">
      <c r="A7">
        <v>3</v>
      </c>
      <c r="B7" t="s">
        <v>47</v>
      </c>
      <c r="C7" s="17">
        <v>41337.5</v>
      </c>
      <c r="D7">
        <v>1</v>
      </c>
      <c r="F7">
        <v>2</v>
      </c>
      <c r="G7" s="17">
        <v>41341.513194444444</v>
      </c>
      <c r="H7" s="18">
        <f t="shared" si="0"/>
        <v>4.0131944444437977</v>
      </c>
      <c r="I7">
        <v>0.19400000000000001</v>
      </c>
      <c r="J7">
        <v>27.19</v>
      </c>
      <c r="K7" s="17">
        <v>41341.950694444444</v>
      </c>
      <c r="L7" s="18">
        <f t="shared" si="1"/>
        <v>4.4506944444437977</v>
      </c>
      <c r="M7">
        <v>0.78900000000000003</v>
      </c>
      <c r="N7">
        <v>26.16</v>
      </c>
      <c r="O7" s="17">
        <v>41342.44027777778</v>
      </c>
      <c r="P7" s="18">
        <f t="shared" si="2"/>
        <v>4.9402777777795563</v>
      </c>
      <c r="Q7">
        <v>0.53100000000000003</v>
      </c>
      <c r="R7">
        <v>12.16</v>
      </c>
      <c r="S7" s="17">
        <v>41343.431944444441</v>
      </c>
      <c r="T7" s="18">
        <f t="shared" si="3"/>
        <v>5.9319444444408873</v>
      </c>
      <c r="U7">
        <v>0.81799999999999995</v>
      </c>
      <c r="V7">
        <v>2.67</v>
      </c>
      <c r="W7" s="17">
        <v>41344.40902777778</v>
      </c>
      <c r="X7" s="18">
        <f t="shared" ref="X7:X29" si="4">W7-C7</f>
        <v>6.9090277777795563</v>
      </c>
      <c r="Y7">
        <v>0.76100000000000001</v>
      </c>
      <c r="Z7">
        <v>1.64</v>
      </c>
      <c r="AA7" s="17"/>
      <c r="AB7" s="18"/>
    </row>
    <row r="8" spans="1:54" x14ac:dyDescent="0.25">
      <c r="A8">
        <v>4</v>
      </c>
      <c r="B8" t="s">
        <v>100</v>
      </c>
      <c r="C8" s="17">
        <v>41367.5</v>
      </c>
      <c r="D8">
        <v>1</v>
      </c>
      <c r="F8">
        <v>2</v>
      </c>
      <c r="G8" s="17">
        <v>41367.683333333334</v>
      </c>
      <c r="H8" s="18">
        <f t="shared" si="0"/>
        <v>0.18333333333430346</v>
      </c>
      <c r="I8">
        <v>0.20499999999999999</v>
      </c>
      <c r="J8">
        <v>2.5499999999999998</v>
      </c>
      <c r="K8" s="17">
        <v>41368.40625</v>
      </c>
      <c r="L8" s="18">
        <f t="shared" si="1"/>
        <v>0.90625</v>
      </c>
      <c r="M8">
        <v>0.127</v>
      </c>
      <c r="N8">
        <v>3.65</v>
      </c>
      <c r="O8" s="17">
        <v>41368.957638888889</v>
      </c>
      <c r="P8" s="18">
        <f t="shared" si="2"/>
        <v>1.4576388888890506</v>
      </c>
      <c r="Q8">
        <v>0.19600000000000001</v>
      </c>
      <c r="R8">
        <v>6.01</v>
      </c>
      <c r="S8" s="17">
        <v>41369.384722222225</v>
      </c>
      <c r="T8" s="18">
        <f t="shared" si="3"/>
        <v>1.8847222222248092</v>
      </c>
      <c r="U8">
        <v>0.27800000000000002</v>
      </c>
      <c r="V8">
        <v>11.53</v>
      </c>
      <c r="W8" s="17">
        <v>41370.398611111108</v>
      </c>
      <c r="X8" s="18">
        <f t="shared" si="4"/>
        <v>2.898611111108039</v>
      </c>
      <c r="Y8">
        <v>0.184</v>
      </c>
      <c r="Z8">
        <v>3.95</v>
      </c>
      <c r="AA8" s="17">
        <v>41371.447916666664</v>
      </c>
      <c r="AB8" s="18">
        <f>AA8-C8</f>
        <v>3.9479166666642413</v>
      </c>
      <c r="AC8">
        <v>0.182</v>
      </c>
      <c r="AF8" s="18"/>
    </row>
    <row r="9" spans="1:54" x14ac:dyDescent="0.25">
      <c r="A9">
        <v>5</v>
      </c>
      <c r="B9" t="s">
        <v>60</v>
      </c>
      <c r="C9" s="17">
        <v>41381.5</v>
      </c>
      <c r="D9">
        <v>1</v>
      </c>
      <c r="F9">
        <v>2</v>
      </c>
      <c r="G9" s="17">
        <v>41381.957638888889</v>
      </c>
      <c r="H9" s="18">
        <f t="shared" si="0"/>
        <v>0.45763888888905058</v>
      </c>
      <c r="I9">
        <v>0.33500000000000002</v>
      </c>
      <c r="J9">
        <v>14.1</v>
      </c>
      <c r="K9" s="17">
        <v>41382.446527777778</v>
      </c>
      <c r="L9" s="18">
        <f t="shared" si="1"/>
        <v>0.94652777777810115</v>
      </c>
      <c r="M9">
        <v>0.29599999999999999</v>
      </c>
      <c r="N9">
        <v>11</v>
      </c>
      <c r="O9" s="17">
        <v>41382.989583333336</v>
      </c>
      <c r="P9" s="18">
        <f t="shared" si="2"/>
        <v>1.4895833333357587</v>
      </c>
      <c r="Q9">
        <v>0.23599999999999999</v>
      </c>
      <c r="R9">
        <v>12.48</v>
      </c>
      <c r="S9" s="17">
        <v>41383.379861111112</v>
      </c>
      <c r="T9" s="18">
        <f t="shared" si="3"/>
        <v>1.8798611111124046</v>
      </c>
      <c r="U9">
        <v>0.23699999999999999</v>
      </c>
      <c r="V9">
        <v>17.05</v>
      </c>
      <c r="W9" s="17">
        <v>41384.423611111109</v>
      </c>
      <c r="X9" s="18">
        <f t="shared" si="4"/>
        <v>2.9236111111094942</v>
      </c>
      <c r="Y9">
        <v>0.41099999999999998</v>
      </c>
      <c r="AA9" s="17">
        <v>41384.656944444447</v>
      </c>
      <c r="AB9" s="18">
        <f>AA9-C9</f>
        <v>3.1569444444467081</v>
      </c>
      <c r="AC9">
        <v>0.255</v>
      </c>
      <c r="AE9" s="17">
        <v>41385.420138888891</v>
      </c>
      <c r="AF9" s="18">
        <f>AE9-C9</f>
        <v>3.9201388888905058</v>
      </c>
      <c r="AG9">
        <v>0.29799999999999999</v>
      </c>
      <c r="AI9" s="17">
        <v>41385.6875</v>
      </c>
      <c r="AJ9" s="18">
        <f>AI9-C9</f>
        <v>4.1875</v>
      </c>
      <c r="AK9">
        <v>0.35099999999999998</v>
      </c>
      <c r="AM9" s="17">
        <v>41386.455555555556</v>
      </c>
      <c r="AN9" s="18">
        <f>AM9-C9</f>
        <v>4.9555555555562023</v>
      </c>
      <c r="AO9">
        <v>0.34100000000000003</v>
      </c>
    </row>
    <row r="10" spans="1:54" x14ac:dyDescent="0.25">
      <c r="A10">
        <v>6</v>
      </c>
      <c r="B10" t="s">
        <v>71</v>
      </c>
      <c r="C10" s="17">
        <v>41389.5</v>
      </c>
      <c r="D10">
        <v>2</v>
      </c>
      <c r="F10">
        <v>2</v>
      </c>
      <c r="G10" s="17">
        <v>41389.762499999997</v>
      </c>
      <c r="H10" s="18">
        <f t="shared" si="0"/>
        <v>0.26249999999708962</v>
      </c>
      <c r="I10">
        <v>0.16</v>
      </c>
      <c r="J10">
        <v>16.920000000000002</v>
      </c>
      <c r="K10" s="17">
        <v>41390.432638888888</v>
      </c>
      <c r="L10" s="18">
        <f t="shared" si="1"/>
        <v>0.93263888888759539</v>
      </c>
      <c r="M10">
        <v>0.32</v>
      </c>
      <c r="N10">
        <v>13.86</v>
      </c>
      <c r="O10" s="17">
        <v>41390.710416666669</v>
      </c>
      <c r="P10" s="18">
        <f t="shared" si="2"/>
        <v>1.2104166666686069</v>
      </c>
      <c r="Q10">
        <v>0.249</v>
      </c>
      <c r="R10">
        <v>9.76</v>
      </c>
      <c r="S10" s="17">
        <v>41391.371527777781</v>
      </c>
      <c r="T10" s="18">
        <f t="shared" si="3"/>
        <v>1.8715277777810115</v>
      </c>
      <c r="U10">
        <v>0.27100000000000002</v>
      </c>
      <c r="V10">
        <v>12.12</v>
      </c>
      <c r="W10" s="17">
        <v>41392.405555555553</v>
      </c>
      <c r="X10" s="18">
        <f t="shared" si="4"/>
        <v>2.9055555555532919</v>
      </c>
      <c r="Y10">
        <v>0.28999999999999998</v>
      </c>
      <c r="Z10">
        <v>4.3</v>
      </c>
      <c r="AA10" s="17">
        <v>41393.354166666664</v>
      </c>
      <c r="AB10" s="18">
        <f>AA10-C10</f>
        <v>3.8541666666642413</v>
      </c>
      <c r="AC10">
        <v>0.29599999999999999</v>
      </c>
      <c r="AD10">
        <v>2.5499999999999998</v>
      </c>
      <c r="AE10" s="17">
        <v>41394.357638888891</v>
      </c>
      <c r="AF10" s="18">
        <f>AE10-C10</f>
        <v>4.8576388888905058</v>
      </c>
      <c r="AG10">
        <v>0.23499999999999999</v>
      </c>
      <c r="AH10">
        <v>2.12</v>
      </c>
      <c r="AI10" s="17">
        <v>41395.431250000001</v>
      </c>
      <c r="AJ10" s="18">
        <f>AI10-C10</f>
        <v>5.9312500000014552</v>
      </c>
      <c r="AK10">
        <v>0.16900000000000001</v>
      </c>
      <c r="AL10">
        <v>1.63</v>
      </c>
      <c r="AM10" s="17"/>
      <c r="AN10" s="18"/>
    </row>
    <row r="11" spans="1:54" x14ac:dyDescent="0.25">
      <c r="A11">
        <v>7</v>
      </c>
      <c r="B11" t="s">
        <v>80</v>
      </c>
      <c r="C11" s="17">
        <v>41383.5</v>
      </c>
      <c r="D11">
        <v>1</v>
      </c>
      <c r="F11">
        <v>2</v>
      </c>
      <c r="G11" s="17">
        <v>41383.493055555555</v>
      </c>
      <c r="H11" s="26">
        <f>C11-G11</f>
        <v>6.9444444452528842E-3</v>
      </c>
      <c r="I11">
        <v>0.11799999999999999</v>
      </c>
      <c r="J11">
        <v>1.4</v>
      </c>
      <c r="K11" s="17">
        <v>41384.025000000001</v>
      </c>
      <c r="L11" s="26">
        <f t="shared" si="1"/>
        <v>0.52500000000145519</v>
      </c>
      <c r="M11">
        <v>0.14699999999999999</v>
      </c>
      <c r="N11">
        <v>1.87</v>
      </c>
      <c r="O11" s="17">
        <v>41384.410416666666</v>
      </c>
      <c r="P11" s="26">
        <f t="shared" si="2"/>
        <v>0.91041666666569654</v>
      </c>
      <c r="Q11">
        <v>0.158</v>
      </c>
      <c r="R11">
        <v>5.2</v>
      </c>
      <c r="S11" s="17">
        <v>41385.420138888891</v>
      </c>
      <c r="T11" s="26">
        <f t="shared" si="3"/>
        <v>1.9201388888905058</v>
      </c>
      <c r="U11">
        <v>0.14899999999999999</v>
      </c>
      <c r="W11" s="17">
        <v>41385.6875</v>
      </c>
      <c r="X11" s="26">
        <f t="shared" si="4"/>
        <v>2.1875</v>
      </c>
      <c r="Y11">
        <v>0.13500000000000001</v>
      </c>
      <c r="AA11" s="17">
        <v>41386.461805555555</v>
      </c>
      <c r="AB11" s="26">
        <f>AA11-C11</f>
        <v>2.9618055555547471</v>
      </c>
      <c r="AC11">
        <v>0.14399999999999999</v>
      </c>
      <c r="AD11">
        <v>1.52</v>
      </c>
      <c r="AE11" s="17"/>
      <c r="AF11" s="18"/>
      <c r="AI11" s="17"/>
      <c r="AJ11" s="18"/>
      <c r="AM11" s="17"/>
      <c r="AN11" s="18"/>
    </row>
    <row r="12" spans="1:54" x14ac:dyDescent="0.25">
      <c r="A12">
        <v>8</v>
      </c>
      <c r="B12" t="s">
        <v>87</v>
      </c>
      <c r="C12" s="17">
        <v>41354.5</v>
      </c>
      <c r="D12">
        <v>1</v>
      </c>
      <c r="F12">
        <v>2</v>
      </c>
      <c r="G12" s="17">
        <v>41354.620138888888</v>
      </c>
      <c r="H12" s="18">
        <f t="shared" ref="H12:H29" si="5">G12-C12</f>
        <v>0.12013888888759539</v>
      </c>
      <c r="I12">
        <v>0.621</v>
      </c>
      <c r="J12">
        <v>2.2200000000000002</v>
      </c>
      <c r="K12" s="17">
        <v>41386.457638888889</v>
      </c>
      <c r="L12" s="18">
        <f t="shared" si="1"/>
        <v>31.957638888889051</v>
      </c>
      <c r="M12">
        <v>0.317</v>
      </c>
      <c r="N12">
        <v>1.81</v>
      </c>
      <c r="O12" s="17">
        <v>41386.927777777775</v>
      </c>
      <c r="P12" s="18">
        <f t="shared" si="2"/>
        <v>32.427777777775191</v>
      </c>
      <c r="Q12">
        <v>0.308</v>
      </c>
      <c r="R12">
        <v>10.41</v>
      </c>
      <c r="S12" s="17">
        <v>41387.447916666664</v>
      </c>
      <c r="T12" s="18">
        <f t="shared" si="3"/>
        <v>32.947916666664241</v>
      </c>
      <c r="U12">
        <v>0.379</v>
      </c>
      <c r="V12">
        <v>7.77</v>
      </c>
      <c r="W12" s="17">
        <v>41388.433333333334</v>
      </c>
      <c r="X12" s="18">
        <f t="shared" si="4"/>
        <v>33.933333333334303</v>
      </c>
      <c r="Y12">
        <v>0.26300000000000001</v>
      </c>
      <c r="Z12">
        <v>2.95</v>
      </c>
      <c r="AA12" s="17">
        <v>41389.396527777775</v>
      </c>
      <c r="AB12" s="18">
        <f>AA12-C12</f>
        <v>34.896527777775191</v>
      </c>
      <c r="AC12">
        <v>0.28799999999999998</v>
      </c>
      <c r="AD12">
        <v>2.86</v>
      </c>
      <c r="AE12" s="17"/>
      <c r="AF12" s="18"/>
      <c r="AI12" s="17"/>
      <c r="AJ12" s="18"/>
      <c r="AM12" s="17"/>
      <c r="AN12" s="18"/>
    </row>
    <row r="13" spans="1:54" x14ac:dyDescent="0.25">
      <c r="A13">
        <v>9</v>
      </c>
      <c r="B13" t="s">
        <v>94</v>
      </c>
      <c r="C13" s="17">
        <v>41367.5</v>
      </c>
      <c r="D13">
        <v>1</v>
      </c>
      <c r="F13">
        <v>2</v>
      </c>
      <c r="G13" s="17">
        <v>41367.658333333333</v>
      </c>
      <c r="H13" s="18">
        <f t="shared" si="5"/>
        <v>0.15833333333284827</v>
      </c>
      <c r="I13">
        <v>0.46600000000000003</v>
      </c>
      <c r="J13">
        <v>39.56</v>
      </c>
      <c r="K13" s="17">
        <v>41367.931250000001</v>
      </c>
      <c r="L13" s="18">
        <f t="shared" si="1"/>
        <v>0.43125000000145519</v>
      </c>
      <c r="M13">
        <v>0.53900000000000003</v>
      </c>
      <c r="N13">
        <v>30.6</v>
      </c>
      <c r="O13" s="17">
        <v>41368.40625</v>
      </c>
      <c r="P13" s="18">
        <f t="shared" si="2"/>
        <v>0.90625</v>
      </c>
      <c r="Q13">
        <v>0.41699999999999998</v>
      </c>
      <c r="R13">
        <v>18.57</v>
      </c>
      <c r="S13" s="17">
        <v>41369.35833333333</v>
      </c>
      <c r="T13" s="18">
        <f t="shared" si="3"/>
        <v>1.8583333333299379</v>
      </c>
      <c r="U13">
        <v>0.375</v>
      </c>
      <c r="V13">
        <v>6.21</v>
      </c>
      <c r="W13" s="17">
        <v>41370.418749999997</v>
      </c>
      <c r="X13" s="18">
        <f t="shared" si="4"/>
        <v>2.9187499999970896</v>
      </c>
      <c r="Y13">
        <v>0.47199999999999998</v>
      </c>
      <c r="AA13" s="17"/>
      <c r="AB13" s="18"/>
      <c r="AE13" s="17"/>
      <c r="AF13" s="18"/>
      <c r="AI13" s="17"/>
      <c r="AJ13" s="18"/>
      <c r="AM13" s="17"/>
      <c r="AN13" s="18"/>
    </row>
    <row r="14" spans="1:54" x14ac:dyDescent="0.25">
      <c r="A14">
        <v>10</v>
      </c>
      <c r="B14" t="s">
        <v>104</v>
      </c>
      <c r="C14" s="17">
        <v>42342.5</v>
      </c>
      <c r="D14">
        <v>2</v>
      </c>
      <c r="F14">
        <v>2</v>
      </c>
      <c r="G14" s="17">
        <v>42344.511805555558</v>
      </c>
      <c r="H14" s="18">
        <f t="shared" si="5"/>
        <v>2.0118055555576575</v>
      </c>
      <c r="I14">
        <v>3.35</v>
      </c>
      <c r="J14">
        <v>22.59</v>
      </c>
      <c r="K14" s="17">
        <v>42345.436805555553</v>
      </c>
      <c r="L14" s="18">
        <f t="shared" si="1"/>
        <v>2.9368055555532919</v>
      </c>
      <c r="M14">
        <v>3.2</v>
      </c>
      <c r="N14">
        <v>7.09</v>
      </c>
      <c r="O14" s="17">
        <v>42345.908333333333</v>
      </c>
      <c r="P14" s="18">
        <f t="shared" si="2"/>
        <v>3.4083333333328483</v>
      </c>
      <c r="Q14">
        <v>2.34</v>
      </c>
      <c r="R14">
        <v>6.24</v>
      </c>
      <c r="S14" s="17">
        <v>42346.418055555558</v>
      </c>
      <c r="T14" s="18">
        <f t="shared" si="3"/>
        <v>3.9180555555576575</v>
      </c>
      <c r="U14">
        <v>2.93</v>
      </c>
      <c r="V14">
        <v>8.9</v>
      </c>
      <c r="W14" s="17">
        <v>42347.43472222222</v>
      </c>
      <c r="X14" s="18">
        <f t="shared" si="4"/>
        <v>4.9347222222204437</v>
      </c>
      <c r="Y14">
        <v>2.2400000000000002</v>
      </c>
      <c r="Z14">
        <v>3.53</v>
      </c>
      <c r="AA14" s="17">
        <v>42347.831944444442</v>
      </c>
      <c r="AB14" s="18">
        <f t="shared" ref="AB14:AB29" si="6">AA14-C14</f>
        <v>5.3319444444423425</v>
      </c>
      <c r="AC14">
        <v>1.68</v>
      </c>
      <c r="AD14">
        <v>2.5</v>
      </c>
      <c r="AE14" s="17">
        <v>42348.427083333336</v>
      </c>
      <c r="AF14" s="18">
        <f t="shared" ref="AF14:AF24" si="7">AE14-C14</f>
        <v>5.9270833333357587</v>
      </c>
      <c r="AG14">
        <v>2.29</v>
      </c>
      <c r="AH14">
        <v>3.7</v>
      </c>
      <c r="AI14" s="17">
        <v>42349.384722222225</v>
      </c>
      <c r="AJ14" s="18">
        <f t="shared" ref="AJ14:AJ20" si="8">AI14-C14</f>
        <v>6.8847222222248092</v>
      </c>
      <c r="AK14">
        <v>1.66</v>
      </c>
      <c r="AL14">
        <v>2.36</v>
      </c>
      <c r="AM14" s="17">
        <v>42350.411111111112</v>
      </c>
      <c r="AN14" s="18">
        <f>AM14-C14</f>
        <v>7.9111111111124046</v>
      </c>
      <c r="AO14">
        <v>1.0900000000000001</v>
      </c>
      <c r="AP14">
        <v>1.89</v>
      </c>
      <c r="AQ14" s="17">
        <v>42351.429861111108</v>
      </c>
      <c r="AR14" s="18">
        <f>AQ14-C14</f>
        <v>8.929861111108039</v>
      </c>
      <c r="AS14">
        <v>0.81899999999999995</v>
      </c>
      <c r="AT14">
        <v>1.08</v>
      </c>
      <c r="AU14" s="17">
        <v>42352.482638888891</v>
      </c>
      <c r="AV14" s="18">
        <f>AU14-C14</f>
        <v>9.9826388888905058</v>
      </c>
      <c r="AW14">
        <v>0.65200000000000002</v>
      </c>
      <c r="AX14">
        <v>0.86</v>
      </c>
      <c r="AY14" s="17">
        <v>42353.424305555556</v>
      </c>
      <c r="AZ14" s="18">
        <f>AY14-C14</f>
        <v>10.924305555556202</v>
      </c>
      <c r="BA14">
        <v>0.64</v>
      </c>
      <c r="BB14">
        <v>0.64</v>
      </c>
    </row>
    <row r="15" spans="1:54" x14ac:dyDescent="0.25">
      <c r="A15">
        <v>11</v>
      </c>
      <c r="B15" t="s">
        <v>106</v>
      </c>
      <c r="C15" s="17">
        <v>42341.5</v>
      </c>
      <c r="D15">
        <v>2</v>
      </c>
      <c r="F15">
        <v>2</v>
      </c>
      <c r="G15" s="17">
        <v>42343.488888888889</v>
      </c>
      <c r="H15" s="18">
        <f t="shared" si="5"/>
        <v>1.9888888888890506</v>
      </c>
      <c r="I15">
        <v>0.125</v>
      </c>
      <c r="J15">
        <v>3.03</v>
      </c>
      <c r="K15" s="17">
        <v>42344.399305555555</v>
      </c>
      <c r="L15" s="18">
        <f t="shared" si="1"/>
        <v>2.8993055555547471</v>
      </c>
      <c r="M15">
        <v>0.14299999999999999</v>
      </c>
      <c r="N15">
        <v>2.27</v>
      </c>
      <c r="O15" s="17">
        <v>42345.436805555553</v>
      </c>
      <c r="P15" s="18">
        <f t="shared" si="2"/>
        <v>3.9368055555532919</v>
      </c>
      <c r="Q15">
        <v>0.13300000000000001</v>
      </c>
      <c r="R15">
        <v>2.44</v>
      </c>
      <c r="S15" s="17">
        <v>42345.727777777778</v>
      </c>
      <c r="T15" s="18">
        <f t="shared" si="3"/>
        <v>4.2277777777781012</v>
      </c>
      <c r="U15">
        <v>0.105</v>
      </c>
      <c r="V15">
        <v>2.94</v>
      </c>
      <c r="W15" s="17">
        <v>42346.443749999999</v>
      </c>
      <c r="X15" s="18">
        <f t="shared" si="4"/>
        <v>4.9437499999985448</v>
      </c>
      <c r="Y15">
        <v>0.1</v>
      </c>
      <c r="Z15">
        <v>2.5</v>
      </c>
      <c r="AA15" s="17">
        <v>42347.448611111111</v>
      </c>
      <c r="AB15" s="18">
        <f t="shared" si="6"/>
        <v>5.9486111111109494</v>
      </c>
      <c r="AC15">
        <v>4.5999999999999999E-2</v>
      </c>
      <c r="AD15">
        <v>3.32</v>
      </c>
      <c r="AE15" s="17">
        <v>42348.46875</v>
      </c>
      <c r="AF15" s="18">
        <f t="shared" si="7"/>
        <v>6.96875</v>
      </c>
      <c r="AG15">
        <v>2.7E-2</v>
      </c>
      <c r="AH15">
        <v>2.2400000000000002</v>
      </c>
      <c r="AI15" s="17">
        <v>42350.432638888888</v>
      </c>
      <c r="AJ15" s="18">
        <f t="shared" si="8"/>
        <v>8.9326388888875954</v>
      </c>
      <c r="AK15">
        <v>2.1000000000000001E-2</v>
      </c>
      <c r="AL15">
        <v>2.31</v>
      </c>
      <c r="AM15" s="17">
        <v>42351.495138888888</v>
      </c>
      <c r="AN15" s="18">
        <f>AM15-C15</f>
        <v>9.9951388888875954</v>
      </c>
      <c r="AO15">
        <v>2.1000000000000001E-2</v>
      </c>
      <c r="AP15">
        <v>2.2400000000000002</v>
      </c>
      <c r="AQ15" s="17">
        <v>42352.425694444442</v>
      </c>
      <c r="AR15" s="18">
        <f>AQ15-C15</f>
        <v>10.925694444442343</v>
      </c>
      <c r="AS15">
        <v>0.02</v>
      </c>
      <c r="AT15">
        <v>2.2599999999999998</v>
      </c>
      <c r="AU15" s="17"/>
      <c r="AV15" s="18"/>
      <c r="AY15" s="17"/>
    </row>
    <row r="16" spans="1:54" x14ac:dyDescent="0.25">
      <c r="A16">
        <v>12</v>
      </c>
      <c r="B16" t="s">
        <v>107</v>
      </c>
      <c r="C16" s="17">
        <v>42337.625</v>
      </c>
      <c r="D16">
        <v>2</v>
      </c>
      <c r="F16">
        <v>2</v>
      </c>
      <c r="G16" s="17">
        <v>42338.713888888888</v>
      </c>
      <c r="H16" s="18">
        <f t="shared" si="5"/>
        <v>1.0888888888875954</v>
      </c>
      <c r="I16">
        <v>1.33</v>
      </c>
      <c r="J16">
        <v>94.68</v>
      </c>
      <c r="K16" s="17">
        <v>42338.97152777778</v>
      </c>
      <c r="L16" s="18">
        <f t="shared" si="1"/>
        <v>1.3465277777795563</v>
      </c>
      <c r="M16">
        <v>1.1200000000000001</v>
      </c>
      <c r="N16">
        <v>59.2</v>
      </c>
      <c r="O16" s="17">
        <v>42339.394444444442</v>
      </c>
      <c r="P16" s="18">
        <f t="shared" si="2"/>
        <v>1.7694444444423425</v>
      </c>
      <c r="Q16" s="11">
        <v>0.39444444444444443</v>
      </c>
      <c r="R16">
        <v>42.04</v>
      </c>
      <c r="S16" s="17">
        <v>42340.373611111114</v>
      </c>
      <c r="T16" s="18">
        <f t="shared" si="3"/>
        <v>2.7486111111138598</v>
      </c>
      <c r="U16">
        <v>1.47</v>
      </c>
      <c r="V16">
        <v>9.6</v>
      </c>
      <c r="W16" s="17">
        <v>42341.390277777777</v>
      </c>
      <c r="X16" s="18">
        <f t="shared" si="4"/>
        <v>3.765277777776646</v>
      </c>
      <c r="Y16">
        <v>1.63</v>
      </c>
      <c r="Z16">
        <v>4.68</v>
      </c>
      <c r="AA16" s="17">
        <v>42341.749305555553</v>
      </c>
      <c r="AB16" s="18">
        <f t="shared" si="6"/>
        <v>4.1243055555532919</v>
      </c>
      <c r="AC16">
        <v>1.5</v>
      </c>
      <c r="AD16">
        <v>5.92</v>
      </c>
      <c r="AE16" s="17">
        <v>42342.420138888891</v>
      </c>
      <c r="AF16" s="18">
        <f t="shared" si="7"/>
        <v>4.7951388888905058</v>
      </c>
      <c r="AG16">
        <v>1.25</v>
      </c>
      <c r="AH16">
        <v>9.4499999999999993</v>
      </c>
      <c r="AI16" s="17">
        <v>42343.436805555553</v>
      </c>
      <c r="AJ16" s="18">
        <f t="shared" si="8"/>
        <v>5.8118055555532919</v>
      </c>
      <c r="AK16">
        <v>0.69499999999999995</v>
      </c>
      <c r="AL16">
        <v>4.24</v>
      </c>
      <c r="AM16" s="17">
        <v>42344.470833333333</v>
      </c>
      <c r="AN16" s="18">
        <f>AM16-C16</f>
        <v>6.8458333333328483</v>
      </c>
      <c r="AO16">
        <v>0.33800000000000002</v>
      </c>
      <c r="AP16">
        <v>3.12</v>
      </c>
      <c r="AQ16" s="17">
        <v>42345.449305555558</v>
      </c>
      <c r="AR16" s="18">
        <f>AQ16-C16</f>
        <v>7.8243055555576575</v>
      </c>
      <c r="AS16">
        <v>0.222</v>
      </c>
      <c r="AT16">
        <v>2.56</v>
      </c>
      <c r="AU16" s="17"/>
      <c r="AV16" s="18"/>
      <c r="AY16" s="17"/>
    </row>
    <row r="17" spans="1:54" x14ac:dyDescent="0.25">
      <c r="A17">
        <v>13</v>
      </c>
      <c r="B17" t="s">
        <v>108</v>
      </c>
      <c r="C17" s="17">
        <v>42340.5</v>
      </c>
      <c r="D17">
        <v>2</v>
      </c>
      <c r="F17">
        <v>2</v>
      </c>
      <c r="G17" s="17">
        <v>42349.56527777778</v>
      </c>
      <c r="H17" s="18">
        <f t="shared" si="5"/>
        <v>9.0652777777795563</v>
      </c>
      <c r="I17">
        <v>4.4999999999999998E-2</v>
      </c>
      <c r="J17">
        <v>2.12</v>
      </c>
      <c r="K17" s="17">
        <v>42349.757638888892</v>
      </c>
      <c r="L17" s="18">
        <f t="shared" si="1"/>
        <v>9.257638888891961</v>
      </c>
      <c r="M17">
        <v>4.4999999999999998E-2</v>
      </c>
      <c r="N17">
        <v>2.5299999999999998</v>
      </c>
      <c r="O17" s="17">
        <v>42350.416666666664</v>
      </c>
      <c r="P17" s="18">
        <f t="shared" si="2"/>
        <v>9.9166666666642413</v>
      </c>
      <c r="Q17">
        <v>0.08</v>
      </c>
      <c r="R17">
        <v>5.56</v>
      </c>
      <c r="S17" s="17">
        <v>42351.429861111108</v>
      </c>
      <c r="T17" s="18">
        <f t="shared" si="3"/>
        <v>10.929861111108039</v>
      </c>
      <c r="U17">
        <v>5.8999999999999997E-2</v>
      </c>
      <c r="V17">
        <v>4.79</v>
      </c>
      <c r="W17" s="17">
        <v>42352.388888888891</v>
      </c>
      <c r="X17" s="18">
        <f t="shared" si="4"/>
        <v>11.888888888890506</v>
      </c>
      <c r="Y17">
        <v>5.5E-2</v>
      </c>
      <c r="Z17">
        <v>3.54</v>
      </c>
      <c r="AA17" s="17">
        <v>42352.922222222223</v>
      </c>
      <c r="AB17" s="18">
        <f t="shared" si="6"/>
        <v>12.422222222223354</v>
      </c>
      <c r="AC17">
        <v>5.5E-2</v>
      </c>
      <c r="AD17">
        <v>3.96</v>
      </c>
      <c r="AE17" s="17">
        <v>42353.396527777775</v>
      </c>
      <c r="AF17" s="18">
        <f t="shared" si="7"/>
        <v>12.896527777775191</v>
      </c>
      <c r="AG17">
        <v>6.6000000000000003E-2</v>
      </c>
      <c r="AH17">
        <v>4.93</v>
      </c>
      <c r="AI17" s="17">
        <v>42354.456944444442</v>
      </c>
      <c r="AJ17" s="18">
        <f t="shared" si="8"/>
        <v>13.956944444442343</v>
      </c>
      <c r="AK17">
        <v>5.5E-2</v>
      </c>
      <c r="AL17">
        <v>3.9</v>
      </c>
      <c r="AM17" s="17"/>
      <c r="AN17" s="18"/>
      <c r="AQ17" s="17"/>
      <c r="AR17" s="18"/>
      <c r="AU17" s="17"/>
      <c r="AV17" s="18"/>
      <c r="AY17" s="17"/>
    </row>
    <row r="18" spans="1:54" x14ac:dyDescent="0.25">
      <c r="A18">
        <v>14</v>
      </c>
      <c r="B18" t="s">
        <v>109</v>
      </c>
      <c r="C18" s="17">
        <v>42329.5</v>
      </c>
      <c r="D18">
        <v>2</v>
      </c>
      <c r="F18">
        <v>2</v>
      </c>
      <c r="G18" s="17">
        <v>42330.69027777778</v>
      </c>
      <c r="H18" s="18">
        <f t="shared" si="5"/>
        <v>1.1902777777795563</v>
      </c>
      <c r="I18">
        <v>0.47499999999999998</v>
      </c>
      <c r="J18">
        <v>44.03</v>
      </c>
      <c r="K18" s="17">
        <v>42331.390972222223</v>
      </c>
      <c r="L18" s="18">
        <f t="shared" si="1"/>
        <v>1.890972222223354</v>
      </c>
      <c r="M18">
        <v>0.47599999999999998</v>
      </c>
      <c r="N18">
        <v>16.989999999999998</v>
      </c>
      <c r="O18" s="17">
        <v>42331.754861111112</v>
      </c>
      <c r="P18" s="18">
        <f t="shared" si="2"/>
        <v>2.2548611111124046</v>
      </c>
      <c r="Q18">
        <v>0.624</v>
      </c>
      <c r="R18">
        <v>10.3</v>
      </c>
      <c r="S18" s="17">
        <v>42331.4375</v>
      </c>
      <c r="T18" s="18">
        <f t="shared" si="3"/>
        <v>1.9375</v>
      </c>
      <c r="U18">
        <v>0.624</v>
      </c>
      <c r="V18" s="11">
        <v>0.4375</v>
      </c>
      <c r="W18" s="17">
        <v>42332.440972222219</v>
      </c>
      <c r="X18" s="18">
        <f t="shared" si="4"/>
        <v>2.9409722222189885</v>
      </c>
      <c r="Y18">
        <v>0.73299999999999998</v>
      </c>
      <c r="Z18">
        <v>18.760000000000002</v>
      </c>
      <c r="AA18" s="17">
        <v>42333.379861111112</v>
      </c>
      <c r="AB18" s="18">
        <f t="shared" si="6"/>
        <v>3.8798611111124046</v>
      </c>
      <c r="AC18">
        <v>0.51500000000000001</v>
      </c>
      <c r="AD18">
        <v>3.18</v>
      </c>
      <c r="AE18" s="17">
        <v>42334.386805555558</v>
      </c>
      <c r="AF18" s="18">
        <f t="shared" si="7"/>
        <v>4.8868055555576575</v>
      </c>
      <c r="AG18">
        <v>0.497</v>
      </c>
      <c r="AH18">
        <v>1.4</v>
      </c>
      <c r="AI18" s="17">
        <v>42335.418749999997</v>
      </c>
      <c r="AJ18" s="18">
        <f t="shared" si="8"/>
        <v>5.9187499999970896</v>
      </c>
      <c r="AK18">
        <v>0.42599999999999999</v>
      </c>
      <c r="AL18">
        <v>1.44</v>
      </c>
      <c r="AM18" s="17"/>
      <c r="AN18" s="18"/>
      <c r="AQ18" s="17"/>
      <c r="AR18" s="18"/>
      <c r="AU18" s="17"/>
      <c r="AV18" s="18"/>
      <c r="AY18" s="17"/>
    </row>
    <row r="19" spans="1:54" x14ac:dyDescent="0.25">
      <c r="A19">
        <v>15</v>
      </c>
      <c r="B19" t="s">
        <v>111</v>
      </c>
      <c r="C19" s="17">
        <v>42336.5</v>
      </c>
      <c r="D19">
        <v>1</v>
      </c>
      <c r="F19">
        <v>2</v>
      </c>
      <c r="G19" s="17">
        <v>42342.662499999999</v>
      </c>
      <c r="H19" s="18">
        <f t="shared" si="5"/>
        <v>6.1624999999985448</v>
      </c>
      <c r="I19">
        <v>2.1999999999999999E-2</v>
      </c>
      <c r="J19">
        <v>2.57</v>
      </c>
      <c r="K19" s="17">
        <v>42342.918749999997</v>
      </c>
      <c r="L19" s="18">
        <f t="shared" si="1"/>
        <v>6.4187499999970896</v>
      </c>
      <c r="M19">
        <v>7.4999999999999997E-2</v>
      </c>
      <c r="N19">
        <v>4.8499999999999996</v>
      </c>
      <c r="O19" s="17">
        <v>42343.453472222223</v>
      </c>
      <c r="P19" s="18">
        <f t="shared" si="2"/>
        <v>6.953472222223354</v>
      </c>
      <c r="Q19">
        <v>5.52</v>
      </c>
      <c r="R19">
        <v>5.52</v>
      </c>
      <c r="S19" s="17">
        <v>42344.40347222222</v>
      </c>
      <c r="T19" s="18">
        <f t="shared" si="3"/>
        <v>7.9034722222204437</v>
      </c>
      <c r="U19">
        <v>0.26800000000000002</v>
      </c>
      <c r="V19">
        <v>4.08</v>
      </c>
      <c r="W19" s="17">
        <v>42345.411805555559</v>
      </c>
      <c r="X19" s="18">
        <f t="shared" si="4"/>
        <v>8.9118055555591127</v>
      </c>
      <c r="Y19">
        <v>0.32900000000000001</v>
      </c>
      <c r="Z19">
        <v>3.75</v>
      </c>
      <c r="AA19" s="17">
        <v>42346.418055555558</v>
      </c>
      <c r="AB19" s="18">
        <f t="shared" si="6"/>
        <v>9.9180555555576575</v>
      </c>
      <c r="AC19">
        <v>0.439</v>
      </c>
      <c r="AD19">
        <v>1.9</v>
      </c>
      <c r="AE19" s="17">
        <v>42347.538888888892</v>
      </c>
      <c r="AF19" s="18">
        <f t="shared" si="7"/>
        <v>11.038888888891961</v>
      </c>
      <c r="AG19">
        <v>0.44800000000000001</v>
      </c>
      <c r="AH19">
        <v>1.83</v>
      </c>
      <c r="AI19" s="17">
        <v>42348.46875</v>
      </c>
      <c r="AJ19" s="18">
        <f t="shared" si="8"/>
        <v>11.96875</v>
      </c>
      <c r="AK19">
        <v>0.38400000000000001</v>
      </c>
      <c r="AL19">
        <v>1.87</v>
      </c>
      <c r="AM19" s="17"/>
      <c r="AN19" s="18"/>
      <c r="AQ19" s="17"/>
      <c r="AR19" s="18"/>
      <c r="AU19" s="17"/>
      <c r="AV19" s="18"/>
      <c r="AY19" s="17"/>
    </row>
    <row r="20" spans="1:54" x14ac:dyDescent="0.25">
      <c r="A20">
        <v>16</v>
      </c>
      <c r="B20" t="s">
        <v>112</v>
      </c>
      <c r="C20" s="17">
        <v>42351.5</v>
      </c>
      <c r="D20">
        <v>2</v>
      </c>
      <c r="F20">
        <v>2</v>
      </c>
      <c r="G20" s="17">
        <v>42352.893055555556</v>
      </c>
      <c r="H20" s="18">
        <f t="shared" si="5"/>
        <v>1.3930555555562023</v>
      </c>
      <c r="I20">
        <v>0.54</v>
      </c>
      <c r="J20">
        <v>25.7</v>
      </c>
      <c r="K20" s="17">
        <v>42353.396527777775</v>
      </c>
      <c r="L20" s="18">
        <f t="shared" si="1"/>
        <v>1.8965277777751908</v>
      </c>
      <c r="M20">
        <v>0.47599999999999998</v>
      </c>
      <c r="N20">
        <v>14.48</v>
      </c>
      <c r="O20" s="17">
        <v>42353.745138888888</v>
      </c>
      <c r="P20" s="18">
        <f t="shared" si="2"/>
        <v>2.2451388888875954</v>
      </c>
      <c r="Q20">
        <v>0.53500000000000003</v>
      </c>
      <c r="R20">
        <v>37.44</v>
      </c>
      <c r="S20" s="17">
        <v>42354.42291666667</v>
      </c>
      <c r="T20" s="18">
        <f t="shared" si="3"/>
        <v>2.9229166666700621</v>
      </c>
      <c r="U20">
        <v>1.36</v>
      </c>
      <c r="V20">
        <v>24.73</v>
      </c>
      <c r="W20" s="17">
        <v>42354.725694444445</v>
      </c>
      <c r="X20" s="18">
        <f t="shared" si="4"/>
        <v>3.2256944444452529</v>
      </c>
      <c r="Y20">
        <v>0.94</v>
      </c>
      <c r="Z20">
        <v>24.73</v>
      </c>
      <c r="AA20" s="17">
        <v>42355.397222222222</v>
      </c>
      <c r="AB20" s="18">
        <f t="shared" si="6"/>
        <v>3.8972222222218988</v>
      </c>
      <c r="AC20">
        <v>1</v>
      </c>
      <c r="AD20">
        <v>9.9</v>
      </c>
      <c r="AE20" s="17">
        <v>42356.421527777777</v>
      </c>
      <c r="AF20" s="18">
        <f t="shared" si="7"/>
        <v>4.921527777776646</v>
      </c>
      <c r="AG20">
        <v>0.88600000000000001</v>
      </c>
      <c r="AH20">
        <v>3.41</v>
      </c>
      <c r="AI20" s="17">
        <v>42356.808333333334</v>
      </c>
      <c r="AJ20" s="18">
        <f t="shared" si="8"/>
        <v>5.3083333333343035</v>
      </c>
      <c r="AK20">
        <v>0.82799999999999996</v>
      </c>
      <c r="AL20">
        <v>3.22</v>
      </c>
      <c r="AM20" s="17">
        <v>42357.426388888889</v>
      </c>
      <c r="AN20" s="18">
        <f>AM20-C20</f>
        <v>5.9263888888890506</v>
      </c>
      <c r="AO20">
        <v>0.91</v>
      </c>
      <c r="AP20">
        <v>7.72</v>
      </c>
      <c r="AQ20" s="17">
        <v>42357.741666666669</v>
      </c>
      <c r="AR20" s="18">
        <f>AQ20-C20</f>
        <v>6.2416666666686069</v>
      </c>
      <c r="AS20">
        <v>0.81699999999999995</v>
      </c>
      <c r="AT20">
        <v>5.3</v>
      </c>
      <c r="AU20" s="17">
        <v>42358.421527777777</v>
      </c>
      <c r="AV20" s="18">
        <f>AU20-C20</f>
        <v>6.921527777776646</v>
      </c>
      <c r="AW20">
        <v>0.74</v>
      </c>
      <c r="AX20">
        <v>3.17</v>
      </c>
      <c r="AY20" s="17">
        <v>42359.474999999999</v>
      </c>
      <c r="AZ20" s="18">
        <f>AY20-C20</f>
        <v>7.9749999999985448</v>
      </c>
      <c r="BA20">
        <v>0.53200000000000003</v>
      </c>
      <c r="BB20">
        <v>2.17</v>
      </c>
    </row>
    <row r="21" spans="1:54" x14ac:dyDescent="0.25">
      <c r="A21">
        <v>17</v>
      </c>
      <c r="B21" t="s">
        <v>119</v>
      </c>
      <c r="C21" s="17">
        <v>42347.6875</v>
      </c>
      <c r="D21">
        <v>2</v>
      </c>
      <c r="F21">
        <v>2</v>
      </c>
      <c r="G21" s="17">
        <v>42347.797222222223</v>
      </c>
      <c r="H21" s="18">
        <f t="shared" si="5"/>
        <v>0.10972222222335404</v>
      </c>
      <c r="I21">
        <v>0.26700000000000002</v>
      </c>
      <c r="J21">
        <v>58.25</v>
      </c>
      <c r="K21" s="17">
        <v>42348.46875</v>
      </c>
      <c r="L21" s="18">
        <f t="shared" si="1"/>
        <v>0.78125</v>
      </c>
      <c r="M21">
        <v>0.83299999999999996</v>
      </c>
      <c r="N21">
        <v>49.6</v>
      </c>
      <c r="O21" s="17">
        <v>42348.669444444444</v>
      </c>
      <c r="P21" s="18">
        <f t="shared" si="2"/>
        <v>0.98194444444379769</v>
      </c>
      <c r="Q21">
        <v>1.82</v>
      </c>
      <c r="R21">
        <v>35.46</v>
      </c>
      <c r="S21" s="17">
        <v>42349.42291666667</v>
      </c>
      <c r="T21" s="18">
        <f t="shared" si="3"/>
        <v>1.7354166666700621</v>
      </c>
      <c r="U21">
        <v>1.04</v>
      </c>
      <c r="V21">
        <v>10.41</v>
      </c>
      <c r="W21" s="17">
        <v>42350.432638888888</v>
      </c>
      <c r="X21" s="18">
        <f t="shared" si="4"/>
        <v>2.7451388888875954</v>
      </c>
      <c r="Y21">
        <v>1.2</v>
      </c>
      <c r="Z21">
        <v>2.91</v>
      </c>
      <c r="AA21" s="17">
        <v>42351.445138888892</v>
      </c>
      <c r="AB21" s="18">
        <f t="shared" si="6"/>
        <v>3.757638888891961</v>
      </c>
      <c r="AC21">
        <v>1.03</v>
      </c>
      <c r="AD21">
        <v>1.96</v>
      </c>
      <c r="AE21" s="17">
        <v>42352.482638888891</v>
      </c>
      <c r="AF21" s="18">
        <f t="shared" si="7"/>
        <v>4.7951388888905058</v>
      </c>
      <c r="AG21">
        <v>0.59299999999999997</v>
      </c>
      <c r="AH21">
        <v>1.46</v>
      </c>
      <c r="AI21" s="17"/>
      <c r="AJ21" s="18"/>
      <c r="AM21" s="17"/>
      <c r="AN21" s="18"/>
      <c r="AQ21" s="17"/>
      <c r="AR21" s="18"/>
      <c r="AU21" s="17"/>
      <c r="AV21" s="18"/>
    </row>
    <row r="22" spans="1:54" x14ac:dyDescent="0.25">
      <c r="A22">
        <v>18</v>
      </c>
      <c r="B22" t="s">
        <v>120</v>
      </c>
      <c r="C22" s="17">
        <v>42340.5</v>
      </c>
      <c r="D22">
        <v>2</v>
      </c>
      <c r="F22">
        <v>2</v>
      </c>
      <c r="G22" s="17">
        <v>42347.755555555559</v>
      </c>
      <c r="H22" s="18">
        <f t="shared" si="5"/>
        <v>7.2555555555591127</v>
      </c>
      <c r="I22">
        <v>9.6000000000000002E-2</v>
      </c>
      <c r="J22">
        <v>3.48</v>
      </c>
      <c r="K22" s="17">
        <v>42347.563888888886</v>
      </c>
      <c r="L22" s="18">
        <f t="shared" si="1"/>
        <v>7.0638888888861402</v>
      </c>
      <c r="M22">
        <v>9.8000000000000004E-2</v>
      </c>
      <c r="N22">
        <v>2.19</v>
      </c>
      <c r="O22" s="17">
        <v>42348.46875</v>
      </c>
      <c r="P22" s="18">
        <f t="shared" si="2"/>
        <v>7.96875</v>
      </c>
      <c r="Q22">
        <v>0.106</v>
      </c>
      <c r="R22">
        <v>4.45</v>
      </c>
      <c r="S22" s="17">
        <v>42349.384722222225</v>
      </c>
      <c r="T22" s="18">
        <f t="shared" si="3"/>
        <v>8.8847222222248092</v>
      </c>
      <c r="U22">
        <v>7.4999999999999997E-2</v>
      </c>
      <c r="V22">
        <v>2.63</v>
      </c>
      <c r="W22" s="17">
        <v>42349.757638888892</v>
      </c>
      <c r="X22" s="18">
        <f t="shared" si="4"/>
        <v>9.257638888891961</v>
      </c>
      <c r="Y22">
        <v>8.2000000000000003E-2</v>
      </c>
      <c r="Z22">
        <v>3.3</v>
      </c>
      <c r="AA22" s="17">
        <v>42350.411111111112</v>
      </c>
      <c r="AB22" s="18">
        <f t="shared" si="6"/>
        <v>9.9111111111124046</v>
      </c>
      <c r="AC22">
        <v>0.126</v>
      </c>
      <c r="AD22">
        <v>6.5</v>
      </c>
      <c r="AE22" s="17">
        <v>42351.429861111108</v>
      </c>
      <c r="AF22" s="18">
        <f t="shared" si="7"/>
        <v>10.929861111108039</v>
      </c>
      <c r="AG22">
        <v>0.13700000000000001</v>
      </c>
      <c r="AH22">
        <v>4.01</v>
      </c>
      <c r="AI22" s="17">
        <v>42352.406944444447</v>
      </c>
      <c r="AJ22" s="18">
        <f>AI22-C22</f>
        <v>11.906944444446708</v>
      </c>
      <c r="AK22">
        <v>0.13900000000000001</v>
      </c>
      <c r="AL22">
        <v>1.95</v>
      </c>
      <c r="AM22" s="17"/>
      <c r="AN22" s="18"/>
      <c r="AQ22" s="17"/>
      <c r="AR22" s="18"/>
      <c r="AU22" s="17"/>
      <c r="AV22" s="18"/>
    </row>
    <row r="23" spans="1:54" x14ac:dyDescent="0.25">
      <c r="A23">
        <v>19</v>
      </c>
      <c r="B23" t="s">
        <v>124</v>
      </c>
      <c r="C23" s="17">
        <v>42340.083333333336</v>
      </c>
      <c r="D23">
        <v>2</v>
      </c>
      <c r="F23">
        <v>2</v>
      </c>
      <c r="G23" s="17">
        <v>42340.695833333331</v>
      </c>
      <c r="H23" s="18">
        <f t="shared" si="5"/>
        <v>0.61249999999563443</v>
      </c>
      <c r="I23">
        <v>0.79800000000000004</v>
      </c>
      <c r="J23">
        <v>124.6</v>
      </c>
      <c r="K23" s="17">
        <v>42341.385416666664</v>
      </c>
      <c r="L23" s="18">
        <f t="shared" si="1"/>
        <v>1.3020833333284827</v>
      </c>
      <c r="M23">
        <v>1.95</v>
      </c>
      <c r="N23">
        <v>54.34</v>
      </c>
      <c r="O23" s="17">
        <v>42341.821527777778</v>
      </c>
      <c r="P23" s="18">
        <f t="shared" si="2"/>
        <v>1.7381944444423425</v>
      </c>
      <c r="Q23">
        <v>5.08</v>
      </c>
      <c r="R23">
        <v>129.9</v>
      </c>
      <c r="S23" s="17">
        <v>42342.420138888891</v>
      </c>
      <c r="T23" s="18">
        <f t="shared" si="3"/>
        <v>2.3368055555547471</v>
      </c>
      <c r="U23">
        <v>4.74</v>
      </c>
      <c r="V23">
        <v>43.97</v>
      </c>
      <c r="W23" s="17">
        <v>42343.452777777777</v>
      </c>
      <c r="X23" s="18">
        <f t="shared" si="4"/>
        <v>3.3694444444408873</v>
      </c>
      <c r="Y23">
        <v>4.32</v>
      </c>
      <c r="Z23">
        <v>5.35</v>
      </c>
      <c r="AA23" s="17">
        <v>42344.409722222219</v>
      </c>
      <c r="AB23" s="18">
        <f t="shared" si="6"/>
        <v>4.3263888888832298</v>
      </c>
      <c r="AC23">
        <v>3.05</v>
      </c>
      <c r="AD23">
        <v>2.08</v>
      </c>
      <c r="AE23" s="17">
        <v>42345.467361111114</v>
      </c>
      <c r="AF23" s="18">
        <f t="shared" si="7"/>
        <v>5.3840277777781012</v>
      </c>
      <c r="AG23">
        <v>1.78</v>
      </c>
      <c r="AH23">
        <v>1.41</v>
      </c>
      <c r="AI23" s="17"/>
      <c r="AJ23" s="18"/>
      <c r="AM23" s="17"/>
      <c r="AN23" s="18"/>
      <c r="AQ23" s="17"/>
      <c r="AR23" s="18"/>
      <c r="AU23" s="17"/>
      <c r="AV23" s="18"/>
    </row>
    <row r="24" spans="1:54" x14ac:dyDescent="0.25">
      <c r="A24">
        <v>20</v>
      </c>
      <c r="B24" t="s">
        <v>208</v>
      </c>
      <c r="C24" s="17">
        <v>42362.125</v>
      </c>
      <c r="D24">
        <v>2</v>
      </c>
      <c r="F24">
        <v>2</v>
      </c>
      <c r="G24" s="17">
        <v>42362.294444444444</v>
      </c>
      <c r="H24" s="18">
        <f t="shared" si="5"/>
        <v>0.16944444444379769</v>
      </c>
      <c r="I24">
        <v>4.5999999999999999E-2</v>
      </c>
      <c r="J24">
        <v>9.82</v>
      </c>
      <c r="K24" s="17">
        <v>42362.352777777778</v>
      </c>
      <c r="L24" s="18">
        <f t="shared" si="1"/>
        <v>0.22777777777810115</v>
      </c>
      <c r="M24">
        <v>4.4999999999999998E-2</v>
      </c>
      <c r="N24">
        <v>9.77</v>
      </c>
      <c r="O24" s="17">
        <v>42363.429861111108</v>
      </c>
      <c r="P24" s="18">
        <f t="shared" si="2"/>
        <v>1.304861111108039</v>
      </c>
      <c r="Q24">
        <v>0.18</v>
      </c>
      <c r="R24">
        <v>7.37</v>
      </c>
      <c r="S24" s="17">
        <v>42364.378472222219</v>
      </c>
      <c r="T24" s="18">
        <f t="shared" si="3"/>
        <v>2.2534722222189885</v>
      </c>
      <c r="U24">
        <v>0.17100000000000001</v>
      </c>
      <c r="V24">
        <v>2.9</v>
      </c>
      <c r="W24" s="17">
        <v>42365.438888888886</v>
      </c>
      <c r="X24" s="18">
        <f t="shared" si="4"/>
        <v>3.3138888888861402</v>
      </c>
      <c r="Y24">
        <v>0.17199999999999999</v>
      </c>
      <c r="Z24">
        <v>1.92</v>
      </c>
      <c r="AA24" s="17">
        <v>42366.388888888891</v>
      </c>
      <c r="AB24" s="18">
        <f t="shared" si="6"/>
        <v>4.2638888888905058</v>
      </c>
      <c r="AC24">
        <v>0.13</v>
      </c>
      <c r="AD24">
        <v>1.82</v>
      </c>
      <c r="AE24" s="17">
        <v>42366.994444444441</v>
      </c>
      <c r="AF24" s="18">
        <f t="shared" si="7"/>
        <v>4.8694444444408873</v>
      </c>
      <c r="AG24">
        <v>0.1</v>
      </c>
      <c r="AH24">
        <v>1.64</v>
      </c>
      <c r="AI24" s="17">
        <v>42367.398611111108</v>
      </c>
      <c r="AJ24" s="18">
        <f>AI24-C24</f>
        <v>5.273611111108039</v>
      </c>
      <c r="AK24">
        <v>0.09</v>
      </c>
      <c r="AL24">
        <v>2.33</v>
      </c>
      <c r="AM24" s="17">
        <v>42368.445833333331</v>
      </c>
      <c r="AN24" s="18">
        <f>AM24-C24</f>
        <v>6.3208333333313931</v>
      </c>
      <c r="AO24">
        <v>7.6999999999999999E-2</v>
      </c>
      <c r="AP24">
        <v>1.41</v>
      </c>
      <c r="AQ24" s="17">
        <v>42369.42083333333</v>
      </c>
      <c r="AR24" s="18">
        <f>AQ24-C24</f>
        <v>7.2958333333299379</v>
      </c>
      <c r="AS24">
        <v>5.5E-2</v>
      </c>
      <c r="AT24">
        <v>1.64</v>
      </c>
      <c r="AU24" s="17"/>
      <c r="AV24" s="18"/>
    </row>
    <row r="25" spans="1:54" x14ac:dyDescent="0.25">
      <c r="A25">
        <v>21</v>
      </c>
      <c r="B25" t="s">
        <v>220</v>
      </c>
      <c r="C25" s="17">
        <v>42363.125</v>
      </c>
      <c r="D25">
        <v>2</v>
      </c>
      <c r="F25">
        <v>2</v>
      </c>
      <c r="G25" s="17">
        <v>42365.515972222223</v>
      </c>
      <c r="H25" s="18">
        <f t="shared" si="5"/>
        <v>2.390972222223354</v>
      </c>
      <c r="I25">
        <v>0.873</v>
      </c>
      <c r="J25">
        <v>3.68</v>
      </c>
      <c r="K25" s="17">
        <v>42366.388888888891</v>
      </c>
      <c r="L25" s="18">
        <f t="shared" si="1"/>
        <v>3.2638888888905058</v>
      </c>
      <c r="M25">
        <v>0.81299999999999994</v>
      </c>
      <c r="N25">
        <v>1.87</v>
      </c>
      <c r="O25" s="17">
        <v>42366.994444444441</v>
      </c>
      <c r="P25" s="18">
        <f t="shared" si="2"/>
        <v>3.8694444444408873</v>
      </c>
      <c r="Q25">
        <v>0.96199999999999997</v>
      </c>
      <c r="R25">
        <v>3.05</v>
      </c>
      <c r="S25" s="17">
        <v>42367.4</v>
      </c>
      <c r="T25" s="18">
        <f t="shared" si="3"/>
        <v>4.2750000000014552</v>
      </c>
      <c r="U25">
        <v>0.86399999999999999</v>
      </c>
      <c r="V25">
        <v>3.77</v>
      </c>
      <c r="W25" s="17">
        <v>42368.40625</v>
      </c>
      <c r="X25" s="18">
        <f t="shared" si="4"/>
        <v>5.28125</v>
      </c>
      <c r="Y25">
        <v>0.83199999999999996</v>
      </c>
      <c r="Z25">
        <v>2.09</v>
      </c>
      <c r="AA25" s="17">
        <v>42369.45416666667</v>
      </c>
      <c r="AB25" s="18">
        <f t="shared" si="6"/>
        <v>6.3291666666700621</v>
      </c>
      <c r="AC25">
        <v>0.60499999999999998</v>
      </c>
      <c r="AD25">
        <v>2.2599999999999998</v>
      </c>
      <c r="AE25" s="17"/>
      <c r="AF25" s="18"/>
      <c r="AI25" s="17"/>
      <c r="AJ25" s="18"/>
      <c r="AM25" s="17"/>
      <c r="AN25" s="18"/>
      <c r="AQ25" s="17"/>
      <c r="AR25" s="18"/>
      <c r="AU25" s="17"/>
      <c r="AV25" s="18"/>
    </row>
    <row r="26" spans="1:54" x14ac:dyDescent="0.25">
      <c r="A26">
        <v>22</v>
      </c>
      <c r="B26" t="s">
        <v>240</v>
      </c>
      <c r="C26" s="17">
        <v>42356.5</v>
      </c>
      <c r="D26">
        <v>2</v>
      </c>
      <c r="F26">
        <v>2</v>
      </c>
      <c r="G26" s="17">
        <v>42356.576388888891</v>
      </c>
      <c r="H26" s="18">
        <f t="shared" si="5"/>
        <v>7.6388888890505768E-2</v>
      </c>
      <c r="I26">
        <v>0.47699999999999998</v>
      </c>
      <c r="J26">
        <v>8.52</v>
      </c>
      <c r="K26" s="17">
        <v>42356.977777777778</v>
      </c>
      <c r="L26" s="18">
        <f t="shared" si="1"/>
        <v>0.47777777777810115</v>
      </c>
      <c r="M26">
        <v>0.626</v>
      </c>
      <c r="N26">
        <v>7.16</v>
      </c>
      <c r="O26" s="17">
        <v>42357.426388888889</v>
      </c>
      <c r="P26" s="18">
        <f t="shared" si="2"/>
        <v>0.92638888888905058</v>
      </c>
      <c r="Q26">
        <v>0.85599999999999998</v>
      </c>
      <c r="R26">
        <v>7.98</v>
      </c>
      <c r="S26" s="17">
        <v>42357.740277777775</v>
      </c>
      <c r="T26" s="18">
        <f t="shared" si="3"/>
        <v>1.2402777777751908</v>
      </c>
      <c r="U26">
        <v>0.81299999999999994</v>
      </c>
      <c r="V26">
        <v>5.0599999999999996</v>
      </c>
      <c r="W26" s="17">
        <v>42358.456250000003</v>
      </c>
      <c r="X26" s="18">
        <f t="shared" si="4"/>
        <v>1.9562500000029104</v>
      </c>
      <c r="Y26">
        <v>0.871</v>
      </c>
      <c r="Z26">
        <v>3.24</v>
      </c>
      <c r="AA26" s="17">
        <v>42359.479861111111</v>
      </c>
      <c r="AB26" s="18">
        <f t="shared" si="6"/>
        <v>2.9798611111109494</v>
      </c>
      <c r="AC26">
        <v>0.85899999999999999</v>
      </c>
      <c r="AD26">
        <v>2.39</v>
      </c>
      <c r="AE26" s="17">
        <v>42359.734027777777</v>
      </c>
      <c r="AF26" s="18">
        <f>AE26-C26</f>
        <v>3.234027777776646</v>
      </c>
      <c r="AG26">
        <v>0.877</v>
      </c>
      <c r="AH26">
        <v>36.94</v>
      </c>
      <c r="AI26" s="17">
        <v>42359.98333333333</v>
      </c>
      <c r="AJ26" s="18">
        <f>AI26-C26</f>
        <v>3.4833333333299379</v>
      </c>
      <c r="AK26">
        <v>1</v>
      </c>
      <c r="AL26">
        <v>50.09</v>
      </c>
      <c r="AM26" s="17">
        <v>42360.362500000003</v>
      </c>
      <c r="AN26" s="18">
        <f>AM26-C26</f>
        <v>3.8625000000029104</v>
      </c>
      <c r="AO26">
        <v>1.26</v>
      </c>
      <c r="AP26">
        <v>42.12</v>
      </c>
      <c r="AQ26" s="17">
        <v>42361.356249999997</v>
      </c>
      <c r="AR26" s="18">
        <f>AQ26-C26</f>
        <v>4.8562499999970896</v>
      </c>
      <c r="AS26">
        <v>1.05</v>
      </c>
      <c r="AT26">
        <v>6.87</v>
      </c>
      <c r="AU26" s="17">
        <v>42362.354166666664</v>
      </c>
      <c r="AV26" s="18">
        <f>AU26-C26</f>
        <v>5.8541666666642413</v>
      </c>
      <c r="AW26">
        <v>1</v>
      </c>
      <c r="AX26">
        <v>2.84</v>
      </c>
    </row>
    <row r="27" spans="1:54" x14ac:dyDescent="0.25">
      <c r="A27">
        <v>23</v>
      </c>
      <c r="B27" t="s">
        <v>101</v>
      </c>
      <c r="C27" s="17">
        <v>42353.666666666664</v>
      </c>
      <c r="D27">
        <v>2</v>
      </c>
      <c r="F27">
        <v>2</v>
      </c>
      <c r="G27" s="17">
        <v>42353.979166666664</v>
      </c>
      <c r="H27" s="18">
        <f t="shared" si="5"/>
        <v>0.3125</v>
      </c>
      <c r="I27">
        <v>0.01</v>
      </c>
      <c r="J27" s="11">
        <v>8.5416666666666655E-2</v>
      </c>
      <c r="K27" s="17">
        <v>42354.418055555558</v>
      </c>
      <c r="L27" s="18">
        <f t="shared" si="1"/>
        <v>0.75138888889341615</v>
      </c>
      <c r="M27">
        <v>0.01</v>
      </c>
      <c r="N27">
        <v>1.95</v>
      </c>
      <c r="O27" s="17">
        <v>42354.725694444445</v>
      </c>
      <c r="P27" s="18">
        <f t="shared" si="2"/>
        <v>1.0590277777810115</v>
      </c>
      <c r="Q27">
        <v>8.6999999999999994E-2</v>
      </c>
      <c r="R27">
        <v>4.16</v>
      </c>
      <c r="S27" s="17">
        <v>42355.397222222222</v>
      </c>
      <c r="T27" s="18">
        <f t="shared" si="3"/>
        <v>1.7305555555576575</v>
      </c>
      <c r="U27">
        <v>8.5000000000000006E-2</v>
      </c>
      <c r="V27">
        <v>7.01</v>
      </c>
      <c r="W27" s="17">
        <v>42356.421527777777</v>
      </c>
      <c r="X27" s="18">
        <f t="shared" si="4"/>
        <v>2.7548611111124046</v>
      </c>
      <c r="Y27">
        <v>0.108</v>
      </c>
      <c r="Z27">
        <v>3.07</v>
      </c>
      <c r="AA27" s="17">
        <v>42357.445833333331</v>
      </c>
      <c r="AB27" s="18">
        <f t="shared" si="6"/>
        <v>3.7791666666671517</v>
      </c>
      <c r="AC27">
        <v>9.2999999999999999E-2</v>
      </c>
      <c r="AD27">
        <v>2.46</v>
      </c>
      <c r="AE27" s="17">
        <v>42358.42291666667</v>
      </c>
      <c r="AF27" s="18">
        <f>AE27-C27</f>
        <v>4.7562500000058208</v>
      </c>
      <c r="AG27">
        <v>8.8999999999999996E-2</v>
      </c>
      <c r="AH27">
        <v>1.65</v>
      </c>
      <c r="AI27" s="17"/>
      <c r="AJ27" s="18"/>
      <c r="AN27" s="18"/>
      <c r="AU27" s="17"/>
    </row>
    <row r="28" spans="1:54" x14ac:dyDescent="0.25">
      <c r="A28">
        <v>24</v>
      </c>
      <c r="B28" t="s">
        <v>118</v>
      </c>
      <c r="C28" s="17">
        <v>42346.5</v>
      </c>
      <c r="D28">
        <v>2</v>
      </c>
      <c r="F28">
        <v>2</v>
      </c>
      <c r="G28" s="17">
        <v>42347.734722222223</v>
      </c>
      <c r="H28" s="18">
        <f t="shared" si="5"/>
        <v>1.234722222223354</v>
      </c>
      <c r="I28">
        <v>1.4E-2</v>
      </c>
      <c r="J28">
        <v>1.9</v>
      </c>
      <c r="K28" s="17">
        <v>42348.427083333336</v>
      </c>
      <c r="L28" s="18">
        <f t="shared" si="1"/>
        <v>1.9270833333357587</v>
      </c>
      <c r="M28">
        <v>1.2999999999999999E-2</v>
      </c>
      <c r="N28">
        <v>1.64</v>
      </c>
      <c r="O28" s="17">
        <v>42348.740972222222</v>
      </c>
      <c r="P28" s="18">
        <f t="shared" si="2"/>
        <v>2.2409722222218988</v>
      </c>
      <c r="Q28">
        <v>0.122</v>
      </c>
      <c r="R28">
        <v>6.78</v>
      </c>
      <c r="S28" s="17">
        <v>42349.384722222225</v>
      </c>
      <c r="T28" s="18">
        <f t="shared" si="3"/>
        <v>2.8847222222248092</v>
      </c>
      <c r="U28">
        <v>0.17599999999999999</v>
      </c>
      <c r="V28">
        <v>9.08</v>
      </c>
      <c r="W28" s="17">
        <v>42349.759722222225</v>
      </c>
      <c r="X28" s="18">
        <f t="shared" si="4"/>
        <v>3.2597222222248092</v>
      </c>
      <c r="Y28">
        <v>0.11</v>
      </c>
      <c r="Z28">
        <v>8.93</v>
      </c>
      <c r="AA28" s="17">
        <v>42350.432638888888</v>
      </c>
      <c r="AB28" s="18">
        <f t="shared" si="6"/>
        <v>3.9326388888875954</v>
      </c>
      <c r="AC28">
        <v>0.14099999999999999</v>
      </c>
      <c r="AD28">
        <v>5.31</v>
      </c>
      <c r="AE28" s="17">
        <v>42351.429861111108</v>
      </c>
      <c r="AF28" s="18">
        <f>AE28-C28</f>
        <v>4.929861111108039</v>
      </c>
      <c r="AG28">
        <v>0.154</v>
      </c>
      <c r="AH28">
        <v>2.6</v>
      </c>
      <c r="AI28" s="17">
        <v>42352.484027777777</v>
      </c>
      <c r="AJ28" s="18">
        <f>AI28-C28</f>
        <v>5.984027777776646</v>
      </c>
      <c r="AK28">
        <v>0.13500000000000001</v>
      </c>
      <c r="AL28">
        <v>2.85</v>
      </c>
      <c r="AN28" s="18"/>
    </row>
    <row r="29" spans="1:54" x14ac:dyDescent="0.25">
      <c r="A29">
        <v>25</v>
      </c>
      <c r="B29" t="s">
        <v>113</v>
      </c>
      <c r="C29" s="17">
        <v>42353.625</v>
      </c>
      <c r="D29">
        <v>1</v>
      </c>
      <c r="F29">
        <v>2</v>
      </c>
      <c r="G29" s="17">
        <v>42354.540972222225</v>
      </c>
      <c r="H29" s="18">
        <f t="shared" si="5"/>
        <v>0.91597222222480923</v>
      </c>
      <c r="I29">
        <v>0.13700000000000001</v>
      </c>
      <c r="J29">
        <v>9.6199999999999992</v>
      </c>
      <c r="K29" s="17">
        <v>42354.724999999999</v>
      </c>
      <c r="L29" s="18">
        <f t="shared" si="1"/>
        <v>1.0999999999985448</v>
      </c>
      <c r="M29">
        <v>0.11700000000000001</v>
      </c>
      <c r="N29">
        <v>7.18</v>
      </c>
      <c r="O29" s="17">
        <v>42355.397222222222</v>
      </c>
      <c r="P29" s="18">
        <f t="shared" si="2"/>
        <v>1.7722222222218988</v>
      </c>
      <c r="Q29">
        <v>0.12</v>
      </c>
      <c r="R29">
        <v>3.9</v>
      </c>
      <c r="S29" s="17">
        <v>42356.421527777777</v>
      </c>
      <c r="T29" s="18">
        <f t="shared" si="3"/>
        <v>2.796527777776646</v>
      </c>
      <c r="U29">
        <v>0.151</v>
      </c>
      <c r="V29">
        <v>2.21</v>
      </c>
      <c r="W29" s="17">
        <v>42357.45208333333</v>
      </c>
      <c r="X29" s="18">
        <f t="shared" si="4"/>
        <v>3.8270833333299379</v>
      </c>
      <c r="Y29">
        <v>0.14399999999999999</v>
      </c>
      <c r="Z29">
        <v>1.48</v>
      </c>
      <c r="AA29" s="17">
        <v>42358.42291666667</v>
      </c>
      <c r="AB29" s="18">
        <f t="shared" si="6"/>
        <v>4.7979166666700621</v>
      </c>
      <c r="AC29">
        <v>0.112</v>
      </c>
      <c r="AD29">
        <v>1.36</v>
      </c>
      <c r="AF29" s="18"/>
    </row>
    <row r="30" spans="1:54" x14ac:dyDescent="0.25">
      <c r="C30" s="17"/>
    </row>
    <row r="31" spans="1:54" x14ac:dyDescent="0.25">
      <c r="A31" t="s">
        <v>545</v>
      </c>
    </row>
    <row r="32" spans="1:54" x14ac:dyDescent="0.25">
      <c r="A32" t="s">
        <v>545</v>
      </c>
    </row>
    <row r="33" spans="1:1" x14ac:dyDescent="0.25">
      <c r="A33" t="s">
        <v>545</v>
      </c>
    </row>
    <row r="34" spans="1:1" x14ac:dyDescent="0.25">
      <c r="A34" t="s">
        <v>545</v>
      </c>
    </row>
    <row r="35" spans="1:1" x14ac:dyDescent="0.25">
      <c r="A35" t="s">
        <v>545</v>
      </c>
    </row>
    <row r="36" spans="1:1" x14ac:dyDescent="0.25">
      <c r="A36" t="s">
        <v>545</v>
      </c>
    </row>
    <row r="37" spans="1:1" x14ac:dyDescent="0.25">
      <c r="A37" t="s">
        <v>545</v>
      </c>
    </row>
    <row r="38" spans="1:1" x14ac:dyDescent="0.25">
      <c r="A38" t="s">
        <v>546</v>
      </c>
    </row>
    <row r="39" spans="1:1" x14ac:dyDescent="0.25">
      <c r="A39" t="s">
        <v>545</v>
      </c>
    </row>
    <row r="40" spans="1:1" x14ac:dyDescent="0.25">
      <c r="A40" t="s">
        <v>545</v>
      </c>
    </row>
    <row r="41" spans="1:1" x14ac:dyDescent="0.25">
      <c r="A41" t="s">
        <v>545</v>
      </c>
    </row>
    <row r="42" spans="1:1" x14ac:dyDescent="0.25">
      <c r="A42" t="s">
        <v>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STEMI</vt:lpstr>
      <vt:lpstr>NSTEMI</vt:lpstr>
      <vt:lpstr>STEMI_MODIF.</vt:lpstr>
      <vt:lpstr>cTnTvsCK-MB</vt:lpstr>
      <vt:lpstr>NSTEMI_MODIF.</vt:lpstr>
    </vt:vector>
  </TitlesOfParts>
  <Company>BlackMod Group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Nicola Cortese</cp:lastModifiedBy>
  <dcterms:created xsi:type="dcterms:W3CDTF">2015-12-09T18:10:59Z</dcterms:created>
  <dcterms:modified xsi:type="dcterms:W3CDTF">2025-03-05T16:35:40Z</dcterms:modified>
</cp:coreProperties>
</file>