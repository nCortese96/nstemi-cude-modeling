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nicol\PHD_Projects\MechanisticAI\MechanisticsAI_julia\data\"/>
    </mc:Choice>
  </mc:AlternateContent>
  <xr:revisionPtr revIDLastSave="0" documentId="13_ncr:1_{A63DCC56-5203-4DAD-A224-ADB1AABF5938}" xr6:coauthVersionLast="47" xr6:coauthVersionMax="47" xr10:uidLastSave="{00000000-0000-0000-0000-000000000000}"/>
  <bookViews>
    <workbookView xWindow="28680" yWindow="-4815" windowWidth="18240" windowHeight="28320" firstSheet="1" activeTab="3" xr2:uid="{00000000-000D-0000-FFFF-FFFF00000000}"/>
  </bookViews>
  <sheets>
    <sheet name="Description" sheetId="1" r:id="rId1"/>
    <sheet name="STEMI_times" sheetId="2" r:id="rId2"/>
    <sheet name="STEMI_values" sheetId="4" r:id="rId3"/>
    <sheet name="NSTEMI_times" sheetId="3" r:id="rId4"/>
    <sheet name="NSTEMI_values" sheetId="5" r:id="rId5"/>
    <sheet name="Deleted" sheetId="17" r:id="rId6"/>
    <sheet name="dt_2_NSTEMI working..." sheetId="6" r:id="rId7"/>
    <sheet name="dt2_STEMI_working" sheetId="12" r:id="rId8"/>
    <sheet name="CBRA NSTEMI working..." sheetId="7" r:id="rId9"/>
    <sheet name="n_cbra_times_1_working" sheetId="10" r:id="rId10"/>
    <sheet name="n_cbra_times_2_working" sheetId="11" r:id="rId11"/>
    <sheet name="CBRA STEMI working..." sheetId="15" r:id="rId12"/>
    <sheet name="dt3_STEMI" sheetId="1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K5" i="1"/>
  <c r="J5" i="1"/>
  <c r="I35" i="1"/>
  <c r="I7" i="1"/>
  <c r="D4" i="1"/>
  <c r="E4" i="1"/>
  <c r="I6" i="1" s="1"/>
  <c r="F4" i="1"/>
  <c r="C4" i="1"/>
  <c r="I17" i="1" l="1"/>
  <c r="I4" i="1"/>
  <c r="I18" i="1"/>
  <c r="I33" i="1"/>
  <c r="I31" i="1"/>
  <c r="I30" i="1"/>
  <c r="I36" i="1"/>
  <c r="I19" i="1"/>
  <c r="I15" i="1"/>
  <c r="I32" i="1"/>
  <c r="I27" i="1"/>
  <c r="I39" i="1"/>
  <c r="I11" i="1"/>
  <c r="I9" i="1"/>
  <c r="I28" i="1"/>
  <c r="I24" i="1"/>
  <c r="I23" i="1"/>
  <c r="I38" i="1"/>
  <c r="I37" i="1"/>
  <c r="I14" i="1"/>
  <c r="I21" i="1"/>
  <c r="I22" i="1"/>
  <c r="I20" i="1"/>
  <c r="I34" i="1"/>
  <c r="I29" i="1"/>
  <c r="I16" i="1"/>
  <c r="I26" i="1"/>
  <c r="I13" i="1"/>
  <c r="I5" i="1"/>
  <c r="I25" i="1"/>
  <c r="I12" i="1"/>
  <c r="I10" i="1"/>
  <c r="I8" i="1"/>
  <c r="I3" i="1"/>
  <c r="I2" i="1"/>
  <c r="C39" i="16"/>
  <c r="D39" i="16"/>
  <c r="E39" i="16"/>
  <c r="F39" i="16"/>
  <c r="G39" i="16"/>
  <c r="H39" i="16"/>
  <c r="I39" i="16"/>
  <c r="C40" i="16"/>
  <c r="D40" i="16"/>
  <c r="E40" i="16"/>
  <c r="F40" i="16"/>
  <c r="G40" i="16"/>
  <c r="H40" i="16"/>
  <c r="I40" i="16"/>
  <c r="J40" i="16"/>
  <c r="C41" i="16"/>
  <c r="D41" i="16"/>
  <c r="E41" i="16"/>
  <c r="F41" i="16"/>
  <c r="G41" i="16"/>
  <c r="H41" i="16"/>
  <c r="C42" i="16"/>
  <c r="D42" i="16"/>
  <c r="E42" i="16"/>
  <c r="F42" i="16"/>
  <c r="C43" i="16"/>
  <c r="D43" i="16"/>
  <c r="E43" i="16"/>
  <c r="F43" i="16"/>
  <c r="G43" i="16"/>
  <c r="H43" i="16"/>
  <c r="C44" i="16"/>
  <c r="D44" i="16"/>
  <c r="E44" i="16"/>
  <c r="F44" i="16"/>
  <c r="G44" i="16"/>
  <c r="H44" i="16"/>
  <c r="C45" i="16"/>
  <c r="D45" i="16"/>
  <c r="C46" i="16"/>
  <c r="D46" i="16"/>
  <c r="E46" i="16"/>
  <c r="F46" i="16"/>
  <c r="G46" i="16"/>
  <c r="C47" i="16"/>
  <c r="D47" i="16"/>
  <c r="E47" i="16"/>
  <c r="F47" i="16"/>
  <c r="G47" i="16"/>
  <c r="C48" i="16"/>
  <c r="D48" i="16"/>
  <c r="E48" i="16"/>
  <c r="F48" i="16"/>
  <c r="G48" i="16"/>
  <c r="H48" i="16"/>
  <c r="I48" i="16"/>
  <c r="C49" i="16"/>
  <c r="D49" i="16"/>
  <c r="E49" i="16"/>
  <c r="F49" i="16"/>
  <c r="G49" i="16"/>
  <c r="H49" i="16"/>
  <c r="I49" i="16"/>
  <c r="J49" i="16"/>
  <c r="C50" i="16"/>
  <c r="D50" i="16"/>
  <c r="E50" i="16"/>
  <c r="F50" i="16"/>
  <c r="G50" i="16"/>
  <c r="H50" i="16"/>
  <c r="I50" i="16"/>
  <c r="J50" i="16"/>
  <c r="K50" i="16"/>
  <c r="C51" i="16"/>
  <c r="D51" i="16"/>
  <c r="E51" i="16"/>
  <c r="F51" i="16"/>
  <c r="G51" i="16"/>
  <c r="H51" i="16"/>
  <c r="C52" i="16"/>
  <c r="D52" i="16"/>
  <c r="E52" i="16"/>
  <c r="F52" i="16"/>
  <c r="G52" i="16"/>
  <c r="H52" i="16"/>
  <c r="I52" i="16"/>
  <c r="J52" i="16"/>
  <c r="K52" i="16"/>
  <c r="C53" i="16"/>
  <c r="D53" i="16"/>
  <c r="E53" i="16"/>
  <c r="F53" i="16"/>
  <c r="G53" i="16"/>
  <c r="H53" i="16"/>
  <c r="I53" i="16"/>
  <c r="C54" i="16"/>
  <c r="D54" i="16"/>
  <c r="E54" i="16"/>
  <c r="F54" i="16"/>
  <c r="G54" i="16"/>
  <c r="H54" i="16"/>
  <c r="I54" i="16"/>
  <c r="J54" i="16"/>
  <c r="K54" i="16"/>
  <c r="L54" i="16"/>
  <c r="M54" i="16"/>
  <c r="N54" i="16"/>
  <c r="O54" i="16"/>
  <c r="C55" i="16"/>
  <c r="D55" i="16"/>
  <c r="E55" i="16"/>
  <c r="F55" i="16"/>
  <c r="G55" i="16"/>
  <c r="H55" i="16"/>
  <c r="C56" i="16"/>
  <c r="D56" i="16"/>
  <c r="E56" i="16"/>
  <c r="F56" i="16"/>
  <c r="G56" i="16"/>
  <c r="H56" i="16"/>
  <c r="I56" i="16"/>
  <c r="J56" i="16"/>
  <c r="K56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39" i="16"/>
  <c r="K51" i="15"/>
  <c r="Q99" i="15" s="1"/>
  <c r="Q147" i="15" s="1"/>
  <c r="K52" i="15"/>
  <c r="K100" i="15" s="1"/>
  <c r="K148" i="15" s="1"/>
  <c r="K53" i="15"/>
  <c r="P101" i="15" s="1"/>
  <c r="P149" i="15" s="1"/>
  <c r="K54" i="15"/>
  <c r="Q102" i="15" s="1"/>
  <c r="Q150" i="15" s="1"/>
  <c r="K55" i="15"/>
  <c r="K103" i="15" s="1"/>
  <c r="K151" i="15" s="1"/>
  <c r="K56" i="15"/>
  <c r="K104" i="15" s="1"/>
  <c r="K152" i="15" s="1"/>
  <c r="K57" i="15"/>
  <c r="K105" i="15" s="1"/>
  <c r="K153" i="15" s="1"/>
  <c r="K58" i="15"/>
  <c r="O106" i="15" s="1"/>
  <c r="O154" i="15" s="1"/>
  <c r="K59" i="15"/>
  <c r="L107" i="15" s="1"/>
  <c r="L155" i="15" s="1"/>
  <c r="K60" i="15"/>
  <c r="K61" i="15"/>
  <c r="K109" i="15" s="1"/>
  <c r="K157" i="15" s="1"/>
  <c r="K62" i="15"/>
  <c r="K110" i="15" s="1"/>
  <c r="K158" i="15" s="1"/>
  <c r="K63" i="15"/>
  <c r="P111" i="15" s="1"/>
  <c r="P159" i="15" s="1"/>
  <c r="K64" i="15"/>
  <c r="K112" i="15" s="1"/>
  <c r="K160" i="15" s="1"/>
  <c r="K65" i="15"/>
  <c r="L113" i="15" s="1"/>
  <c r="L161" i="15" s="1"/>
  <c r="K66" i="15"/>
  <c r="R114" i="15" s="1"/>
  <c r="R162" i="15" s="1"/>
  <c r="K67" i="15"/>
  <c r="K115" i="15" s="1"/>
  <c r="K163" i="15" s="1"/>
  <c r="K68" i="15"/>
  <c r="K116" i="15" s="1"/>
  <c r="K164" i="15" s="1"/>
  <c r="K69" i="15"/>
  <c r="O117" i="15" s="1"/>
  <c r="O165" i="15" s="1"/>
  <c r="K70" i="15"/>
  <c r="N118" i="15" s="1"/>
  <c r="N166" i="15" s="1"/>
  <c r="K71" i="15"/>
  <c r="O119" i="15" s="1"/>
  <c r="O167" i="15" s="1"/>
  <c r="K72" i="15"/>
  <c r="M120" i="15" s="1"/>
  <c r="M168" i="15" s="1"/>
  <c r="K73" i="15"/>
  <c r="S121" i="15" s="1"/>
  <c r="S169" i="15" s="1"/>
  <c r="K74" i="15"/>
  <c r="P122" i="15" s="1"/>
  <c r="P170" i="15" s="1"/>
  <c r="K75" i="15"/>
  <c r="T123" i="15" s="1"/>
  <c r="T171" i="15" s="1"/>
  <c r="K76" i="15"/>
  <c r="O124" i="15" s="1"/>
  <c r="O172" i="15" s="1"/>
  <c r="K77" i="15"/>
  <c r="S125" i="15" s="1"/>
  <c r="S173" i="15" s="1"/>
  <c r="K78" i="15"/>
  <c r="T126" i="15" s="1"/>
  <c r="T174" i="15" s="1"/>
  <c r="K79" i="15"/>
  <c r="K127" i="15" s="1"/>
  <c r="K175" i="15" s="1"/>
  <c r="K80" i="15"/>
  <c r="M128" i="15" s="1"/>
  <c r="M176" i="15" s="1"/>
  <c r="K81" i="15"/>
  <c r="O129" i="15" s="1"/>
  <c r="O177" i="15" s="1"/>
  <c r="K82" i="15"/>
  <c r="K130" i="15" s="1"/>
  <c r="K178" i="15" s="1"/>
  <c r="K83" i="15"/>
  <c r="K131" i="15" s="1"/>
  <c r="K179" i="15" s="1"/>
  <c r="K84" i="15"/>
  <c r="N132" i="15" s="1"/>
  <c r="N180" i="15" s="1"/>
  <c r="K85" i="15"/>
  <c r="T133" i="15" s="1"/>
  <c r="T181" i="15" s="1"/>
  <c r="K86" i="15"/>
  <c r="U134" i="15" s="1"/>
  <c r="U182" i="15" s="1"/>
  <c r="K87" i="15"/>
  <c r="L135" i="15" s="1"/>
  <c r="L183" i="15" s="1"/>
  <c r="K88" i="15"/>
  <c r="M136" i="15" s="1"/>
  <c r="M184" i="15" s="1"/>
  <c r="K89" i="15"/>
  <c r="Q137" i="15" s="1"/>
  <c r="Q185" i="15" s="1"/>
  <c r="K90" i="15"/>
  <c r="K138" i="15" s="1"/>
  <c r="K186" i="15" s="1"/>
  <c r="K91" i="15"/>
  <c r="M139" i="15" s="1"/>
  <c r="M187" i="15" s="1"/>
  <c r="K92" i="15"/>
  <c r="M140" i="15" s="1"/>
  <c r="M188" i="15" s="1"/>
  <c r="K93" i="15"/>
  <c r="R141" i="15" s="1"/>
  <c r="R189" i="15" s="1"/>
  <c r="K94" i="15"/>
  <c r="K142" i="15" s="1"/>
  <c r="K190" i="15" s="1"/>
  <c r="K95" i="15"/>
  <c r="K143" i="15" s="1"/>
  <c r="K191" i="15" s="1"/>
  <c r="K50" i="15"/>
  <c r="O98" i="15" s="1"/>
  <c r="O146" i="15" s="1"/>
  <c r="F56" i="15"/>
  <c r="F55" i="15"/>
  <c r="F54" i="15"/>
  <c r="F53" i="15"/>
  <c r="F52" i="15"/>
  <c r="F51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0" i="15"/>
  <c r="C30" i="12"/>
  <c r="O28" i="12"/>
  <c r="O35" i="12"/>
  <c r="N28" i="12"/>
  <c r="N35" i="12"/>
  <c r="M28" i="12"/>
  <c r="M34" i="12"/>
  <c r="M35" i="12"/>
  <c r="M45" i="12"/>
  <c r="M27" i="12"/>
  <c r="L28" i="12"/>
  <c r="L32" i="12"/>
  <c r="L34" i="12"/>
  <c r="L35" i="12"/>
  <c r="L45" i="12"/>
  <c r="L27" i="12"/>
  <c r="K28" i="12"/>
  <c r="K29" i="12"/>
  <c r="K32" i="12"/>
  <c r="K34" i="12"/>
  <c r="K35" i="12"/>
  <c r="K36" i="12"/>
  <c r="K37" i="12"/>
  <c r="K38" i="12"/>
  <c r="K45" i="12"/>
  <c r="K50" i="12"/>
  <c r="K27" i="12"/>
  <c r="J28" i="12"/>
  <c r="J29" i="12"/>
  <c r="J30" i="12"/>
  <c r="J31" i="12"/>
  <c r="J32" i="12"/>
  <c r="J34" i="12"/>
  <c r="J35" i="12"/>
  <c r="J36" i="12"/>
  <c r="J37" i="12"/>
  <c r="J38" i="12"/>
  <c r="J44" i="12"/>
  <c r="J45" i="12"/>
  <c r="J47" i="12"/>
  <c r="J50" i="12"/>
  <c r="J51" i="12"/>
  <c r="J27" i="12"/>
  <c r="I28" i="12"/>
  <c r="I29" i="12"/>
  <c r="I30" i="12"/>
  <c r="I31" i="12"/>
  <c r="I32" i="12"/>
  <c r="I34" i="12"/>
  <c r="I35" i="12"/>
  <c r="I36" i="12"/>
  <c r="I37" i="12"/>
  <c r="I38" i="12"/>
  <c r="I39" i="12"/>
  <c r="I41" i="12"/>
  <c r="I42" i="12"/>
  <c r="I44" i="12"/>
  <c r="I45" i="12"/>
  <c r="I47" i="12"/>
  <c r="I49" i="12"/>
  <c r="I50" i="12"/>
  <c r="I51" i="12"/>
  <c r="I27" i="12"/>
  <c r="H28" i="12"/>
  <c r="H29" i="12"/>
  <c r="H30" i="12"/>
  <c r="H31" i="12"/>
  <c r="H32" i="12"/>
  <c r="H34" i="12"/>
  <c r="H35" i="12"/>
  <c r="H36" i="12"/>
  <c r="H37" i="12"/>
  <c r="H38" i="12"/>
  <c r="H39" i="12"/>
  <c r="H40" i="12"/>
  <c r="H41" i="12"/>
  <c r="H42" i="12"/>
  <c r="H44" i="12"/>
  <c r="H45" i="12"/>
  <c r="H47" i="12"/>
  <c r="H48" i="12"/>
  <c r="H49" i="12"/>
  <c r="H50" i="12"/>
  <c r="H51" i="12"/>
  <c r="H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4" i="12"/>
  <c r="G45" i="12"/>
  <c r="G46" i="12"/>
  <c r="G47" i="12"/>
  <c r="G48" i="12"/>
  <c r="G49" i="12"/>
  <c r="G50" i="12"/>
  <c r="G51" i="12"/>
  <c r="G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27" i="12"/>
  <c r="C28" i="12"/>
  <c r="C29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27" i="12"/>
  <c r="B96" i="11"/>
  <c r="C96" i="11"/>
  <c r="D96" i="11"/>
  <c r="E96" i="11"/>
  <c r="F96" i="11"/>
  <c r="G96" i="11"/>
  <c r="H96" i="11"/>
  <c r="B97" i="11"/>
  <c r="C97" i="11"/>
  <c r="D97" i="11"/>
  <c r="E97" i="11"/>
  <c r="F97" i="11"/>
  <c r="G97" i="11"/>
  <c r="B98" i="11"/>
  <c r="C98" i="11"/>
  <c r="D98" i="11"/>
  <c r="E98" i="11"/>
  <c r="F98" i="11"/>
  <c r="G98" i="11"/>
  <c r="B99" i="11"/>
  <c r="C99" i="11"/>
  <c r="D99" i="11"/>
  <c r="E99" i="11"/>
  <c r="F99" i="11"/>
  <c r="G99" i="11"/>
  <c r="B100" i="11"/>
  <c r="C100" i="11"/>
  <c r="D100" i="11"/>
  <c r="E100" i="11"/>
  <c r="F100" i="11"/>
  <c r="G100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B102" i="11"/>
  <c r="C102" i="11"/>
  <c r="D102" i="11"/>
  <c r="E102" i="11"/>
  <c r="F102" i="11"/>
  <c r="G102" i="11"/>
  <c r="H102" i="11"/>
  <c r="I102" i="11"/>
  <c r="J102" i="11"/>
  <c r="B103" i="11"/>
  <c r="C103" i="11"/>
  <c r="D103" i="11"/>
  <c r="E103" i="11"/>
  <c r="F103" i="11"/>
  <c r="G103" i="11"/>
  <c r="H103" i="11"/>
  <c r="I103" i="11"/>
  <c r="B104" i="11"/>
  <c r="C104" i="11"/>
  <c r="D104" i="11"/>
  <c r="E104" i="11"/>
  <c r="F104" i="11"/>
  <c r="G104" i="11"/>
  <c r="H104" i="11"/>
  <c r="I104" i="11"/>
  <c r="B105" i="11"/>
  <c r="C105" i="11"/>
  <c r="D105" i="11"/>
  <c r="E105" i="11"/>
  <c r="F105" i="11"/>
  <c r="G105" i="11"/>
  <c r="H105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B107" i="11"/>
  <c r="C107" i="11"/>
  <c r="D107" i="11"/>
  <c r="E107" i="11"/>
  <c r="F107" i="11"/>
  <c r="G107" i="11"/>
  <c r="H107" i="11"/>
  <c r="I107" i="11"/>
  <c r="J107" i="11"/>
  <c r="K107" i="11"/>
  <c r="B108" i="11"/>
  <c r="C108" i="11"/>
  <c r="D108" i="11"/>
  <c r="E108" i="11"/>
  <c r="F108" i="11"/>
  <c r="B109" i="11"/>
  <c r="C109" i="11"/>
  <c r="D109" i="11"/>
  <c r="E109" i="11"/>
  <c r="F109" i="11"/>
  <c r="B110" i="11"/>
  <c r="C110" i="11"/>
  <c r="D110" i="11"/>
  <c r="E110" i="11"/>
  <c r="F110" i="11"/>
  <c r="G110" i="11"/>
  <c r="H110" i="11"/>
  <c r="B111" i="11"/>
  <c r="C111" i="11"/>
  <c r="D111" i="11"/>
  <c r="E111" i="11"/>
  <c r="F111" i="11"/>
  <c r="B112" i="11"/>
  <c r="C112" i="11"/>
  <c r="D112" i="11"/>
  <c r="E112" i="11"/>
  <c r="F112" i="11"/>
  <c r="G112" i="11"/>
  <c r="H112" i="11"/>
  <c r="I112" i="11"/>
  <c r="J112" i="11"/>
  <c r="K112" i="11"/>
  <c r="L112" i="11"/>
  <c r="B113" i="11"/>
  <c r="C113" i="11"/>
  <c r="D113" i="11"/>
  <c r="E113" i="11"/>
  <c r="F113" i="11"/>
  <c r="G113" i="11"/>
  <c r="H113" i="11"/>
  <c r="I113" i="11"/>
  <c r="J113" i="11"/>
  <c r="K113" i="11"/>
  <c r="L113" i="11"/>
  <c r="B114" i="11"/>
  <c r="C114" i="11"/>
  <c r="D114" i="11"/>
  <c r="E114" i="11"/>
  <c r="F114" i="11"/>
  <c r="G114" i="11"/>
  <c r="B115" i="11"/>
  <c r="C115" i="11"/>
  <c r="D115" i="11"/>
  <c r="E115" i="11"/>
  <c r="B116" i="11"/>
  <c r="C116" i="11"/>
  <c r="D116" i="11"/>
  <c r="E116" i="11"/>
  <c r="F116" i="11"/>
  <c r="G116" i="11"/>
  <c r="H116" i="11"/>
  <c r="I116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B118" i="11"/>
  <c r="C118" i="11"/>
  <c r="D118" i="11"/>
  <c r="E118" i="11"/>
  <c r="F118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B120" i="11"/>
  <c r="C120" i="11"/>
  <c r="D120" i="11"/>
  <c r="E120" i="11"/>
  <c r="F120" i="11"/>
  <c r="G120" i="11"/>
  <c r="H120" i="11"/>
  <c r="B121" i="11"/>
  <c r="C121" i="11"/>
  <c r="D121" i="11"/>
  <c r="E121" i="11"/>
  <c r="F121" i="11"/>
  <c r="G121" i="11"/>
  <c r="H121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B123" i="11"/>
  <c r="C123" i="11"/>
  <c r="D123" i="11"/>
  <c r="E123" i="11"/>
  <c r="F123" i="11"/>
  <c r="G123" i="11"/>
  <c r="H123" i="11"/>
  <c r="I123" i="11"/>
  <c r="J123" i="11"/>
  <c r="B124" i="11"/>
  <c r="C124" i="11"/>
  <c r="D124" i="11"/>
  <c r="E124" i="11"/>
  <c r="F124" i="11"/>
  <c r="G124" i="11"/>
  <c r="H124" i="11"/>
  <c r="I124" i="11"/>
  <c r="B125" i="11"/>
  <c r="C125" i="11"/>
  <c r="D125" i="11"/>
  <c r="E125" i="11"/>
  <c r="F125" i="11"/>
  <c r="G125" i="11"/>
  <c r="H125" i="11"/>
  <c r="B126" i="11"/>
  <c r="C126" i="11"/>
  <c r="D126" i="11"/>
  <c r="E126" i="11"/>
  <c r="F126" i="11"/>
  <c r="G126" i="11"/>
  <c r="H126" i="11"/>
  <c r="I126" i="11"/>
  <c r="J126" i="11"/>
  <c r="K126" i="11"/>
  <c r="B127" i="11"/>
  <c r="C127" i="11"/>
  <c r="D127" i="11"/>
  <c r="E127" i="11"/>
  <c r="F127" i="11"/>
  <c r="B128" i="11"/>
  <c r="C128" i="11"/>
  <c r="D128" i="11"/>
  <c r="E128" i="11"/>
  <c r="F128" i="11"/>
  <c r="G128" i="11"/>
  <c r="H128" i="11"/>
  <c r="B129" i="11"/>
  <c r="C129" i="11"/>
  <c r="D129" i="11"/>
  <c r="E129" i="11"/>
  <c r="F129" i="11"/>
  <c r="G129" i="11"/>
  <c r="H129" i="11"/>
  <c r="B130" i="11"/>
  <c r="C130" i="11"/>
  <c r="D130" i="11"/>
  <c r="E130" i="11"/>
  <c r="F130" i="11"/>
  <c r="G130" i="11"/>
  <c r="H130" i="11"/>
  <c r="I130" i="11"/>
  <c r="B131" i="11"/>
  <c r="C131" i="11"/>
  <c r="D131" i="11"/>
  <c r="E131" i="11"/>
  <c r="F131" i="11"/>
  <c r="G131" i="11"/>
  <c r="H131" i="11"/>
  <c r="I131" i="11"/>
  <c r="J131" i="11"/>
  <c r="B132" i="11"/>
  <c r="C132" i="11"/>
  <c r="D132" i="11"/>
  <c r="E132" i="11"/>
  <c r="F132" i="11"/>
  <c r="B133" i="11"/>
  <c r="C133" i="11"/>
  <c r="D133" i="11"/>
  <c r="E133" i="11"/>
  <c r="F133" i="11"/>
  <c r="B134" i="11"/>
  <c r="C134" i="11"/>
  <c r="D134" i="11"/>
  <c r="E134" i="11"/>
  <c r="F134" i="11"/>
  <c r="G134" i="11"/>
  <c r="H134" i="11"/>
  <c r="B135" i="11"/>
  <c r="C135" i="11"/>
  <c r="D135" i="11"/>
  <c r="E135" i="11"/>
  <c r="F135" i="11"/>
  <c r="B136" i="11"/>
  <c r="C136" i="11"/>
  <c r="D136" i="11"/>
  <c r="E136" i="11"/>
  <c r="F136" i="11"/>
  <c r="G136" i="11"/>
  <c r="H136" i="11"/>
  <c r="I136" i="11"/>
  <c r="B137" i="11"/>
  <c r="C137" i="11"/>
  <c r="D137" i="11"/>
  <c r="E137" i="11"/>
  <c r="F137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B139" i="11"/>
  <c r="C139" i="11"/>
  <c r="D139" i="11"/>
  <c r="E139" i="11"/>
  <c r="F139" i="11"/>
  <c r="G139" i="11"/>
  <c r="H139" i="11"/>
  <c r="C95" i="11"/>
  <c r="D95" i="11"/>
  <c r="E95" i="11"/>
  <c r="F95" i="11"/>
  <c r="G95" i="11"/>
  <c r="H95" i="11"/>
  <c r="I95" i="11"/>
  <c r="B50" i="11"/>
  <c r="C50" i="11"/>
  <c r="D50" i="11"/>
  <c r="E50" i="11"/>
  <c r="F50" i="11"/>
  <c r="G50" i="11"/>
  <c r="H50" i="11"/>
  <c r="B51" i="11"/>
  <c r="C51" i="11"/>
  <c r="D51" i="11"/>
  <c r="E51" i="11"/>
  <c r="F51" i="11"/>
  <c r="G51" i="11"/>
  <c r="B52" i="11"/>
  <c r="C52" i="11"/>
  <c r="D52" i="11"/>
  <c r="E52" i="11"/>
  <c r="F52" i="11"/>
  <c r="G52" i="11"/>
  <c r="B53" i="11"/>
  <c r="C53" i="11"/>
  <c r="D53" i="11"/>
  <c r="E53" i="11"/>
  <c r="F53" i="11"/>
  <c r="G53" i="11"/>
  <c r="B54" i="11"/>
  <c r="C54" i="11"/>
  <c r="D54" i="11"/>
  <c r="E54" i="11"/>
  <c r="F54" i="11"/>
  <c r="G54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B56" i="11"/>
  <c r="C56" i="11"/>
  <c r="D56" i="11"/>
  <c r="E56" i="11"/>
  <c r="F56" i="11"/>
  <c r="G56" i="11"/>
  <c r="H56" i="11"/>
  <c r="I56" i="11"/>
  <c r="J56" i="11"/>
  <c r="B57" i="11"/>
  <c r="C57" i="11"/>
  <c r="D57" i="11"/>
  <c r="E57" i="11"/>
  <c r="F57" i="11"/>
  <c r="G57" i="11"/>
  <c r="H57" i="11"/>
  <c r="I57" i="11"/>
  <c r="B58" i="11"/>
  <c r="C58" i="11"/>
  <c r="D58" i="11"/>
  <c r="E58" i="11"/>
  <c r="F58" i="11"/>
  <c r="G58" i="11"/>
  <c r="H58" i="11"/>
  <c r="I58" i="11"/>
  <c r="B59" i="11"/>
  <c r="C59" i="11"/>
  <c r="D59" i="11"/>
  <c r="E59" i="11"/>
  <c r="F59" i="11"/>
  <c r="G59" i="11"/>
  <c r="H59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B61" i="11"/>
  <c r="C61" i="11"/>
  <c r="D61" i="11"/>
  <c r="E61" i="11"/>
  <c r="F61" i="11"/>
  <c r="G61" i="11"/>
  <c r="H61" i="11"/>
  <c r="I61" i="11"/>
  <c r="J61" i="11"/>
  <c r="K61" i="11"/>
  <c r="B62" i="11"/>
  <c r="C62" i="11"/>
  <c r="D62" i="11"/>
  <c r="E62" i="11"/>
  <c r="F62" i="11"/>
  <c r="B63" i="11"/>
  <c r="C63" i="11"/>
  <c r="D63" i="11"/>
  <c r="E63" i="11"/>
  <c r="F63" i="11"/>
  <c r="B64" i="11"/>
  <c r="C64" i="11"/>
  <c r="D64" i="11"/>
  <c r="E64" i="11"/>
  <c r="F64" i="11"/>
  <c r="G64" i="11"/>
  <c r="H64" i="11"/>
  <c r="B65" i="11"/>
  <c r="C65" i="11"/>
  <c r="D65" i="11"/>
  <c r="E65" i="11"/>
  <c r="F65" i="11"/>
  <c r="B66" i="11"/>
  <c r="C66" i="11"/>
  <c r="D66" i="11"/>
  <c r="E66" i="11"/>
  <c r="F66" i="11"/>
  <c r="G66" i="11"/>
  <c r="H66" i="11"/>
  <c r="I66" i="11"/>
  <c r="J66" i="11"/>
  <c r="K66" i="11"/>
  <c r="L66" i="11"/>
  <c r="B67" i="11"/>
  <c r="C67" i="11"/>
  <c r="D67" i="11"/>
  <c r="E67" i="11"/>
  <c r="F67" i="11"/>
  <c r="G67" i="11"/>
  <c r="H67" i="11"/>
  <c r="I67" i="11"/>
  <c r="J67" i="11"/>
  <c r="K67" i="11"/>
  <c r="L67" i="11"/>
  <c r="B68" i="11"/>
  <c r="C68" i="11"/>
  <c r="D68" i="11"/>
  <c r="E68" i="11"/>
  <c r="F68" i="11"/>
  <c r="G68" i="11"/>
  <c r="B69" i="11"/>
  <c r="C69" i="11"/>
  <c r="D69" i="11"/>
  <c r="E69" i="11"/>
  <c r="B70" i="11"/>
  <c r="C70" i="11"/>
  <c r="D70" i="11"/>
  <c r="E70" i="11"/>
  <c r="F70" i="11"/>
  <c r="G70" i="11"/>
  <c r="H70" i="11"/>
  <c r="I70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B72" i="11"/>
  <c r="C72" i="11"/>
  <c r="D72" i="11"/>
  <c r="E72" i="11"/>
  <c r="F72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B74" i="11"/>
  <c r="C74" i="11"/>
  <c r="D74" i="11"/>
  <c r="E74" i="11"/>
  <c r="F74" i="11"/>
  <c r="G74" i="11"/>
  <c r="H74" i="11"/>
  <c r="B75" i="11"/>
  <c r="C75" i="11"/>
  <c r="D75" i="11"/>
  <c r="E75" i="11"/>
  <c r="F75" i="11"/>
  <c r="G75" i="11"/>
  <c r="H75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B77" i="11"/>
  <c r="C77" i="11"/>
  <c r="D77" i="11"/>
  <c r="E77" i="11"/>
  <c r="F77" i="11"/>
  <c r="G77" i="11"/>
  <c r="H77" i="11"/>
  <c r="I77" i="11"/>
  <c r="J77" i="11"/>
  <c r="B78" i="11"/>
  <c r="C78" i="11"/>
  <c r="D78" i="11"/>
  <c r="E78" i="11"/>
  <c r="F78" i="11"/>
  <c r="G78" i="11"/>
  <c r="H78" i="11"/>
  <c r="I78" i="11"/>
  <c r="B79" i="11"/>
  <c r="C79" i="11"/>
  <c r="D79" i="11"/>
  <c r="E79" i="11"/>
  <c r="F79" i="11"/>
  <c r="G79" i="11"/>
  <c r="H79" i="11"/>
  <c r="B80" i="11"/>
  <c r="C80" i="11"/>
  <c r="D80" i="11"/>
  <c r="E80" i="11"/>
  <c r="F80" i="11"/>
  <c r="G80" i="11"/>
  <c r="H80" i="11"/>
  <c r="I80" i="11"/>
  <c r="J80" i="11"/>
  <c r="K80" i="11"/>
  <c r="B81" i="11"/>
  <c r="C81" i="11"/>
  <c r="D81" i="11"/>
  <c r="E81" i="11"/>
  <c r="F81" i="11"/>
  <c r="B82" i="11"/>
  <c r="C82" i="11"/>
  <c r="D82" i="11"/>
  <c r="E82" i="11"/>
  <c r="F82" i="11"/>
  <c r="G82" i="11"/>
  <c r="H82" i="11"/>
  <c r="B83" i="11"/>
  <c r="C83" i="11"/>
  <c r="D83" i="11"/>
  <c r="E83" i="11"/>
  <c r="F83" i="11"/>
  <c r="G83" i="11"/>
  <c r="H83" i="11"/>
  <c r="B84" i="11"/>
  <c r="C84" i="11"/>
  <c r="D84" i="11"/>
  <c r="E84" i="11"/>
  <c r="F84" i="11"/>
  <c r="G84" i="11"/>
  <c r="H84" i="11"/>
  <c r="I84" i="11"/>
  <c r="B85" i="11"/>
  <c r="C85" i="11"/>
  <c r="D85" i="11"/>
  <c r="E85" i="11"/>
  <c r="F85" i="11"/>
  <c r="G85" i="11"/>
  <c r="H85" i="11"/>
  <c r="I85" i="11"/>
  <c r="J85" i="11"/>
  <c r="B86" i="11"/>
  <c r="C86" i="11"/>
  <c r="D86" i="11"/>
  <c r="E86" i="11"/>
  <c r="F86" i="11"/>
  <c r="B87" i="11"/>
  <c r="C87" i="11"/>
  <c r="D87" i="11"/>
  <c r="E87" i="11"/>
  <c r="F87" i="11"/>
  <c r="B88" i="11"/>
  <c r="C88" i="11"/>
  <c r="D88" i="11"/>
  <c r="E88" i="11"/>
  <c r="F88" i="11"/>
  <c r="G88" i="11"/>
  <c r="H88" i="11"/>
  <c r="B89" i="11"/>
  <c r="C89" i="11"/>
  <c r="D89" i="11"/>
  <c r="E89" i="11"/>
  <c r="F89" i="11"/>
  <c r="B90" i="11"/>
  <c r="C90" i="11"/>
  <c r="D90" i="11"/>
  <c r="E90" i="11"/>
  <c r="F90" i="11"/>
  <c r="G90" i="11"/>
  <c r="H90" i="11"/>
  <c r="I90" i="11"/>
  <c r="B91" i="11"/>
  <c r="C91" i="11"/>
  <c r="D91" i="11"/>
  <c r="E91" i="11"/>
  <c r="F91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B93" i="11"/>
  <c r="C93" i="11"/>
  <c r="D93" i="11"/>
  <c r="E93" i="11"/>
  <c r="F93" i="11"/>
  <c r="G93" i="11"/>
  <c r="H93" i="11"/>
  <c r="C49" i="11"/>
  <c r="D49" i="11"/>
  <c r="E49" i="11"/>
  <c r="F49" i="11"/>
  <c r="G49" i="11"/>
  <c r="H49" i="11"/>
  <c r="I49" i="11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2" i="11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Z38" i="6"/>
  <c r="Z44" i="6"/>
  <c r="X38" i="6"/>
  <c r="X44" i="6"/>
  <c r="X50" i="6"/>
  <c r="V38" i="6"/>
  <c r="V39" i="6"/>
  <c r="V40" i="6"/>
  <c r="V44" i="6"/>
  <c r="V48" i="6"/>
  <c r="V50" i="6"/>
  <c r="T33" i="6"/>
  <c r="T38" i="6"/>
  <c r="T39" i="6"/>
  <c r="T40" i="6"/>
  <c r="T44" i="6"/>
  <c r="T48" i="6"/>
  <c r="T50" i="6"/>
  <c r="R33" i="6"/>
  <c r="R34" i="6"/>
  <c r="R38" i="6"/>
  <c r="R39" i="6"/>
  <c r="R40" i="6"/>
  <c r="R41" i="6"/>
  <c r="R42" i="6"/>
  <c r="R43" i="6"/>
  <c r="R44" i="6"/>
  <c r="R46" i="6"/>
  <c r="R48" i="6"/>
  <c r="R50" i="6"/>
  <c r="R52" i="6"/>
  <c r="P33" i="6"/>
  <c r="P34" i="6"/>
  <c r="P38" i="6"/>
  <c r="P39" i="6"/>
  <c r="P40" i="6"/>
  <c r="P41" i="6"/>
  <c r="P42" i="6"/>
  <c r="P43" i="6"/>
  <c r="P44" i="6"/>
  <c r="P45" i="6"/>
  <c r="P46" i="6"/>
  <c r="P47" i="6"/>
  <c r="P48" i="6"/>
  <c r="P50" i="6"/>
  <c r="P51" i="6"/>
  <c r="P52" i="6"/>
  <c r="N32" i="6"/>
  <c r="N33" i="6"/>
  <c r="N34" i="6"/>
  <c r="N35" i="6"/>
  <c r="N36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29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29" i="6"/>
  <c r="O122" i="15" l="1"/>
  <c r="O170" i="15" s="1"/>
  <c r="N122" i="15"/>
  <c r="N170" i="15" s="1"/>
  <c r="M122" i="15"/>
  <c r="M170" i="15" s="1"/>
  <c r="U143" i="15"/>
  <c r="U191" i="15" s="1"/>
  <c r="X123" i="15"/>
  <c r="X171" i="15" s="1"/>
  <c r="M101" i="15"/>
  <c r="M149" i="15" s="1"/>
  <c r="T122" i="15"/>
  <c r="T170" i="15" s="1"/>
  <c r="S122" i="15"/>
  <c r="S170" i="15" s="1"/>
  <c r="R122" i="15"/>
  <c r="R170" i="15" s="1"/>
  <c r="Q122" i="15"/>
  <c r="Q170" i="15" s="1"/>
  <c r="O141" i="15"/>
  <c r="O189" i="15" s="1"/>
  <c r="P119" i="15"/>
  <c r="P167" i="15" s="1"/>
  <c r="R138" i="15"/>
  <c r="R186" i="15" s="1"/>
  <c r="N119" i="15"/>
  <c r="N167" i="15" s="1"/>
  <c r="N137" i="15"/>
  <c r="N185" i="15" s="1"/>
  <c r="M119" i="15"/>
  <c r="M167" i="15" s="1"/>
  <c r="X131" i="15"/>
  <c r="X179" i="15" s="1"/>
  <c r="L119" i="15"/>
  <c r="L167" i="15" s="1"/>
  <c r="V131" i="15"/>
  <c r="V179" i="15" s="1"/>
  <c r="L117" i="15"/>
  <c r="L165" i="15" s="1"/>
  <c r="U131" i="15"/>
  <c r="U179" i="15" s="1"/>
  <c r="O114" i="15"/>
  <c r="O162" i="15" s="1"/>
  <c r="T131" i="15"/>
  <c r="T179" i="15" s="1"/>
  <c r="M111" i="15"/>
  <c r="M159" i="15" s="1"/>
  <c r="L131" i="15"/>
  <c r="L179" i="15" s="1"/>
  <c r="P107" i="15"/>
  <c r="P155" i="15" s="1"/>
  <c r="AA143" i="15"/>
  <c r="AA191" i="15" s="1"/>
  <c r="L129" i="15"/>
  <c r="L177" i="15" s="1"/>
  <c r="M107" i="15"/>
  <c r="M155" i="15" s="1"/>
  <c r="Y143" i="15"/>
  <c r="Y191" i="15" s="1"/>
  <c r="P125" i="15"/>
  <c r="P173" i="15" s="1"/>
  <c r="N102" i="15"/>
  <c r="N150" i="15" s="1"/>
  <c r="O143" i="15"/>
  <c r="O191" i="15" s="1"/>
  <c r="Q119" i="15"/>
  <c r="Q167" i="15" s="1"/>
  <c r="P99" i="15"/>
  <c r="P147" i="15" s="1"/>
  <c r="K135" i="15"/>
  <c r="K183" i="15" s="1"/>
  <c r="R123" i="15"/>
  <c r="R171" i="15" s="1"/>
  <c r="T143" i="15"/>
  <c r="T191" i="15" s="1"/>
  <c r="R134" i="15"/>
  <c r="R182" i="15" s="1"/>
  <c r="Q130" i="15"/>
  <c r="Q178" i="15" s="1"/>
  <c r="Q123" i="15"/>
  <c r="Q171" i="15" s="1"/>
  <c r="S115" i="15"/>
  <c r="S163" i="15" s="1"/>
  <c r="K107" i="15"/>
  <c r="K155" i="15" s="1"/>
  <c r="Q133" i="15"/>
  <c r="Q181" i="15" s="1"/>
  <c r="L123" i="15"/>
  <c r="L171" i="15" s="1"/>
  <c r="X106" i="15"/>
  <c r="X154" i="15" s="1"/>
  <c r="M143" i="15"/>
  <c r="M191" i="15" s="1"/>
  <c r="S127" i="15"/>
  <c r="S175" i="15" s="1"/>
  <c r="Q112" i="15"/>
  <c r="Q160" i="15" s="1"/>
  <c r="L106" i="15"/>
  <c r="L154" i="15" s="1"/>
  <c r="L143" i="15"/>
  <c r="L191" i="15" s="1"/>
  <c r="AA131" i="15"/>
  <c r="AA179" i="15" s="1"/>
  <c r="Q126" i="15"/>
  <c r="Q174" i="15" s="1"/>
  <c r="P121" i="15"/>
  <c r="P169" i="15" s="1"/>
  <c r="R111" i="15"/>
  <c r="R159" i="15" s="1"/>
  <c r="T104" i="15"/>
  <c r="T152" i="15" s="1"/>
  <c r="Q142" i="15"/>
  <c r="Q190" i="15" s="1"/>
  <c r="Y131" i="15"/>
  <c r="Y179" i="15" s="1"/>
  <c r="AB125" i="15"/>
  <c r="AB173" i="15" s="1"/>
  <c r="S119" i="15"/>
  <c r="S167" i="15" s="1"/>
  <c r="Q111" i="15"/>
  <c r="Q159" i="15" s="1"/>
  <c r="S103" i="15"/>
  <c r="S151" i="15" s="1"/>
  <c r="O111" i="15"/>
  <c r="O159" i="15" s="1"/>
  <c r="V139" i="15"/>
  <c r="V187" i="15" s="1"/>
  <c r="L124" i="15"/>
  <c r="L172" i="15" s="1"/>
  <c r="N111" i="15"/>
  <c r="N159" i="15" s="1"/>
  <c r="V123" i="15"/>
  <c r="V171" i="15" s="1"/>
  <c r="Q109" i="15"/>
  <c r="Q157" i="15" s="1"/>
  <c r="O99" i="15"/>
  <c r="O147" i="15" s="1"/>
  <c r="X143" i="15"/>
  <c r="X191" i="15" s="1"/>
  <c r="R135" i="15"/>
  <c r="R183" i="15" s="1"/>
  <c r="O131" i="15"/>
  <c r="O179" i="15" s="1"/>
  <c r="U123" i="15"/>
  <c r="U171" i="15" s="1"/>
  <c r="N99" i="15"/>
  <c r="N147" i="15" s="1"/>
  <c r="V143" i="15"/>
  <c r="V191" i="15" s="1"/>
  <c r="M135" i="15"/>
  <c r="M183" i="15" s="1"/>
  <c r="M131" i="15"/>
  <c r="M179" i="15" s="1"/>
  <c r="S123" i="15"/>
  <c r="S171" i="15" s="1"/>
  <c r="K118" i="15"/>
  <c r="K166" i="15" s="1"/>
  <c r="N107" i="15"/>
  <c r="N155" i="15" s="1"/>
  <c r="N108" i="15"/>
  <c r="N156" i="15" s="1"/>
  <c r="O108" i="15"/>
  <c r="O156" i="15" s="1"/>
  <c r="P108" i="15"/>
  <c r="P156" i="15" s="1"/>
  <c r="L108" i="15"/>
  <c r="L156" i="15" s="1"/>
  <c r="M108" i="15"/>
  <c r="M156" i="15" s="1"/>
  <c r="L98" i="15"/>
  <c r="L146" i="15" s="1"/>
  <c r="M98" i="15"/>
  <c r="M146" i="15" s="1"/>
  <c r="N98" i="15"/>
  <c r="N146" i="15" s="1"/>
  <c r="P98" i="15"/>
  <c r="P146" i="15" s="1"/>
  <c r="K98" i="15"/>
  <c r="K146" i="15" s="1"/>
  <c r="K108" i="15"/>
  <c r="K156" i="15" s="1"/>
  <c r="P120" i="15"/>
  <c r="P168" i="15" s="1"/>
  <c r="Q120" i="15"/>
  <c r="Q168" i="15" s="1"/>
  <c r="R120" i="15"/>
  <c r="R168" i="15" s="1"/>
  <c r="S120" i="15"/>
  <c r="S168" i="15" s="1"/>
  <c r="K120" i="15"/>
  <c r="K168" i="15" s="1"/>
  <c r="L120" i="15"/>
  <c r="L168" i="15" s="1"/>
  <c r="N120" i="15"/>
  <c r="N168" i="15" s="1"/>
  <c r="O120" i="15"/>
  <c r="O168" i="15" s="1"/>
  <c r="Q132" i="15"/>
  <c r="Q180" i="15" s="1"/>
  <c r="R132" i="15"/>
  <c r="R180" i="15" s="1"/>
  <c r="S132" i="15"/>
  <c r="S180" i="15" s="1"/>
  <c r="K132" i="15"/>
  <c r="K180" i="15" s="1"/>
  <c r="L132" i="15"/>
  <c r="L180" i="15" s="1"/>
  <c r="M132" i="15"/>
  <c r="M180" i="15" s="1"/>
  <c r="O132" i="15"/>
  <c r="O180" i="15" s="1"/>
  <c r="P132" i="15"/>
  <c r="P180" i="15" s="1"/>
  <c r="S142" i="15"/>
  <c r="S190" i="15" s="1"/>
  <c r="Q141" i="15"/>
  <c r="Q189" i="15" s="1"/>
  <c r="L140" i="15"/>
  <c r="L188" i="15" s="1"/>
  <c r="L139" i="15"/>
  <c r="L187" i="15" s="1"/>
  <c r="P137" i="15"/>
  <c r="P185" i="15" s="1"/>
  <c r="L136" i="15"/>
  <c r="L184" i="15" s="1"/>
  <c r="T134" i="15"/>
  <c r="T182" i="15" s="1"/>
  <c r="S133" i="15"/>
  <c r="S181" i="15" s="1"/>
  <c r="S130" i="15"/>
  <c r="S178" i="15" s="1"/>
  <c r="N129" i="15"/>
  <c r="N177" i="15" s="1"/>
  <c r="L128" i="15"/>
  <c r="L176" i="15" s="1"/>
  <c r="S126" i="15"/>
  <c r="S174" i="15" s="1"/>
  <c r="AD125" i="15"/>
  <c r="AD173" i="15" s="1"/>
  <c r="R125" i="15"/>
  <c r="R173" i="15" s="1"/>
  <c r="N124" i="15"/>
  <c r="N172" i="15" s="1"/>
  <c r="R121" i="15"/>
  <c r="R169" i="15" s="1"/>
  <c r="M118" i="15"/>
  <c r="M166" i="15" s="1"/>
  <c r="N117" i="15"/>
  <c r="N165" i="15" s="1"/>
  <c r="U115" i="15"/>
  <c r="U163" i="15" s="1"/>
  <c r="Q114" i="15"/>
  <c r="Q162" i="15" s="1"/>
  <c r="K113" i="15"/>
  <c r="K161" i="15" s="1"/>
  <c r="S109" i="15"/>
  <c r="S157" i="15" s="1"/>
  <c r="N106" i="15"/>
  <c r="N154" i="15" s="1"/>
  <c r="V104" i="15"/>
  <c r="V152" i="15" s="1"/>
  <c r="U103" i="15"/>
  <c r="U151" i="15" s="1"/>
  <c r="P102" i="15"/>
  <c r="P150" i="15" s="1"/>
  <c r="O101" i="15"/>
  <c r="O149" i="15" s="1"/>
  <c r="R142" i="15"/>
  <c r="R190" i="15" s="1"/>
  <c r="P141" i="15"/>
  <c r="P189" i="15" s="1"/>
  <c r="K140" i="15"/>
  <c r="K188" i="15" s="1"/>
  <c r="K139" i="15"/>
  <c r="K187" i="15" s="1"/>
  <c r="O137" i="15"/>
  <c r="O185" i="15" s="1"/>
  <c r="K136" i="15"/>
  <c r="K184" i="15" s="1"/>
  <c r="S134" i="15"/>
  <c r="S182" i="15" s="1"/>
  <c r="R133" i="15"/>
  <c r="R181" i="15" s="1"/>
  <c r="R130" i="15"/>
  <c r="R178" i="15" s="1"/>
  <c r="M129" i="15"/>
  <c r="M177" i="15" s="1"/>
  <c r="K128" i="15"/>
  <c r="K176" i="15" s="1"/>
  <c r="R126" i="15"/>
  <c r="R174" i="15" s="1"/>
  <c r="AC125" i="15"/>
  <c r="AC173" i="15" s="1"/>
  <c r="Q125" i="15"/>
  <c r="Q173" i="15" s="1"/>
  <c r="M124" i="15"/>
  <c r="M172" i="15" s="1"/>
  <c r="Q121" i="15"/>
  <c r="Q169" i="15" s="1"/>
  <c r="L118" i="15"/>
  <c r="L166" i="15" s="1"/>
  <c r="M117" i="15"/>
  <c r="M165" i="15" s="1"/>
  <c r="T115" i="15"/>
  <c r="T163" i="15" s="1"/>
  <c r="P114" i="15"/>
  <c r="P162" i="15" s="1"/>
  <c r="R112" i="15"/>
  <c r="R160" i="15" s="1"/>
  <c r="R109" i="15"/>
  <c r="R157" i="15" s="1"/>
  <c r="Y106" i="15"/>
  <c r="Y154" i="15" s="1"/>
  <c r="M106" i="15"/>
  <c r="M154" i="15" s="1"/>
  <c r="U104" i="15"/>
  <c r="U152" i="15" s="1"/>
  <c r="T103" i="15"/>
  <c r="T151" i="15" s="1"/>
  <c r="O102" i="15"/>
  <c r="O150" i="15" s="1"/>
  <c r="N101" i="15"/>
  <c r="N149" i="15" s="1"/>
  <c r="S143" i="15"/>
  <c r="S191" i="15" s="1"/>
  <c r="P142" i="15"/>
  <c r="P190" i="15" s="1"/>
  <c r="N141" i="15"/>
  <c r="N189" i="15" s="1"/>
  <c r="U139" i="15"/>
  <c r="U187" i="15" s="1"/>
  <c r="Q138" i="15"/>
  <c r="Q186" i="15" s="1"/>
  <c r="M137" i="15"/>
  <c r="M185" i="15" s="1"/>
  <c r="Q135" i="15"/>
  <c r="Q183" i="15" s="1"/>
  <c r="Q134" i="15"/>
  <c r="Q182" i="15" s="1"/>
  <c r="P133" i="15"/>
  <c r="P181" i="15" s="1"/>
  <c r="S131" i="15"/>
  <c r="S179" i="15" s="1"/>
  <c r="P130" i="15"/>
  <c r="P178" i="15" s="1"/>
  <c r="K129" i="15"/>
  <c r="K177" i="15" s="1"/>
  <c r="R127" i="15"/>
  <c r="R175" i="15" s="1"/>
  <c r="P126" i="15"/>
  <c r="P174" i="15" s="1"/>
  <c r="AA125" i="15"/>
  <c r="AA173" i="15" s="1"/>
  <c r="O125" i="15"/>
  <c r="O173" i="15" s="1"/>
  <c r="K124" i="15"/>
  <c r="K172" i="15" s="1"/>
  <c r="P123" i="15"/>
  <c r="P171" i="15" s="1"/>
  <c r="O121" i="15"/>
  <c r="O169" i="15" s="1"/>
  <c r="K119" i="15"/>
  <c r="K167" i="15" s="1"/>
  <c r="W117" i="15"/>
  <c r="W165" i="15" s="1"/>
  <c r="K117" i="15"/>
  <c r="K165" i="15" s="1"/>
  <c r="R115" i="15"/>
  <c r="R163" i="15" s="1"/>
  <c r="N114" i="15"/>
  <c r="N162" i="15" s="1"/>
  <c r="P112" i="15"/>
  <c r="P160" i="15" s="1"/>
  <c r="L111" i="15"/>
  <c r="L159" i="15" s="1"/>
  <c r="P109" i="15"/>
  <c r="P157" i="15" s="1"/>
  <c r="T107" i="15"/>
  <c r="T155" i="15" s="1"/>
  <c r="W106" i="15"/>
  <c r="W154" i="15" s="1"/>
  <c r="K106" i="15"/>
  <c r="K154" i="15" s="1"/>
  <c r="S104" i="15"/>
  <c r="S152" i="15" s="1"/>
  <c r="R103" i="15"/>
  <c r="R151" i="15" s="1"/>
  <c r="M102" i="15"/>
  <c r="M150" i="15" s="1"/>
  <c r="L101" i="15"/>
  <c r="L149" i="15" s="1"/>
  <c r="M99" i="15"/>
  <c r="M147" i="15" s="1"/>
  <c r="R143" i="15"/>
  <c r="R191" i="15" s="1"/>
  <c r="O142" i="15"/>
  <c r="O190" i="15" s="1"/>
  <c r="M141" i="15"/>
  <c r="M189" i="15" s="1"/>
  <c r="T139" i="15"/>
  <c r="T187" i="15" s="1"/>
  <c r="P138" i="15"/>
  <c r="P186" i="15" s="1"/>
  <c r="L137" i="15"/>
  <c r="L185" i="15" s="1"/>
  <c r="P135" i="15"/>
  <c r="P183" i="15" s="1"/>
  <c r="P134" i="15"/>
  <c r="P182" i="15" s="1"/>
  <c r="O133" i="15"/>
  <c r="O181" i="15" s="1"/>
  <c r="R131" i="15"/>
  <c r="R179" i="15" s="1"/>
  <c r="O130" i="15"/>
  <c r="O178" i="15" s="1"/>
  <c r="T128" i="15"/>
  <c r="T176" i="15" s="1"/>
  <c r="Q127" i="15"/>
  <c r="Q175" i="15" s="1"/>
  <c r="O126" i="15"/>
  <c r="O174" i="15" s="1"/>
  <c r="Z125" i="15"/>
  <c r="Z173" i="15" s="1"/>
  <c r="N125" i="15"/>
  <c r="N173" i="15" s="1"/>
  <c r="AA123" i="15"/>
  <c r="AA171" i="15" s="1"/>
  <c r="O123" i="15"/>
  <c r="O171" i="15" s="1"/>
  <c r="N121" i="15"/>
  <c r="N169" i="15" s="1"/>
  <c r="U118" i="15"/>
  <c r="U166" i="15" s="1"/>
  <c r="V117" i="15"/>
  <c r="V165" i="15" s="1"/>
  <c r="R116" i="15"/>
  <c r="R164" i="15" s="1"/>
  <c r="Q115" i="15"/>
  <c r="Q163" i="15" s="1"/>
  <c r="M114" i="15"/>
  <c r="M162" i="15" s="1"/>
  <c r="O112" i="15"/>
  <c r="O160" i="15" s="1"/>
  <c r="K111" i="15"/>
  <c r="K159" i="15" s="1"/>
  <c r="O109" i="15"/>
  <c r="O157" i="15" s="1"/>
  <c r="S107" i="15"/>
  <c r="S155" i="15" s="1"/>
  <c r="V106" i="15"/>
  <c r="V154" i="15" s="1"/>
  <c r="R105" i="15"/>
  <c r="R153" i="15" s="1"/>
  <c r="R104" i="15"/>
  <c r="R152" i="15" s="1"/>
  <c r="Q103" i="15"/>
  <c r="Q151" i="15" s="1"/>
  <c r="L102" i="15"/>
  <c r="L150" i="15" s="1"/>
  <c r="K101" i="15"/>
  <c r="K149" i="15" s="1"/>
  <c r="L99" i="15"/>
  <c r="L147" i="15" s="1"/>
  <c r="Q143" i="15"/>
  <c r="Q191" i="15" s="1"/>
  <c r="N142" i="15"/>
  <c r="N190" i="15" s="1"/>
  <c r="L141" i="15"/>
  <c r="L189" i="15" s="1"/>
  <c r="S139" i="15"/>
  <c r="S187" i="15" s="1"/>
  <c r="O138" i="15"/>
  <c r="O186" i="15" s="1"/>
  <c r="K137" i="15"/>
  <c r="K185" i="15" s="1"/>
  <c r="O135" i="15"/>
  <c r="O183" i="15" s="1"/>
  <c r="O134" i="15"/>
  <c r="O182" i="15" s="1"/>
  <c r="N133" i="15"/>
  <c r="N181" i="15" s="1"/>
  <c r="Q131" i="15"/>
  <c r="Q179" i="15" s="1"/>
  <c r="N130" i="15"/>
  <c r="N178" i="15" s="1"/>
  <c r="S128" i="15"/>
  <c r="S176" i="15" s="1"/>
  <c r="P127" i="15"/>
  <c r="P175" i="15" s="1"/>
  <c r="N126" i="15"/>
  <c r="N174" i="15" s="1"/>
  <c r="Y125" i="15"/>
  <c r="Y173" i="15" s="1"/>
  <c r="M125" i="15"/>
  <c r="M173" i="15" s="1"/>
  <c r="Z123" i="15"/>
  <c r="Z171" i="15" s="1"/>
  <c r="N123" i="15"/>
  <c r="N171" i="15" s="1"/>
  <c r="M121" i="15"/>
  <c r="M169" i="15" s="1"/>
  <c r="U119" i="15"/>
  <c r="U167" i="15" s="1"/>
  <c r="T118" i="15"/>
  <c r="T166" i="15" s="1"/>
  <c r="U117" i="15"/>
  <c r="U165" i="15" s="1"/>
  <c r="Q116" i="15"/>
  <c r="Q164" i="15" s="1"/>
  <c r="P115" i="15"/>
  <c r="P163" i="15" s="1"/>
  <c r="L114" i="15"/>
  <c r="L162" i="15" s="1"/>
  <c r="N112" i="15"/>
  <c r="N160" i="15" s="1"/>
  <c r="Q110" i="15"/>
  <c r="Q158" i="15" s="1"/>
  <c r="N109" i="15"/>
  <c r="N157" i="15" s="1"/>
  <c r="R107" i="15"/>
  <c r="R155" i="15" s="1"/>
  <c r="U106" i="15"/>
  <c r="U154" i="15" s="1"/>
  <c r="Q105" i="15"/>
  <c r="Q153" i="15" s="1"/>
  <c r="Q104" i="15"/>
  <c r="Q152" i="15" s="1"/>
  <c r="P103" i="15"/>
  <c r="P151" i="15" s="1"/>
  <c r="K102" i="15"/>
  <c r="K150" i="15" s="1"/>
  <c r="P100" i="15"/>
  <c r="P148" i="15" s="1"/>
  <c r="K99" i="15"/>
  <c r="K147" i="15" s="1"/>
  <c r="AB143" i="15"/>
  <c r="AB191" i="15" s="1"/>
  <c r="P143" i="15"/>
  <c r="P191" i="15" s="1"/>
  <c r="M142" i="15"/>
  <c r="M190" i="15" s="1"/>
  <c r="K141" i="15"/>
  <c r="K189" i="15" s="1"/>
  <c r="R139" i="15"/>
  <c r="R187" i="15" s="1"/>
  <c r="N138" i="15"/>
  <c r="N186" i="15" s="1"/>
  <c r="R136" i="15"/>
  <c r="R184" i="15" s="1"/>
  <c r="N135" i="15"/>
  <c r="N183" i="15" s="1"/>
  <c r="N134" i="15"/>
  <c r="N182" i="15" s="1"/>
  <c r="M133" i="15"/>
  <c r="M181" i="15" s="1"/>
  <c r="AB131" i="15"/>
  <c r="AB179" i="15" s="1"/>
  <c r="P131" i="15"/>
  <c r="P179" i="15" s="1"/>
  <c r="M130" i="15"/>
  <c r="M178" i="15" s="1"/>
  <c r="R128" i="15"/>
  <c r="R176" i="15" s="1"/>
  <c r="O127" i="15"/>
  <c r="O175" i="15" s="1"/>
  <c r="M126" i="15"/>
  <c r="M174" i="15" s="1"/>
  <c r="X125" i="15"/>
  <c r="X173" i="15" s="1"/>
  <c r="L125" i="15"/>
  <c r="L173" i="15" s="1"/>
  <c r="Y123" i="15"/>
  <c r="Y171" i="15" s="1"/>
  <c r="M123" i="15"/>
  <c r="M171" i="15" s="1"/>
  <c r="L122" i="15"/>
  <c r="L170" i="15" s="1"/>
  <c r="L121" i="15"/>
  <c r="L169" i="15" s="1"/>
  <c r="T119" i="15"/>
  <c r="T167" i="15" s="1"/>
  <c r="S118" i="15"/>
  <c r="S166" i="15" s="1"/>
  <c r="T117" i="15"/>
  <c r="T165" i="15" s="1"/>
  <c r="P116" i="15"/>
  <c r="P164" i="15" s="1"/>
  <c r="O115" i="15"/>
  <c r="O163" i="15" s="1"/>
  <c r="K114" i="15"/>
  <c r="K162" i="15" s="1"/>
  <c r="M112" i="15"/>
  <c r="M160" i="15" s="1"/>
  <c r="P110" i="15"/>
  <c r="P158" i="15" s="1"/>
  <c r="M109" i="15"/>
  <c r="M157" i="15" s="1"/>
  <c r="Q107" i="15"/>
  <c r="Q155" i="15" s="1"/>
  <c r="T106" i="15"/>
  <c r="T154" i="15" s="1"/>
  <c r="P105" i="15"/>
  <c r="P153" i="15" s="1"/>
  <c r="P104" i="15"/>
  <c r="P152" i="15" s="1"/>
  <c r="O103" i="15"/>
  <c r="O151" i="15" s="1"/>
  <c r="U101" i="15"/>
  <c r="U149" i="15" s="1"/>
  <c r="O100" i="15"/>
  <c r="O148" i="15" s="1"/>
  <c r="L142" i="15"/>
  <c r="L190" i="15" s="1"/>
  <c r="Q140" i="15"/>
  <c r="Q188" i="15" s="1"/>
  <c r="Q139" i="15"/>
  <c r="Q187" i="15" s="1"/>
  <c r="M138" i="15"/>
  <c r="M186" i="15" s="1"/>
  <c r="Q136" i="15"/>
  <c r="Q184" i="15" s="1"/>
  <c r="M134" i="15"/>
  <c r="M182" i="15" s="1"/>
  <c r="L133" i="15"/>
  <c r="L181" i="15" s="1"/>
  <c r="L130" i="15"/>
  <c r="L178" i="15" s="1"/>
  <c r="Q128" i="15"/>
  <c r="Q176" i="15" s="1"/>
  <c r="N127" i="15"/>
  <c r="N175" i="15" s="1"/>
  <c r="L126" i="15"/>
  <c r="L174" i="15" s="1"/>
  <c r="W125" i="15"/>
  <c r="W173" i="15" s="1"/>
  <c r="K125" i="15"/>
  <c r="K173" i="15" s="1"/>
  <c r="K122" i="15"/>
  <c r="K170" i="15" s="1"/>
  <c r="K121" i="15"/>
  <c r="K169" i="15" s="1"/>
  <c r="R118" i="15"/>
  <c r="R166" i="15" s="1"/>
  <c r="S117" i="15"/>
  <c r="S165" i="15" s="1"/>
  <c r="O116" i="15"/>
  <c r="O164" i="15" s="1"/>
  <c r="N115" i="15"/>
  <c r="N163" i="15" s="1"/>
  <c r="P113" i="15"/>
  <c r="P161" i="15" s="1"/>
  <c r="L112" i="15"/>
  <c r="L160" i="15" s="1"/>
  <c r="O110" i="15"/>
  <c r="O158" i="15" s="1"/>
  <c r="L109" i="15"/>
  <c r="L157" i="15" s="1"/>
  <c r="S106" i="15"/>
  <c r="S154" i="15" s="1"/>
  <c r="O105" i="15"/>
  <c r="O153" i="15" s="1"/>
  <c r="O104" i="15"/>
  <c r="O152" i="15" s="1"/>
  <c r="N103" i="15"/>
  <c r="N151" i="15" s="1"/>
  <c r="T101" i="15"/>
  <c r="T149" i="15" s="1"/>
  <c r="N100" i="15"/>
  <c r="N148" i="15" s="1"/>
  <c r="Z143" i="15"/>
  <c r="Z191" i="15" s="1"/>
  <c r="N143" i="15"/>
  <c r="N191" i="15" s="1"/>
  <c r="P140" i="15"/>
  <c r="P188" i="15" s="1"/>
  <c r="P139" i="15"/>
  <c r="P187" i="15" s="1"/>
  <c r="L138" i="15"/>
  <c r="L186" i="15" s="1"/>
  <c r="P136" i="15"/>
  <c r="P184" i="15" s="1"/>
  <c r="L134" i="15"/>
  <c r="L182" i="15" s="1"/>
  <c r="K133" i="15"/>
  <c r="K181" i="15" s="1"/>
  <c r="Z131" i="15"/>
  <c r="Z179" i="15" s="1"/>
  <c r="N131" i="15"/>
  <c r="N179" i="15" s="1"/>
  <c r="P128" i="15"/>
  <c r="P176" i="15" s="1"/>
  <c r="M127" i="15"/>
  <c r="M175" i="15" s="1"/>
  <c r="K126" i="15"/>
  <c r="K174" i="15" s="1"/>
  <c r="V125" i="15"/>
  <c r="V173" i="15" s="1"/>
  <c r="R124" i="15"/>
  <c r="R172" i="15" s="1"/>
  <c r="W123" i="15"/>
  <c r="W171" i="15" s="1"/>
  <c r="K123" i="15"/>
  <c r="K171" i="15" s="1"/>
  <c r="V121" i="15"/>
  <c r="V169" i="15" s="1"/>
  <c r="R119" i="15"/>
  <c r="R167" i="15" s="1"/>
  <c r="Q118" i="15"/>
  <c r="Q166" i="15" s="1"/>
  <c r="R117" i="15"/>
  <c r="R165" i="15" s="1"/>
  <c r="N116" i="15"/>
  <c r="N164" i="15" s="1"/>
  <c r="M115" i="15"/>
  <c r="M163" i="15" s="1"/>
  <c r="O113" i="15"/>
  <c r="O161" i="15" s="1"/>
  <c r="N110" i="15"/>
  <c r="N158" i="15" s="1"/>
  <c r="O107" i="15"/>
  <c r="O155" i="15" s="1"/>
  <c r="R106" i="15"/>
  <c r="R154" i="15" s="1"/>
  <c r="N105" i="15"/>
  <c r="N153" i="15" s="1"/>
  <c r="N104" i="15"/>
  <c r="N152" i="15" s="1"/>
  <c r="M103" i="15"/>
  <c r="M151" i="15" s="1"/>
  <c r="S101" i="15"/>
  <c r="S149" i="15" s="1"/>
  <c r="M100" i="15"/>
  <c r="M148" i="15" s="1"/>
  <c r="T141" i="15"/>
  <c r="T189" i="15" s="1"/>
  <c r="O140" i="15"/>
  <c r="O188" i="15" s="1"/>
  <c r="O139" i="15"/>
  <c r="O187" i="15" s="1"/>
  <c r="O136" i="15"/>
  <c r="O184" i="15" s="1"/>
  <c r="K134" i="15"/>
  <c r="K182" i="15" s="1"/>
  <c r="Q129" i="15"/>
  <c r="Q177" i="15" s="1"/>
  <c r="O128" i="15"/>
  <c r="O176" i="15" s="1"/>
  <c r="L127" i="15"/>
  <c r="L175" i="15" s="1"/>
  <c r="AG125" i="15"/>
  <c r="AG173" i="15" s="1"/>
  <c r="U125" i="15"/>
  <c r="U173" i="15" s="1"/>
  <c r="Q124" i="15"/>
  <c r="Q172" i="15" s="1"/>
  <c r="U121" i="15"/>
  <c r="U169" i="15" s="1"/>
  <c r="P118" i="15"/>
  <c r="P166" i="15" s="1"/>
  <c r="Q117" i="15"/>
  <c r="Q165" i="15" s="1"/>
  <c r="M116" i="15"/>
  <c r="M164" i="15" s="1"/>
  <c r="L115" i="15"/>
  <c r="L163" i="15" s="1"/>
  <c r="N113" i="15"/>
  <c r="N161" i="15" s="1"/>
  <c r="M110" i="15"/>
  <c r="M158" i="15" s="1"/>
  <c r="Q106" i="15"/>
  <c r="Q154" i="15" s="1"/>
  <c r="M105" i="15"/>
  <c r="M153" i="15" s="1"/>
  <c r="M104" i="15"/>
  <c r="M152" i="15" s="1"/>
  <c r="L103" i="15"/>
  <c r="L151" i="15" s="1"/>
  <c r="R101" i="15"/>
  <c r="R149" i="15" s="1"/>
  <c r="L100" i="15"/>
  <c r="L148" i="15" s="1"/>
  <c r="S141" i="15"/>
  <c r="S189" i="15" s="1"/>
  <c r="N140" i="15"/>
  <c r="N188" i="15" s="1"/>
  <c r="N139" i="15"/>
  <c r="N187" i="15" s="1"/>
  <c r="R137" i="15"/>
  <c r="R185" i="15" s="1"/>
  <c r="N136" i="15"/>
  <c r="N184" i="15" s="1"/>
  <c r="V134" i="15"/>
  <c r="V182" i="15" s="1"/>
  <c r="U133" i="15"/>
  <c r="U181" i="15" s="1"/>
  <c r="P129" i="15"/>
  <c r="P177" i="15" s="1"/>
  <c r="N128" i="15"/>
  <c r="N176" i="15" s="1"/>
  <c r="AF125" i="15"/>
  <c r="AF173" i="15" s="1"/>
  <c r="T125" i="15"/>
  <c r="T173" i="15" s="1"/>
  <c r="P124" i="15"/>
  <c r="P172" i="15" s="1"/>
  <c r="T121" i="15"/>
  <c r="T169" i="15" s="1"/>
  <c r="O118" i="15"/>
  <c r="O166" i="15" s="1"/>
  <c r="P117" i="15"/>
  <c r="P165" i="15" s="1"/>
  <c r="L116" i="15"/>
  <c r="L164" i="15" s="1"/>
  <c r="M113" i="15"/>
  <c r="M161" i="15" s="1"/>
  <c r="L110" i="15"/>
  <c r="L158" i="15" s="1"/>
  <c r="P106" i="15"/>
  <c r="P154" i="15" s="1"/>
  <c r="L105" i="15"/>
  <c r="L153" i="15" s="1"/>
  <c r="L104" i="15"/>
  <c r="L152" i="15" s="1"/>
  <c r="Q101" i="15"/>
  <c r="Q149" i="15" s="1"/>
  <c r="W143" i="15"/>
  <c r="W191" i="15" s="1"/>
  <c r="W131" i="15"/>
  <c r="W179" i="15" s="1"/>
  <c r="AE125" i="15"/>
  <c r="AE173" i="15" s="1"/>
  <c r="B49" i="11"/>
  <c r="B95" i="11" s="1"/>
</calcChain>
</file>

<file path=xl/sharedStrings.xml><?xml version="1.0" encoding="utf-8"?>
<sst xmlns="http://schemas.openxmlformats.org/spreadsheetml/2006/main" count="4898" uniqueCount="1712">
  <si>
    <t>Dataset sumary</t>
  </si>
  <si>
    <t>NSTEMI patients</t>
  </si>
  <si>
    <t>STEMI patients</t>
  </si>
  <si>
    <t>Dataset1</t>
  </si>
  <si>
    <t>Dataset2</t>
  </si>
  <si>
    <t>Dataset3</t>
  </si>
  <si>
    <t>CBRA MOD</t>
  </si>
  <si>
    <t>Total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</si>
  <si>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</si>
  <si>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</si>
  <si>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</si>
  <si>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</si>
  <si>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</si>
  <si>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</si>
  <si>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</si>
  <si>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</si>
  <si>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</si>
  <si>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</si>
  <si>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</si>
  <si>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</si>
  <si>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</si>
  <si>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</si>
  <si>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</si>
  <si>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</si>
  <si>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</si>
  <si>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</si>
  <si>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</si>
  <si>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</si>
  <si>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</si>
  <si>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</si>
  <si>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</si>
  <si>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</si>
  <si>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</si>
  <si>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</si>
  <si>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</si>
  <si>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</si>
  <si>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</si>
  <si>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</si>
  <si>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</si>
  <si>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</si>
  <si>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</si>
  <si>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</si>
  <si>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</si>
  <si>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</si>
  <si>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</si>
  <si>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</si>
  <si>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</si>
  <si>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</si>
  <si>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 xml:space="preserve">Data evento </t>
  </si>
  <si>
    <t>TIME FROM t0[h.m]</t>
  </si>
  <si>
    <t>TnThs MIRE 1</t>
  </si>
  <si>
    <t>TnThs MIRE 2</t>
  </si>
  <si>
    <t>TnThs MIRE 3</t>
  </si>
  <si>
    <t>TnThs MIRE 4</t>
  </si>
  <si>
    <t>TnThs MIRE 5</t>
  </si>
  <si>
    <t>TnThs MIRE 6</t>
  </si>
  <si>
    <t>TnThs MIRE 7</t>
  </si>
  <si>
    <t>TnThs MIRE 8</t>
  </si>
  <si>
    <t>TnThs MIRE 9</t>
  </si>
  <si>
    <t>TnThs MIRE 10</t>
  </si>
  <si>
    <t>TnThs MIRE 11</t>
  </si>
  <si>
    <t>TnThs MIRE 12</t>
  </si>
  <si>
    <t>ID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</si>
  <si>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</si>
  <si>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</si>
  <si>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</si>
  <si>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</si>
  <si>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</si>
  <si>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</si>
  <si>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</si>
  <si>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</si>
  <si>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</si>
  <si>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</si>
  <si>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</si>
  <si>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</si>
  <si>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</si>
  <si>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</si>
  <si>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</si>
  <si>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</si>
  <si>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</si>
  <si>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</si>
  <si>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</si>
  <si>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</si>
  <si>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</si>
  <si>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</si>
  <si>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</si>
  <si>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</si>
  <si>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</si>
  <si>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T1</t>
  </si>
  <si>
    <t>T1 decimal</t>
  </si>
  <si>
    <t>T2</t>
  </si>
  <si>
    <t>T2 decimal</t>
  </si>
  <si>
    <t>2019/10/26</t>
  </si>
  <si>
    <t>2019/07/05</t>
  </si>
  <si>
    <t>2019/01/24</t>
  </si>
  <si>
    <t>2019/03/21</t>
  </si>
  <si>
    <t>2019/03/02</t>
  </si>
  <si>
    <t>2019/12/17</t>
  </si>
  <si>
    <t>2019/03/15</t>
  </si>
  <si>
    <t>2018/01/05</t>
  </si>
  <si>
    <t>2018/07/06</t>
  </si>
  <si>
    <t>2018/10/03</t>
  </si>
  <si>
    <t>2018/06/17</t>
  </si>
  <si>
    <t>2019/02/23</t>
  </si>
  <si>
    <t>2019/08/16</t>
  </si>
  <si>
    <t>2019/07/31</t>
  </si>
  <si>
    <t>2018/03/02</t>
  </si>
  <si>
    <t>2018/06/11</t>
  </si>
  <si>
    <t>2018/05/07</t>
  </si>
  <si>
    <t>2018/10/06</t>
  </si>
  <si>
    <t>2018/10/19</t>
  </si>
  <si>
    <t>2019/05/16</t>
  </si>
  <si>
    <t>2018/04/08</t>
  </si>
  <si>
    <t>2018/07/30</t>
  </si>
  <si>
    <t>2018/09/02</t>
  </si>
  <si>
    <t>2018/10/20</t>
  </si>
  <si>
    <t>2018/05/10</t>
  </si>
  <si>
    <t>2018/09/14</t>
  </si>
  <si>
    <t>2019/07/14</t>
  </si>
  <si>
    <t>2022/08/18</t>
  </si>
  <si>
    <t>2016/09/28</t>
  </si>
  <si>
    <t>2015/07/18</t>
  </si>
  <si>
    <t>2016/02/23</t>
  </si>
  <si>
    <t>2021/04/26</t>
  </si>
  <si>
    <t>2021/08/22</t>
  </si>
  <si>
    <t>2021/04/27</t>
  </si>
  <si>
    <t>2021/05/12</t>
  </si>
  <si>
    <t>2021/11/13</t>
  </si>
  <si>
    <t>2018/02/06</t>
  </si>
  <si>
    <t>2018/05/22</t>
  </si>
  <si>
    <t>2018/05/08</t>
  </si>
  <si>
    <t>2019/12/02</t>
  </si>
  <si>
    <t>2021/10/15</t>
  </si>
  <si>
    <t>2017/07/11</t>
  </si>
  <si>
    <t>2019/07/02</t>
  </si>
  <si>
    <t>2022/07/10</t>
  </si>
  <si>
    <t>2017/03/20</t>
  </si>
  <si>
    <t>Admission time</t>
  </si>
  <si>
    <t>AMI start date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</si>
  <si>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</si>
  <si>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</si>
  <si>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</si>
  <si>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</si>
  <si>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</si>
  <si>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</si>
  <si>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</si>
  <si>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</si>
  <si>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</si>
  <si>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</si>
  <si>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</si>
  <si>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</si>
  <si>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</si>
  <si>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</si>
  <si>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</si>
  <si>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</si>
  <si>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</si>
  <si>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</si>
  <si>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</si>
  <si>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</si>
  <si>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</si>
  <si>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</si>
  <si>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</si>
  <si>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</si>
  <si>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</si>
  <si>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</si>
  <si>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</si>
  <si>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</si>
  <si>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</si>
  <si>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</si>
  <si>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</si>
  <si>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</si>
  <si>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</si>
  <si>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</si>
  <si>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</si>
  <si>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</si>
  <si>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</si>
  <si>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</si>
  <si>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</si>
  <si>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</si>
  <si>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</si>
  <si>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</si>
  <si>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</si>
  <si>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</si>
  <si>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</si>
  <si>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AcquisitionsDate</t>
  </si>
  <si>
    <t>AcquisitionTime</t>
  </si>
  <si>
    <t>cTnT</t>
  </si>
  <si>
    <t>2019/10/27</t>
  </si>
  <si>
    <t>2019/10/28</t>
  </si>
  <si>
    <t>2019/10/29</t>
  </si>
  <si>
    <t>2019/10/30</t>
  </si>
  <si>
    <t>2019/10/31</t>
  </si>
  <si>
    <t>2019/07/06</t>
  </si>
  <si>
    <t>2019/07/07</t>
  </si>
  <si>
    <t>2019/07/08</t>
  </si>
  <si>
    <t>2019/07/09</t>
  </si>
  <si>
    <t>2019/07/10</t>
  </si>
  <si>
    <t>2019/01/25</t>
  </si>
  <si>
    <t>2019/01/26</t>
  </si>
  <si>
    <t>2019/01/27</t>
  </si>
  <si>
    <t>2019/01/28</t>
  </si>
  <si>
    <t>2019/03/24</t>
  </si>
  <si>
    <t>2019/03/25</t>
  </si>
  <si>
    <t>2019/03/26</t>
  </si>
  <si>
    <t>2019/03/27</t>
  </si>
  <si>
    <t>2019/03/28</t>
  </si>
  <si>
    <t>2019/03/03</t>
  </si>
  <si>
    <t>2019/03/04</t>
  </si>
  <si>
    <t>2019/03/05</t>
  </si>
  <si>
    <t>2019/03/06</t>
  </si>
  <si>
    <t>2019/12/18</t>
  </si>
  <si>
    <t>2019/12/19</t>
  </si>
  <si>
    <t>2019/12/20</t>
  </si>
  <si>
    <t>2019/12/21</t>
  </si>
  <si>
    <t>2019/03/16</t>
  </si>
  <si>
    <t>2019/03/17</t>
  </si>
  <si>
    <t>2019/03/18</t>
  </si>
  <si>
    <t>2019/03/19</t>
  </si>
  <si>
    <t>2019/03/20</t>
  </si>
  <si>
    <t>2019/03/22</t>
  </si>
  <si>
    <t>2019/03/23</t>
  </si>
  <si>
    <t>2018/01/06</t>
  </si>
  <si>
    <t>2018/01/07</t>
  </si>
  <si>
    <t>2018/01/08</t>
  </si>
  <si>
    <t>2018/01/09</t>
  </si>
  <si>
    <t>2018/01/10</t>
  </si>
  <si>
    <t>2018/01/11</t>
  </si>
  <si>
    <t>2018/07/07</t>
  </si>
  <si>
    <t>2018/07/08</t>
  </si>
  <si>
    <t>2018/07/09</t>
  </si>
  <si>
    <t>2018/07/10</t>
  </si>
  <si>
    <t>2018/07/11</t>
  </si>
  <si>
    <t>2018/10/04</t>
  </si>
  <si>
    <t>2018/10/05</t>
  </si>
  <si>
    <t>2018/10/07</t>
  </si>
  <si>
    <t>2018/10/08</t>
  </si>
  <si>
    <t>2018/10/09</t>
  </si>
  <si>
    <t>2018/06/18</t>
  </si>
  <si>
    <t>2018/06/19</t>
  </si>
  <si>
    <t>2018/06/20</t>
  </si>
  <si>
    <t>2018/06/21</t>
  </si>
  <si>
    <t>2018/06/22</t>
  </si>
  <si>
    <t>2018/06/23</t>
  </si>
  <si>
    <t>2019/02/24</t>
  </si>
  <si>
    <t>2019/02/25</t>
  </si>
  <si>
    <t>2019/02/26</t>
  </si>
  <si>
    <t>2019/02/27</t>
  </si>
  <si>
    <t>2019/02/28</t>
  </si>
  <si>
    <t>2019/03/01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</si>
  <si>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</si>
  <si>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</si>
  <si>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</si>
  <si>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</si>
  <si>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</si>
  <si>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</si>
  <si>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</si>
  <si>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2019/08/01</t>
  </si>
  <si>
    <t>2019/08/02</t>
  </si>
  <si>
    <t>2019/08/03</t>
  </si>
  <si>
    <t>2018/03/03</t>
  </si>
  <si>
    <t>2018/03/04</t>
  </si>
  <si>
    <t>2018/03/05</t>
  </si>
  <si>
    <t>2018/06/14</t>
  </si>
  <si>
    <t>2018/06/15</t>
  </si>
  <si>
    <t>2018/06/16</t>
  </si>
  <si>
    <t>2018/05/09</t>
  </si>
  <si>
    <t>2018/05/11</t>
  </si>
  <si>
    <t>2018/10/10</t>
  </si>
  <si>
    <t>2018/10/11</t>
  </si>
  <si>
    <t>2018/10/12</t>
  </si>
  <si>
    <t>2018/10/13</t>
  </si>
  <si>
    <t>2018/10/14</t>
  </si>
  <si>
    <t>2018/10/15</t>
  </si>
  <si>
    <t>2018/10/22</t>
  </si>
  <si>
    <t>2018/10/23</t>
  </si>
  <si>
    <t>2018/10/24</t>
  </si>
  <si>
    <t>2018/10/25</t>
  </si>
  <si>
    <t>2018/10/26</t>
  </si>
  <si>
    <t>2018/10/27</t>
  </si>
  <si>
    <t>2018/10/28</t>
  </si>
  <si>
    <t>2018/10/29</t>
  </si>
  <si>
    <t>2019/05/17</t>
  </si>
  <si>
    <t>2019/05/18</t>
  </si>
  <si>
    <t>2019/05/19</t>
  </si>
  <si>
    <t>2019/05/20</t>
  </si>
  <si>
    <t>2018/04/09</t>
  </si>
  <si>
    <t>2018/04/10</t>
  </si>
  <si>
    <t>2018/04/11</t>
  </si>
  <si>
    <t>2018/07/31</t>
  </si>
  <si>
    <t>2018/08/01</t>
  </si>
  <si>
    <t>2018/08/02</t>
  </si>
  <si>
    <t>2018/08/03</t>
  </si>
  <si>
    <t>2018/08/04</t>
  </si>
  <si>
    <t>2018/08/05</t>
  </si>
  <si>
    <t>2018/08/06</t>
  </si>
  <si>
    <t>2018/09/03</t>
  </si>
  <si>
    <t>2018/09/04</t>
  </si>
  <si>
    <t>2018/09/05</t>
  </si>
  <si>
    <t>2018/09/06</t>
  </si>
  <si>
    <t>2018/09/07</t>
  </si>
  <si>
    <t>2018/09/08</t>
  </si>
  <si>
    <t>2018/09/09</t>
  </si>
  <si>
    <t>2018/09/10</t>
  </si>
  <si>
    <t>2018/09/11</t>
  </si>
  <si>
    <t>2018/09/12</t>
  </si>
  <si>
    <t>2018/10/21</t>
  </si>
  <si>
    <t>2018/05/12</t>
  </si>
  <si>
    <t>2018/05/13</t>
  </si>
  <si>
    <t>2018/05/14</t>
  </si>
  <si>
    <t>2018/05/15</t>
  </si>
  <si>
    <t>2018/05/16</t>
  </si>
  <si>
    <t>2018/05/17</t>
  </si>
  <si>
    <t>2018/05/18</t>
  </si>
  <si>
    <t>2018/09/15</t>
  </si>
  <si>
    <t>2018/09/16</t>
  </si>
  <si>
    <t>2018/09/17</t>
  </si>
  <si>
    <t>2018/09/18</t>
  </si>
  <si>
    <t>2019/07/15</t>
  </si>
  <si>
    <t>2019/07/16</t>
  </si>
  <si>
    <t>2019/07/17</t>
  </si>
  <si>
    <t>2019/07/18</t>
  </si>
  <si>
    <t>2019/07/19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</si>
  <si>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</si>
  <si>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</si>
  <si>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</si>
  <si>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</si>
  <si>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</si>
  <si>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</si>
  <si>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</si>
  <si>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</si>
  <si>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</si>
  <si>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2016/09/29</t>
  </si>
  <si>
    <t>2016/09/30</t>
  </si>
  <si>
    <t>2016/10/01</t>
  </si>
  <si>
    <t>2016/10/02</t>
  </si>
  <si>
    <t>2016/10/03</t>
  </si>
  <si>
    <t>2016/10/04</t>
  </si>
  <si>
    <t>2016/10/20</t>
  </si>
  <si>
    <t>2015/07/19</t>
  </si>
  <si>
    <t>2015/07/20</t>
  </si>
  <si>
    <t>2015/07/21</t>
  </si>
  <si>
    <t>2015/07/22</t>
  </si>
  <si>
    <t>2015/07/23</t>
  </si>
  <si>
    <t>2015/07/24</t>
  </si>
  <si>
    <t>2016/02/24</t>
  </si>
  <si>
    <t>2016/02/25</t>
  </si>
  <si>
    <t>2016/02/26</t>
  </si>
  <si>
    <t>2016/02/27</t>
  </si>
  <si>
    <t>2021/04/28</t>
  </si>
  <si>
    <t>2021/04/29</t>
  </si>
  <si>
    <t>2021/04/30</t>
  </si>
  <si>
    <t>2021/05/01</t>
  </si>
  <si>
    <t>2021/05/02</t>
  </si>
  <si>
    <t>2021/05/03</t>
  </si>
  <si>
    <t>2021/08/23</t>
  </si>
  <si>
    <t>2021/08/24</t>
  </si>
  <si>
    <t>2021/08/25</t>
  </si>
  <si>
    <t>2021/08/26</t>
  </si>
  <si>
    <t>2021/05/13</t>
  </si>
  <si>
    <t>2021/05/14</t>
  </si>
  <si>
    <t>2021/05/15</t>
  </si>
  <si>
    <t>2021/05/16</t>
  </si>
  <si>
    <t>2021/05/17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</si>
  <si>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</si>
  <si>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</si>
  <si>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</si>
  <si>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</si>
  <si>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</si>
  <si>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</si>
  <si>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</si>
  <si>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2018/02/07</t>
  </si>
  <si>
    <t>2018/02/08</t>
  </si>
  <si>
    <t>2018/02/09</t>
  </si>
  <si>
    <t>2018/02/10</t>
  </si>
  <si>
    <t>2018/02/11</t>
  </si>
  <si>
    <t>2018/02/12</t>
  </si>
  <si>
    <t>2018/05/23</t>
  </si>
  <si>
    <t>2018/05/24</t>
  </si>
  <si>
    <t>2018/05/25</t>
  </si>
  <si>
    <t>2019/12/04</t>
  </si>
  <si>
    <t>2019/12/05</t>
  </si>
  <si>
    <t>2019/12/06</t>
  </si>
  <si>
    <t>2019/12/07</t>
  </si>
  <si>
    <t>2019/12/08</t>
  </si>
  <si>
    <t>2019/12/09</t>
  </si>
  <si>
    <t>2021/10/19</t>
  </si>
  <si>
    <t>2021/10/20</t>
  </si>
  <si>
    <t>2021/10/21</t>
  </si>
  <si>
    <t>2021/10/22</t>
  </si>
  <si>
    <t>2017/07/12</t>
  </si>
  <si>
    <t>2017/07/13</t>
  </si>
  <si>
    <t>2017/07/14</t>
  </si>
  <si>
    <t>2017/07/15</t>
  </si>
  <si>
    <t>2017/07/16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</si>
  <si>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</si>
  <si>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</si>
  <si>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</si>
  <si>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</si>
  <si>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</si>
  <si>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</si>
  <si>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</si>
  <si>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</si>
  <si>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</si>
  <si>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</si>
  <si>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2017/03/21</t>
  </si>
  <si>
    <t>2017/03/22</t>
  </si>
  <si>
    <t>2017/03/23</t>
  </si>
  <si>
    <t>2017/03/24</t>
  </si>
  <si>
    <t>2017/03/25</t>
  </si>
  <si>
    <t>2017/03/26</t>
  </si>
  <si>
    <t>Duplicated</t>
  </si>
  <si>
    <t>Duplicates</t>
  </si>
  <si>
    <t>2019/10/26 12:10:00</t>
  </si>
  <si>
    <t>2019/10/26 16:49:00</t>
  </si>
  <si>
    <t>2019/10/27 00:46:00</t>
  </si>
  <si>
    <t>2019/10/28 00:09:00</t>
  </si>
  <si>
    <t>2019/10/28 15:53:00</t>
  </si>
  <si>
    <t>2019/10/29 00:10:00</t>
  </si>
  <si>
    <t>2019/10/30 00:16:00</t>
  </si>
  <si>
    <t>2019/10/31 05:43:00</t>
  </si>
  <si>
    <t>2019/07/05 22:25:00</t>
  </si>
  <si>
    <t>2019/07/06 00:15:00</t>
  </si>
  <si>
    <t>2019/07/07 00:09:00</t>
  </si>
  <si>
    <t>2019/07/08 00:18:00</t>
  </si>
  <si>
    <t>2019/07/08 17:17:00</t>
  </si>
  <si>
    <t>2019/07/09 00:20:00</t>
  </si>
  <si>
    <t>2019/07/10 00:02:00</t>
  </si>
  <si>
    <t>2019/01/24 16:23:00</t>
  </si>
  <si>
    <t>2019/01/25 00:02:00</t>
  </si>
  <si>
    <t>2019/01/25 17:30:00</t>
  </si>
  <si>
    <t>2019/01/26 00:12:00</t>
  </si>
  <si>
    <t>2019/01/27 00:18:00</t>
  </si>
  <si>
    <t>2019/01/28 05:43:00</t>
  </si>
  <si>
    <t>2019/03/24 17:08:00</t>
  </si>
  <si>
    <t>2019/03/25 00:16:00</t>
  </si>
  <si>
    <t>2019/03/25 16:47:00</t>
  </si>
  <si>
    <t>2019/03/26 00:13:00</t>
  </si>
  <si>
    <t>2019/03/27 00:11:00</t>
  </si>
  <si>
    <t>2019/03/28 00:03:00</t>
  </si>
  <si>
    <t>2019/03/02 23:32:00</t>
  </si>
  <si>
    <t>2019/03/03 00:18:00</t>
  </si>
  <si>
    <t>2019/03/04 00:23:00</t>
  </si>
  <si>
    <t>2019/03/04 16:44:00</t>
  </si>
  <si>
    <t>2019/03/05 00:33:00</t>
  </si>
  <si>
    <t>2019/03/06 00:09:00</t>
  </si>
  <si>
    <t>2019/12/17 22:21:00</t>
  </si>
  <si>
    <t>2019/12/18 00:12:00</t>
  </si>
  <si>
    <t>2019/12/18 17:50:00</t>
  </si>
  <si>
    <t>2019/12/19 00:05:00</t>
  </si>
  <si>
    <t>2019/12/20 00:43:00</t>
  </si>
  <si>
    <t>2019/12/21 00:05:00</t>
  </si>
  <si>
    <t>2019/03/16 11:32:00</t>
  </si>
  <si>
    <t>2019/03/16 16:04:00</t>
  </si>
  <si>
    <t>2019/03/16 21:07:00</t>
  </si>
  <si>
    <t>2019/03/17 00:12:00</t>
  </si>
  <si>
    <t>2019/03/18 00:09:00</t>
  </si>
  <si>
    <t>2019/03/18 16:35:00</t>
  </si>
  <si>
    <t>2019/03/19 00:26:00</t>
  </si>
  <si>
    <t>2019/03/20 00:10:00</t>
  </si>
  <si>
    <t>2019/03/21 00:20:00</t>
  </si>
  <si>
    <t>2019/03/22 00:05:00</t>
  </si>
  <si>
    <t>2019/03/23 00:42:00</t>
  </si>
  <si>
    <t>2019/03/24 00:05:00</t>
  </si>
  <si>
    <t>2018/01/05 11:12:00</t>
  </si>
  <si>
    <t>2018/01/05 21:37:00</t>
  </si>
  <si>
    <t>2018/01/06 00:33:00</t>
  </si>
  <si>
    <t>2018/01/07 00:04:00</t>
  </si>
  <si>
    <t>2018/01/08 05:42:00</t>
  </si>
  <si>
    <t>2018/01/09 00:13:00</t>
  </si>
  <si>
    <t>2018/01/09 15:28:00</t>
  </si>
  <si>
    <t>2018/01/10 00:04:00</t>
  </si>
  <si>
    <t>2018/01/11 00:08:00</t>
  </si>
  <si>
    <t>2018/07/06 03:21:00</t>
  </si>
  <si>
    <t>2018/07/06 21:55:00</t>
  </si>
  <si>
    <t>2018/07/07 00:07:00</t>
  </si>
  <si>
    <t>2018/07/08 05:50:00</t>
  </si>
  <si>
    <t>2018/07/09 00:17:00</t>
  </si>
  <si>
    <t>2018/07/10 00:03:00</t>
  </si>
  <si>
    <t>2018/07/11 00:05:00</t>
  </si>
  <si>
    <t>2018/10/03 23:35:00</t>
  </si>
  <si>
    <t>2018/10/04 00:26:00</t>
  </si>
  <si>
    <t>2018/10/04 15:58:00</t>
  </si>
  <si>
    <t>2018/10/05 00:24:00</t>
  </si>
  <si>
    <t>2018/10/06 00:24:00</t>
  </si>
  <si>
    <t>2018/10/07 00:17:00</t>
  </si>
  <si>
    <t>2018/10/08 00:33:00</t>
  </si>
  <si>
    <t>2018/10/09 00:06:00</t>
  </si>
  <si>
    <t>2018/06/18 16:24:00</t>
  </si>
  <si>
    <t>2018/06/19 00:19:00</t>
  </si>
  <si>
    <t>2018/06/19 20:08:00</t>
  </si>
  <si>
    <t>2018/06/20 00:31:00</t>
  </si>
  <si>
    <t>2018/06/21 01:01:00</t>
  </si>
  <si>
    <t>2018/06/22 00:04:00</t>
  </si>
  <si>
    <t>2018/06/23 00:03:00</t>
  </si>
  <si>
    <t>2019/02/23 16:13:00</t>
  </si>
  <si>
    <t>2019/02/23 21:38:00</t>
  </si>
  <si>
    <t>2019/02/24 00:12:00</t>
  </si>
  <si>
    <t>2019/02/25 00:23:00</t>
  </si>
  <si>
    <t>2019/02/25 17:24:00</t>
  </si>
  <si>
    <t>2019/02/26 00:16:00</t>
  </si>
  <si>
    <t>2019/02/27 00:13:00</t>
  </si>
  <si>
    <t>2019/02/27 16:04:00</t>
  </si>
  <si>
    <t>2019/02/28 00:05:00</t>
  </si>
  <si>
    <t>2019/03/01 00:02:00</t>
  </si>
  <si>
    <t>2019/03/02 00:03:00</t>
  </si>
  <si>
    <t>2019/03/03 00:39:00</t>
  </si>
  <si>
    <t>2019/03/04 05:41:00</t>
  </si>
  <si>
    <t>2019/08/16 17:55:00</t>
  </si>
  <si>
    <t>2019/08/17 00:30:00</t>
  </si>
  <si>
    <t>2019/08/17 00:35:00</t>
  </si>
  <si>
    <t>2019/08/18 00:12:00</t>
  </si>
  <si>
    <t>2019/08/19 00:10:00</t>
  </si>
  <si>
    <t>2019/08/20 00:04:00</t>
  </si>
  <si>
    <t>2019/08/20 18:35:00</t>
  </si>
  <si>
    <t>2019/08/21 00:19:00</t>
  </si>
  <si>
    <t>2019/08/22 00:11:00</t>
  </si>
  <si>
    <t>2019/08/23 05:47:00</t>
  </si>
  <si>
    <t>2019/08/01 02:29:00</t>
  </si>
  <si>
    <t>2019/08/01 03:21:00</t>
  </si>
  <si>
    <t>2019/08/01 17:05:00</t>
  </si>
  <si>
    <t>2019/08/02 00:02:00</t>
  </si>
  <si>
    <t>2019/08/03 00:06:00</t>
  </si>
  <si>
    <t>2018/03/02 16:42:00</t>
  </si>
  <si>
    <t>2018/03/02 21:30:00</t>
  </si>
  <si>
    <t>2018/03/03 00:33:00</t>
  </si>
  <si>
    <t>2018/03/04 00:15:00</t>
  </si>
  <si>
    <t>2018/03/05 00:01:00</t>
  </si>
  <si>
    <t>2018/06/14 03:22:00</t>
  </si>
  <si>
    <t>2018/06/14 03:23:00</t>
  </si>
  <si>
    <t>2018/06/14 16:47:00</t>
  </si>
  <si>
    <t>2018/06/15 00:19:00</t>
  </si>
  <si>
    <t>2018/06/16 00:15:00</t>
  </si>
  <si>
    <t>2018/06/17 05:34:00</t>
  </si>
  <si>
    <t>2018/06/18 00:20:00</t>
  </si>
  <si>
    <t>2018/05/09 07:02:00</t>
  </si>
  <si>
    <t>2018/05/09 07:03:00</t>
  </si>
  <si>
    <t>2018/05/09 15:47:00</t>
  </si>
  <si>
    <t>2018/05/10 00:20:00</t>
  </si>
  <si>
    <t>2018/05/11 00:11:00</t>
  </si>
  <si>
    <t>2018/10/07 11:00:00</t>
  </si>
  <si>
    <t>2018/10/07 21:54:00</t>
  </si>
  <si>
    <t>2018/10/10 00:49:00</t>
  </si>
  <si>
    <t>2018/10/10 18:07:00</t>
  </si>
  <si>
    <t>2018/10/11 00:13:00</t>
  </si>
  <si>
    <t>2018/10/12 00:40:00</t>
  </si>
  <si>
    <t>2018/10/13 00:06:00</t>
  </si>
  <si>
    <t>2018/10/14 00:09:00</t>
  </si>
  <si>
    <t>2018/10/15 00:08:00</t>
  </si>
  <si>
    <t>2018/10/22 17:52:00</t>
  </si>
  <si>
    <t>2018/10/23 00:52:00</t>
  </si>
  <si>
    <t>2018/10/23 15:52:00</t>
  </si>
  <si>
    <t>2018/10/24 00:38:00</t>
  </si>
  <si>
    <t>2018/10/25 00:21:00</t>
  </si>
  <si>
    <t>2018/10/25 17:10:00</t>
  </si>
  <si>
    <t>2018/10/26 05:50:00</t>
  </si>
  <si>
    <t>2018/10/26 11:32:00</t>
  </si>
  <si>
    <t>2018/10/27 00:02:00</t>
  </si>
  <si>
    <t>2018/10/28 00:06:00</t>
  </si>
  <si>
    <t>2018/10/29 00:03:00</t>
  </si>
  <si>
    <t>2019/05/16 16:07:00</t>
  </si>
  <si>
    <t>2019/05/16 21:53:00</t>
  </si>
  <si>
    <t>2019/05/17 00:27:00</t>
  </si>
  <si>
    <t>2019/05/18 00:07:00</t>
  </si>
  <si>
    <t>2019/05/19 06:00:00</t>
  </si>
  <si>
    <t>2019/05/20 00:03:00</t>
  </si>
  <si>
    <t>2018/04/09 12:01:00</t>
  </si>
  <si>
    <t>2018/04/09 21:08:00</t>
  </si>
  <si>
    <t>2018/04/10 00:01:00</t>
  </si>
  <si>
    <t>2018/04/11 00:08:00</t>
  </si>
  <si>
    <t>2018/07/30 08:45:00</t>
  </si>
  <si>
    <t>2018/07/31 00:05:00</t>
  </si>
  <si>
    <t>2018/08/01 00:05:00</t>
  </si>
  <si>
    <t>2018/08/02 00:23:00</t>
  </si>
  <si>
    <t>2018/08/03 00:08:00</t>
  </si>
  <si>
    <t>2018/08/03 17:34:00</t>
  </si>
  <si>
    <t>2018/08/04 00:06:00</t>
  </si>
  <si>
    <t>2018/08/05 00:07:00</t>
  </si>
  <si>
    <t>2018/08/06 00:02:00</t>
  </si>
  <si>
    <t>2018/09/03 04:21:00</t>
  </si>
  <si>
    <t>2018/09/03 04:22:00</t>
  </si>
  <si>
    <t>2018/09/03 15:39:00</t>
  </si>
  <si>
    <t>2018/09/04 00:27:00</t>
  </si>
  <si>
    <t>2018/09/05 00:26:00</t>
  </si>
  <si>
    <t>2018/09/06 00:12:00</t>
  </si>
  <si>
    <t>2018/09/07 00:53:00</t>
  </si>
  <si>
    <t>2018/09/08 00:46:00</t>
  </si>
  <si>
    <t>2018/09/09 00:13:00</t>
  </si>
  <si>
    <t>2018/09/10 00:02:00</t>
  </si>
  <si>
    <t>2018/09/11 00:06:00</t>
  </si>
  <si>
    <t>2018/09/12 00:14:00</t>
  </si>
  <si>
    <t>2018/09/14 01:29:00</t>
  </si>
  <si>
    <t>2018/10/21 11:06:00</t>
  </si>
  <si>
    <t>2018/10/21 17:09:00</t>
  </si>
  <si>
    <t>2018/10/22 00:16:00</t>
  </si>
  <si>
    <t>2018/10/24 00:04:00</t>
  </si>
  <si>
    <t>2018/05/10 07:06:00</t>
  </si>
  <si>
    <t>2018/05/10 07:08:00</t>
  </si>
  <si>
    <t>2018/05/10 17:44:00</t>
  </si>
  <si>
    <t>2018/05/11 00:09:00</t>
  </si>
  <si>
    <t>2018/05/12 00:05:00</t>
  </si>
  <si>
    <t>2018/05/13 00:16:00</t>
  </si>
  <si>
    <t>2018/05/14 00:34:00</t>
  </si>
  <si>
    <t>2018/05/15 00:28:00</t>
  </si>
  <si>
    <t>2018/05/16 00:59:00</t>
  </si>
  <si>
    <t>2018/05/16 01:07:00</t>
  </si>
  <si>
    <t>2018/05/17 00:05:00</t>
  </si>
  <si>
    <t>2018/05/18 00:02:00</t>
  </si>
  <si>
    <t>2018/09/14 06:23:00</t>
  </si>
  <si>
    <t>2018/09/14 06:24:00</t>
  </si>
  <si>
    <t>2018/09/14 15:30:00</t>
  </si>
  <si>
    <t>2018/09/15 00:16:00</t>
  </si>
  <si>
    <t>2018/09/16 00:06:00</t>
  </si>
  <si>
    <t>2018/09/17 01:04:00</t>
  </si>
  <si>
    <t>2018/09/18 00:10:00</t>
  </si>
  <si>
    <t>2019/07/14 17:38:00</t>
  </si>
  <si>
    <t>2019/07/15 00:11:00</t>
  </si>
  <si>
    <t>2019/07/15 14:52:00</t>
  </si>
  <si>
    <t>2019/07/16 00:08:00</t>
  </si>
  <si>
    <t>2019/07/17 00:13:00</t>
  </si>
  <si>
    <t>2019/07/18 00:04:00</t>
  </si>
  <si>
    <t>2019/07/19 00:01:00</t>
  </si>
  <si>
    <t>2022/08/18 04:45:00</t>
  </si>
  <si>
    <t>2022/08/18 10:08:00</t>
  </si>
  <si>
    <t>2022/08/18 17:44:00</t>
  </si>
  <si>
    <t>2022/08/19 00:34:00</t>
  </si>
  <si>
    <t>2022/08/20 00:34:00</t>
  </si>
  <si>
    <t>2022/08/21 06:18:00</t>
  </si>
  <si>
    <t>2022/08/22 06:17:00</t>
  </si>
  <si>
    <t>2022/08/23 00:02:00</t>
  </si>
  <si>
    <t>2022/08/24 00:04:00</t>
  </si>
  <si>
    <t>2022/08/25 05:53:00</t>
  </si>
  <si>
    <t>2022/08/26 00:03:00</t>
  </si>
  <si>
    <t>2022/08/27 00:00:00</t>
  </si>
  <si>
    <t>2016/09/29 22:25:00</t>
  </si>
  <si>
    <t>2016/09/30 00:33:00</t>
  </si>
  <si>
    <t>2016/09/30 11:43:00</t>
  </si>
  <si>
    <t>2016/10/01 00:11:00</t>
  </si>
  <si>
    <t>2016/10/02 00:47:00</t>
  </si>
  <si>
    <t>2016/10/03 00:27:00</t>
  </si>
  <si>
    <t>2016/10/04 00:13:00</t>
  </si>
  <si>
    <t>2016/10/20 13:27:00</t>
  </si>
  <si>
    <t>2015/07/19 05:59:00</t>
  </si>
  <si>
    <t>2015/07/19 18:12:00</t>
  </si>
  <si>
    <t>2015/07/20 00:09:00</t>
  </si>
  <si>
    <t>2015/07/21 00:02:00</t>
  </si>
  <si>
    <t>2015/07/22 00:17:00</t>
  </si>
  <si>
    <t>2015/07/22 18:12:00</t>
  </si>
  <si>
    <t>2015/07/23 00:19:00</t>
  </si>
  <si>
    <t>2015/07/24 05:49:00</t>
  </si>
  <si>
    <t>2016/02/23 13:13:00</t>
  </si>
  <si>
    <t>2016/02/23 21:51:00</t>
  </si>
  <si>
    <t>2016/02/24 00:05:00</t>
  </si>
  <si>
    <t>2016/02/25 00:11:00</t>
  </si>
  <si>
    <t>2016/02/25 16:40:00</t>
  </si>
  <si>
    <t>2016/02/26 00:08:00</t>
  </si>
  <si>
    <t>2016/02/27 00:34:00</t>
  </si>
  <si>
    <t>2021/04/26 17:48:00</t>
  </si>
  <si>
    <t>2021/04/27 00:24:00</t>
  </si>
  <si>
    <t>2021/04/27 17:32:00</t>
  </si>
  <si>
    <t>2021/04/28 00:22:00</t>
  </si>
  <si>
    <t>2021/04/29 00:34:00</t>
  </si>
  <si>
    <t>2021/04/30 00:27:00</t>
  </si>
  <si>
    <t>2021/04/30 17:20:00</t>
  </si>
  <si>
    <t>2021/05/01 00:01:00</t>
  </si>
  <si>
    <t>2021/05/02 00:03:00</t>
  </si>
  <si>
    <t>2021/05/03 05:36:00</t>
  </si>
  <si>
    <t>2021/08/23 11:33:00</t>
  </si>
  <si>
    <t>2021/08/23 21:43:00</t>
  </si>
  <si>
    <t>2021/08/24 00:24:00</t>
  </si>
  <si>
    <t>2021/08/25 00:13:00</t>
  </si>
  <si>
    <t>2021/08/26 00:26:00</t>
  </si>
  <si>
    <t>2021/04/27 23:04:00</t>
  </si>
  <si>
    <t>2021/04/28 17:21:00</t>
  </si>
  <si>
    <t>2021/05/12 20:22:00</t>
  </si>
  <si>
    <t>2021/05/13 00:53:00</t>
  </si>
  <si>
    <t>2021/05/13 05:58:00</t>
  </si>
  <si>
    <t>2021/05/13 11:56:00</t>
  </si>
  <si>
    <t>2021/05/14 00:14:00</t>
  </si>
  <si>
    <t>2021/05/15 00:24:00</t>
  </si>
  <si>
    <t>2021/05/16 00:00:00</t>
  </si>
  <si>
    <t>2021/05/17 00:02:00</t>
  </si>
  <si>
    <t>2021/11/16 11:00:00</t>
  </si>
  <si>
    <t>2021/11/17 00:17:00</t>
  </si>
  <si>
    <t>2021/11/17 19:14:00</t>
  </si>
  <si>
    <t>2021/11/18 00:10:00</t>
  </si>
  <si>
    <t>2021/11/19 00:21:00</t>
  </si>
  <si>
    <t>2021/11/20 00:13:00</t>
  </si>
  <si>
    <t>2021/11/21 00:11:00</t>
  </si>
  <si>
    <t>2021/11/22 00:05:00</t>
  </si>
  <si>
    <t>2018/02/06 20:08:00</t>
  </si>
  <si>
    <t>2018/02/07 03:13:00</t>
  </si>
  <si>
    <t>2018/02/07 03:32:00</t>
  </si>
  <si>
    <t>2018/02/07 15:22:00</t>
  </si>
  <si>
    <t>2018/02/08 01:06:00</t>
  </si>
  <si>
    <t>2018/02/09 00:18:00</t>
  </si>
  <si>
    <t>2018/02/10 00:34:00</t>
  </si>
  <si>
    <t>2018/02/11 00:03:00</t>
  </si>
  <si>
    <t>2018/02/12 00:11:00</t>
  </si>
  <si>
    <t>2018/05/22 13:50:00</t>
  </si>
  <si>
    <t>2018/05/23 00:44:00</t>
  </si>
  <si>
    <t>2018/05/24 00:09:00</t>
  </si>
  <si>
    <t>2018/05/24 16:10:00</t>
  </si>
  <si>
    <t>2018/05/25 00:11:00</t>
  </si>
  <si>
    <t>2018/05/08 20:32:00</t>
  </si>
  <si>
    <t>2018/05/08 23:49:00</t>
  </si>
  <si>
    <t>2018/05/09 00:30:00</t>
  </si>
  <si>
    <t>2019/12/04 21:10:00</t>
  </si>
  <si>
    <t>2019/12/05 00:35:00</t>
  </si>
  <si>
    <t>2019/12/05 15:59:00</t>
  </si>
  <si>
    <t>2019/12/06 00:05:00</t>
  </si>
  <si>
    <t>2019/12/07 00:03:00</t>
  </si>
  <si>
    <t>2019/12/08 00:20:00</t>
  </si>
  <si>
    <t>2019/12/09 00:04:00</t>
  </si>
  <si>
    <t>2021/10/19 16:02:00</t>
  </si>
  <si>
    <t>2021/10/20 00:31:00</t>
  </si>
  <si>
    <t>2021/10/20 16:21:00</t>
  </si>
  <si>
    <t>2021/10/21 00:39:00</t>
  </si>
  <si>
    <t>2021/10/22 00:05:00</t>
  </si>
  <si>
    <t>2017/07/11 14:50:00</t>
  </si>
  <si>
    <t>2017/07/11 21:25:00</t>
  </si>
  <si>
    <t>2017/07/12 00:57:00</t>
  </si>
  <si>
    <t>2017/07/13 00:05:00</t>
  </si>
  <si>
    <t>2017/07/13 18:47:00</t>
  </si>
  <si>
    <t>2017/07/14 00:24:00</t>
  </si>
  <si>
    <t>2017/07/15 00:09:00</t>
  </si>
  <si>
    <t>2017/07/16 00:03:00</t>
  </si>
  <si>
    <t>2019/07/05 12:10:00</t>
  </si>
  <si>
    <t>2019/07/05 16:44:00</t>
  </si>
  <si>
    <t>2022/07/11 12:55:00</t>
  </si>
  <si>
    <t>2022/07/12 06:18:00</t>
  </si>
  <si>
    <t>2022/07/13 00:05:00</t>
  </si>
  <si>
    <t>2022/07/14 06:21:00</t>
  </si>
  <si>
    <t>2022/07/14 11:37:00</t>
  </si>
  <si>
    <t>2022/07/15 05:54:00</t>
  </si>
  <si>
    <t>2022/07/16 00:08:00</t>
  </si>
  <si>
    <t>2022/07/17 06:09:00</t>
  </si>
  <si>
    <t>2022/07/18 00:08:00</t>
  </si>
  <si>
    <t>2022/07/18 17:49:00</t>
  </si>
  <si>
    <t>2022/07/19 05:27:00</t>
  </si>
  <si>
    <t>2022/07/20 00:10:00</t>
  </si>
  <si>
    <t>2017/03/20 08:06:00</t>
  </si>
  <si>
    <t>2017/03/21 00:24:00</t>
  </si>
  <si>
    <t>2017/03/22 05:51:00</t>
  </si>
  <si>
    <t>2017/03/22 16:57:00</t>
  </si>
  <si>
    <t>2017/03/23 05:39:00</t>
  </si>
  <si>
    <t>2017/03/24 05:36:00</t>
  </si>
  <si>
    <t>2017/03/25 01:11:00</t>
  </si>
  <si>
    <t>2017/03/26 00:42:00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</si>
  <si>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</si>
  <si>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</si>
  <si>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</si>
  <si>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</si>
  <si>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</si>
  <si>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</si>
  <si>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</si>
  <si>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</si>
  <si>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</si>
  <si>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</si>
  <si>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</si>
  <si>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</si>
  <si>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</si>
  <si>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</si>
  <si>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</si>
  <si>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</si>
  <si>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</si>
  <si>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</si>
  <si>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</si>
  <si>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</si>
  <si>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</si>
  <si>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</si>
  <si>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</si>
  <si>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</si>
  <si>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</si>
  <si>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</si>
  <si>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</si>
  <si>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</si>
  <si>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</si>
  <si>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</si>
  <si>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</si>
  <si>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</si>
  <si>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</si>
  <si>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</si>
  <si>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</si>
  <si>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</si>
  <si>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</si>
  <si>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</si>
  <si>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</si>
  <si>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</si>
  <si>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Removed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</si>
  <si>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</si>
  <si>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</si>
  <si>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</si>
  <si>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</si>
  <si>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</si>
  <si>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</si>
  <si>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</si>
  <si>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</si>
  <si>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</si>
  <si>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</si>
  <si>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</si>
  <si>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</si>
  <si>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</si>
  <si>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</si>
  <si>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</si>
  <si>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</si>
  <si>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</si>
  <si>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</si>
  <si>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</si>
  <si>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</si>
  <si>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</si>
  <si>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</si>
  <si>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</si>
  <si>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</si>
  <si>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</si>
  <si>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TIME_DIFF</t>
  </si>
  <si>
    <t>Troponin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</si>
  <si>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</si>
  <si>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</si>
  <si>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</si>
  <si>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</si>
  <si>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</si>
  <si>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</si>
  <si>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</si>
  <si>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</si>
  <si>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</si>
  <si>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</si>
  <si>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</si>
  <si>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</si>
  <si>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</si>
  <si>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</si>
  <si>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</si>
  <si>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</si>
  <si>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</si>
  <si>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</si>
  <si>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</si>
  <si>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</si>
  <si>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</si>
  <si>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</si>
  <si>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</si>
  <si>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</si>
  <si>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</si>
  <si>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</si>
  <si>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</si>
  <si>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</si>
  <si>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</si>
  <si>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</si>
  <si>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</si>
  <si>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</si>
  <si>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</si>
  <si>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</si>
  <si>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</si>
  <si>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</si>
  <si>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</si>
  <si>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</si>
  <si>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</si>
  <si>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</si>
  <si>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</si>
  <si>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</si>
  <si>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</si>
  <si>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</si>
  <si>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</si>
  <si>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</si>
  <si>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2019/11/16</t>
  </si>
  <si>
    <t>2019/11/17</t>
  </si>
  <si>
    <t>2019/11/18</t>
  </si>
  <si>
    <t>2019/11/20</t>
  </si>
  <si>
    <t>2019/11/21</t>
  </si>
  <si>
    <t>2019/01/31</t>
  </si>
  <si>
    <t>2019/02/01</t>
  </si>
  <si>
    <t>2019/02/02</t>
  </si>
  <si>
    <t>2019/02/03</t>
  </si>
  <si>
    <t>2019/02/04</t>
  </si>
  <si>
    <t>2019/02/05</t>
  </si>
  <si>
    <t>2019/01/02</t>
  </si>
  <si>
    <t>2019/01/03</t>
  </si>
  <si>
    <t>2019/01/04</t>
  </si>
  <si>
    <t>2019/01/05</t>
  </si>
  <si>
    <t>2019/01/06</t>
  </si>
  <si>
    <t>2019/09/15</t>
  </si>
  <si>
    <t>2019/09/16</t>
  </si>
  <si>
    <t>2019/09/17</t>
  </si>
  <si>
    <t>2019/09/18</t>
  </si>
  <si>
    <t>2019/09/19</t>
  </si>
  <si>
    <t>2019/09/20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</si>
  <si>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</si>
  <si>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</si>
  <si>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</si>
  <si>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</si>
  <si>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</si>
  <si>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</si>
  <si>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</si>
  <si>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</si>
  <si>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</si>
  <si>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</si>
  <si>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</si>
  <si>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</si>
  <si>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</si>
  <si>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</si>
  <si>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</si>
  <si>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</si>
  <si>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</si>
  <si>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</si>
  <si>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2018/06/12</t>
  </si>
  <si>
    <t>2018/06/13</t>
  </si>
  <si>
    <t>2015/12/19</t>
  </si>
  <si>
    <t>2015/12/20</t>
  </si>
  <si>
    <t>2015/12/21</t>
  </si>
  <si>
    <t>2015/12/22</t>
  </si>
  <si>
    <t>2015/12/23</t>
  </si>
  <si>
    <t>2015/12/24</t>
  </si>
  <si>
    <t>2015/12/25</t>
  </si>
  <si>
    <t>2015/12/26</t>
  </si>
  <si>
    <t>2015/12/27</t>
  </si>
  <si>
    <t>2015/12/28</t>
  </si>
  <si>
    <t>2015/12/29</t>
  </si>
  <si>
    <t>2015/12/30</t>
  </si>
  <si>
    <t>2018/12/08</t>
  </si>
  <si>
    <t>2018/12/09</t>
  </si>
  <si>
    <t>2018/12/10</t>
  </si>
  <si>
    <t>2018/12/11</t>
  </si>
  <si>
    <t>2018/12/12</t>
  </si>
  <si>
    <t>2018/12/13</t>
  </si>
  <si>
    <t>2018/12/14</t>
  </si>
  <si>
    <t>2018/12/15</t>
  </si>
  <si>
    <t>2018/12/17</t>
  </si>
  <si>
    <t>2019/01/16</t>
  </si>
  <si>
    <t>2019/01/17</t>
  </si>
  <si>
    <t>2019/01/18</t>
  </si>
  <si>
    <t>2019/01/19</t>
  </si>
  <si>
    <t>2019/01/20</t>
  </si>
  <si>
    <t>2018/02/28</t>
  </si>
  <si>
    <t>2018/03/01</t>
  </si>
  <si>
    <t>2018/03/06</t>
  </si>
  <si>
    <t>2018/03/07</t>
  </si>
  <si>
    <t>2018/05/05</t>
  </si>
  <si>
    <t>2018/05/06</t>
  </si>
  <si>
    <t>2018/05/19</t>
  </si>
  <si>
    <t>2018/05/20</t>
  </si>
  <si>
    <t>2018/05/21</t>
  </si>
  <si>
    <t>2023/05/22</t>
  </si>
  <si>
    <t>2023/05/23</t>
  </si>
  <si>
    <t>2023/05/24</t>
  </si>
  <si>
    <t>2023/05/25</t>
  </si>
  <si>
    <t>2023/05/26</t>
  </si>
  <si>
    <t>2023/05/27</t>
  </si>
  <si>
    <t>2023/03/05</t>
  </si>
  <si>
    <t>2023/03/06</t>
  </si>
  <si>
    <t>2023/03/07</t>
  </si>
  <si>
    <t>2023/03/08</t>
  </si>
  <si>
    <t>2023/03/09</t>
  </si>
  <si>
    <t>2023/01/19</t>
  </si>
  <si>
    <t>2023/01/20</t>
  </si>
  <si>
    <t>2023/01/21</t>
  </si>
  <si>
    <t>2023/01/22</t>
  </si>
  <si>
    <t>2023/01/23</t>
  </si>
  <si>
    <t>2023/01/24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</si>
  <si>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</si>
  <si>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</si>
  <si>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</si>
  <si>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</si>
  <si>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</si>
  <si>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</si>
  <si>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</si>
  <si>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</si>
  <si>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</si>
  <si>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</si>
  <si>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</si>
  <si>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</si>
  <si>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</si>
  <si>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</si>
  <si>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</si>
  <si>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</si>
  <si>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2017/04/24</t>
  </si>
  <si>
    <t>2017/04/25</t>
  </si>
  <si>
    <t>2017/04/26</t>
  </si>
  <si>
    <t>2017/04/27</t>
  </si>
  <si>
    <t>2017/04/28</t>
  </si>
  <si>
    <t>2017/04/29</t>
  </si>
  <si>
    <t>2017/04/30</t>
  </si>
  <si>
    <t>2017/05/01</t>
  </si>
  <si>
    <t>2017/05/02</t>
  </si>
  <si>
    <t>2017/06/01</t>
  </si>
  <si>
    <t>2022/11/28</t>
  </si>
  <si>
    <t>2022/11/29</t>
  </si>
  <si>
    <t>2022/11/30</t>
  </si>
  <si>
    <t>2022/12/01</t>
  </si>
  <si>
    <t>2022/12/02</t>
  </si>
  <si>
    <t>2022/12/03</t>
  </si>
  <si>
    <t>2022/12/05</t>
  </si>
  <si>
    <t>2022/12/06</t>
  </si>
  <si>
    <t>2022/12/07</t>
  </si>
  <si>
    <t>2015/06/24</t>
  </si>
  <si>
    <t>2015/06/25</t>
  </si>
  <si>
    <t>2015/06/26</t>
  </si>
  <si>
    <t>2015/06/27</t>
  </si>
  <si>
    <t>2015/06/28</t>
  </si>
  <si>
    <t>2015/06/29</t>
  </si>
  <si>
    <t>2015/06/30</t>
  </si>
  <si>
    <t>2015/07/01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</si>
  <si>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</si>
  <si>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</si>
  <si>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</si>
  <si>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</si>
  <si>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</si>
  <si>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</si>
  <si>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</si>
  <si>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</si>
  <si>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</si>
  <si>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</si>
  <si>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</si>
  <si>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</si>
  <si>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</si>
  <si>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</si>
  <si>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</si>
  <si>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</si>
  <si>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</si>
  <si>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</si>
  <si>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</si>
  <si>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</si>
  <si>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</si>
  <si>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</si>
  <si>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</si>
  <si>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</si>
  <si>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</si>
  <si>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</si>
  <si>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</si>
  <si>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</si>
  <si>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</si>
  <si>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</si>
  <si>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</si>
  <si>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</si>
  <si>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2021/09/05</t>
  </si>
  <si>
    <t>2021/09/06</t>
  </si>
  <si>
    <t>2021/09/07</t>
  </si>
  <si>
    <t>2021/05/18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</si>
  <si>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</si>
  <si>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</si>
  <si>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</si>
  <si>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</si>
  <si>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</si>
  <si>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</si>
  <si>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</si>
  <si>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</si>
  <si>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</si>
  <si>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</si>
  <si>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</si>
  <si>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</si>
  <si>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</si>
  <si>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</si>
  <si>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</si>
  <si>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</si>
  <si>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</si>
  <si>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</si>
  <si>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</si>
  <si>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</si>
  <si>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</si>
  <si>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2021/04/08</t>
  </si>
  <si>
    <t>2021/04/09</t>
  </si>
  <si>
    <t>2021/04/10</t>
  </si>
  <si>
    <t>2021/04/11</t>
  </si>
  <si>
    <t>2021/04/12</t>
  </si>
  <si>
    <t>2021/04/13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</si>
  <si>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</si>
  <si>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</si>
  <si>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</si>
  <si>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</si>
  <si>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</si>
  <si>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</si>
  <si>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</si>
  <si>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</si>
  <si>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</si>
  <si>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</si>
  <si>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</si>
  <si>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</si>
  <si>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2018/04/06</t>
  </si>
  <si>
    <t>2018/04/07</t>
  </si>
  <si>
    <t>2019/02/19</t>
  </si>
  <si>
    <t>2019/02/20</t>
  </si>
  <si>
    <t>2019/02/21</t>
  </si>
  <si>
    <t>2019/02/22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</si>
  <si>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</si>
  <si>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</si>
  <si>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</si>
  <si>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</si>
  <si>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</si>
  <si>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</si>
  <si>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</si>
  <si>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</si>
  <si>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</si>
  <si>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</si>
  <si>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</si>
  <si>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</si>
  <si>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</si>
  <si>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</si>
  <si>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</si>
  <si>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2019/11/25</t>
  </si>
  <si>
    <t>2019/11/26</t>
  </si>
  <si>
    <t>2019/11/27</t>
  </si>
  <si>
    <t>2019/11/28</t>
  </si>
  <si>
    <t>2019/11/29</t>
  </si>
  <si>
    <t>2019/12/01</t>
  </si>
  <si>
    <t>2019/12/03</t>
  </si>
  <si>
    <t>2019/11/22</t>
  </si>
  <si>
    <t>2019/11/23</t>
  </si>
  <si>
    <t>2019/11/24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</si>
  <si>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</si>
  <si>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</si>
  <si>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</si>
  <si>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</si>
  <si>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</si>
  <si>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</si>
  <si>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</si>
  <si>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</si>
  <si>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</si>
  <si>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</si>
  <si>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</si>
  <si>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</si>
  <si>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</si>
  <si>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</si>
  <si>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2017/04/05</t>
  </si>
  <si>
    <t>2017/04/06</t>
  </si>
  <si>
    <t>2017/04/07</t>
  </si>
  <si>
    <t>2017/04/08</t>
  </si>
  <si>
    <t>2017/04/09</t>
  </si>
  <si>
    <t>2017/04/10</t>
  </si>
  <si>
    <t>2017/04/11</t>
  </si>
  <si>
    <t>2017/04/12</t>
  </si>
  <si>
    <t>2017/04/13</t>
  </si>
  <si>
    <t>2017/04/14</t>
  </si>
  <si>
    <t>2017/04/15</t>
  </si>
  <si>
    <t>2018/01/04</t>
  </si>
  <si>
    <t>2017/10/09</t>
  </si>
  <si>
    <t>2017/10/10</t>
  </si>
  <si>
    <t>2017/10/11</t>
  </si>
  <si>
    <t>2017/10/12</t>
  </si>
  <si>
    <t>2017/10/13</t>
  </si>
  <si>
    <t>2017/10/14</t>
  </si>
  <si>
    <t>2017/10/15</t>
  </si>
  <si>
    <t>2017/10/16</t>
  </si>
  <si>
    <t>2017/10/17</t>
  </si>
  <si>
    <t>2017/06/12</t>
  </si>
  <si>
    <t>2017/06/13</t>
  </si>
  <si>
    <t>2017/06/14</t>
  </si>
  <si>
    <t>2017/06/15</t>
  </si>
  <si>
    <t>2017/06/16</t>
  </si>
  <si>
    <t>2017/06/17</t>
  </si>
  <si>
    <t>2017/06/18</t>
  </si>
  <si>
    <t>2017/06/19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</si>
  <si>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</si>
  <si>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</si>
  <si>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</si>
  <si>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</si>
  <si>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</si>
  <si>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</si>
  <si>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</si>
  <si>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</si>
  <si>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</si>
  <si>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</si>
  <si>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2019/05/21</t>
  </si>
  <si>
    <t>2019/11/21 00:02:00</t>
  </si>
  <si>
    <t>2019/11/20 00:28:00</t>
  </si>
  <si>
    <t>2019/11/18 00:32:00</t>
  </si>
  <si>
    <t>2019/11/17 00:41:00</t>
  </si>
  <si>
    <t>2019/11/16 23:17:00</t>
  </si>
  <si>
    <t>2019/11/16 18:50:00</t>
  </si>
  <si>
    <t>2019/01/31 20:31:00</t>
  </si>
  <si>
    <t>2019/01/31 23:56:00</t>
  </si>
  <si>
    <t>2019/02/01 00:16:00</t>
  </si>
  <si>
    <t>2019/02/02 00:12:00</t>
  </si>
  <si>
    <t>2019/02/03 00:09:00</t>
  </si>
  <si>
    <t>2019/02/04 00:01:00</t>
  </si>
  <si>
    <t>2019/02/05 00:03:00</t>
  </si>
  <si>
    <t>2019/01/02 07:44:00</t>
  </si>
  <si>
    <t>2019/01/02 18:04:00</t>
  </si>
  <si>
    <t>2019/01/03 00:34:00</t>
  </si>
  <si>
    <t>2019/01/04 05:37:00</t>
  </si>
  <si>
    <t>2019/01/05 00:03:00</t>
  </si>
  <si>
    <t>2019/01/06 00:11:00</t>
  </si>
  <si>
    <t>2019/02/24 10:33:00</t>
  </si>
  <si>
    <t>2019/02/24 15:39:00</t>
  </si>
  <si>
    <t>2019/02/24 23:37:00</t>
  </si>
  <si>
    <t>2019/03/01 00:49:00</t>
  </si>
  <si>
    <t>2019/03/04 05:42:00</t>
  </si>
  <si>
    <t>2019/09/15 07:51:00</t>
  </si>
  <si>
    <t>2019/09/15 16:35:00</t>
  </si>
  <si>
    <t>2019/09/16 00:23:00</t>
  </si>
  <si>
    <t>2019/09/17 00:11:00</t>
  </si>
  <si>
    <t>2019/09/18 00:09:00</t>
  </si>
  <si>
    <t>2019/09/19 00:54:00</t>
  </si>
  <si>
    <t>2019/09/20 00:03:00</t>
  </si>
  <si>
    <t>2019/12/22 02:43:00</t>
  </si>
  <si>
    <t>2019/12/22 08:52:00</t>
  </si>
  <si>
    <t>2019/12/22 15:41:00</t>
  </si>
  <si>
    <t>2019/12/23 00:05:00</t>
  </si>
  <si>
    <t>2019/12/24 00:07:00</t>
  </si>
  <si>
    <t>2019/12/25 00:21:00</t>
  </si>
  <si>
    <t>2019/12/26 00:27:00</t>
  </si>
  <si>
    <t>2019/12/27 00:04:00</t>
  </si>
  <si>
    <t>2019/12/28 00:26:00</t>
  </si>
  <si>
    <t>2019/12/29 06:07:00</t>
  </si>
  <si>
    <t>2019/12/30 06:12:00</t>
  </si>
  <si>
    <t>2019/08/27 07:13:00</t>
  </si>
  <si>
    <t>2019/08/27 12:30:00</t>
  </si>
  <si>
    <t>2019/08/27 17:48:00</t>
  </si>
  <si>
    <t>2019/08/28 00:07:00</t>
  </si>
  <si>
    <t>2019/08/29 00:35:00</t>
  </si>
  <si>
    <t>2019/08/30 00:05:00</t>
  </si>
  <si>
    <t>2019/08/31 00:10:00</t>
  </si>
  <si>
    <t>2019/09/01 05:58:00</t>
  </si>
  <si>
    <t>2019/09/02 00:04:00</t>
  </si>
  <si>
    <t>2019/09/02 17:33:00</t>
  </si>
  <si>
    <t>2019/09/03 00:03:00</t>
  </si>
  <si>
    <t>2019/09/04 00:05:00</t>
  </si>
  <si>
    <t>2018/06/12 02:16:00</t>
  </si>
  <si>
    <t>2018/06/12 02:30:00</t>
  </si>
  <si>
    <t>2018/06/12 08:36:00</t>
  </si>
  <si>
    <t>2018/06/12 16:12:00</t>
  </si>
  <si>
    <t>2018/06/13 00:34:00</t>
  </si>
  <si>
    <t>2018/06/14 00:20:00</t>
  </si>
  <si>
    <t>2018/06/16 00:03:00</t>
  </si>
  <si>
    <t>2015/12/19 02:56:00</t>
  </si>
  <si>
    <t>2015/12/19 03:14:00</t>
  </si>
  <si>
    <t>2015/12/19 16:53:00</t>
  </si>
  <si>
    <t>2015/12/20 00:20:00</t>
  </si>
  <si>
    <t>2015/12/21 00:01:00</t>
  </si>
  <si>
    <t>2015/12/22 00:10:00</t>
  </si>
  <si>
    <t>2015/12/22 16:37:00</t>
  </si>
  <si>
    <t>2015/12/23 00:05:00</t>
  </si>
  <si>
    <t>2015/12/24 00:04:00</t>
  </si>
  <si>
    <t>2015/12/25 00:16:00</t>
  </si>
  <si>
    <t>2015/12/26 05:49:00</t>
  </si>
  <si>
    <t>2015/12/27 00:29:00</t>
  </si>
  <si>
    <t>2015/12/28 00:04:00</t>
  </si>
  <si>
    <t>2015/12/29 05:46:00</t>
  </si>
  <si>
    <t>2015/12/30 05:51:00</t>
  </si>
  <si>
    <t>2018/12/08 11:05:00</t>
  </si>
  <si>
    <t>2018/12/08 16:54:00</t>
  </si>
  <si>
    <t>2018/12/09 00:31:00</t>
  </si>
  <si>
    <t>2018/12/10 00:09:00</t>
  </si>
  <si>
    <t>2018/12/11 00:06:00</t>
  </si>
  <si>
    <t>2018/12/12 00:11:00</t>
  </si>
  <si>
    <t>2018/12/13 00:09:00</t>
  </si>
  <si>
    <t>2018/12/14 00:03:00</t>
  </si>
  <si>
    <t>2018/12/15 05:40:00</t>
  </si>
  <si>
    <t>2018/12/17 00:06:00</t>
  </si>
  <si>
    <t>2019/01/16 11:35:00</t>
  </si>
  <si>
    <t>2019/01/16 16:25:00</t>
  </si>
  <si>
    <t>2019/01/17 00:24:00</t>
  </si>
  <si>
    <t>2019/01/18 00:14:00</t>
  </si>
  <si>
    <t>2019/01/19 00:04:00</t>
  </si>
  <si>
    <t>2019/01/20 00:01:00</t>
  </si>
  <si>
    <t>2018/02/28 13:47:00</t>
  </si>
  <si>
    <t>2018/02/28 18:54:00</t>
  </si>
  <si>
    <t>2018/03/01 00:22:00</t>
  </si>
  <si>
    <t>2018/03/02 00:26:00</t>
  </si>
  <si>
    <t>2018/03/05 00:22:00</t>
  </si>
  <si>
    <t>2018/03/06 00:02:00</t>
  </si>
  <si>
    <t>2018/03/07 00:03:00</t>
  </si>
  <si>
    <t>2018/05/05 11:14:00</t>
  </si>
  <si>
    <t>2018/05/05 17:37:00</t>
  </si>
  <si>
    <t>2018/05/06 00:07:00</t>
  </si>
  <si>
    <t>2018/05/06 15:37:00</t>
  </si>
  <si>
    <t>2018/05/07 00:03:00</t>
  </si>
  <si>
    <t>2018/05/08 00:14:00</t>
  </si>
  <si>
    <t>2018/05/09 05:46:00</t>
  </si>
  <si>
    <t>2018/05/19 11:26:00</t>
  </si>
  <si>
    <t>2018/05/19 16:58:00</t>
  </si>
  <si>
    <t>2018/05/20 00:16:00</t>
  </si>
  <si>
    <t>2018/05/21 00:12:00</t>
  </si>
  <si>
    <t>2018/05/22 00:34:00</t>
  </si>
  <si>
    <t>2018/05/23 00:10:00</t>
  </si>
  <si>
    <t>2018/05/24 05:29:00</t>
  </si>
  <si>
    <t>2023/05/22 15:04:00</t>
  </si>
  <si>
    <t>2023/05/22 18:45:00</t>
  </si>
  <si>
    <t>2023/05/23 00:00:00</t>
  </si>
  <si>
    <t>2023/05/24 00:08:00</t>
  </si>
  <si>
    <t>2023/05/25 00:57:00</t>
  </si>
  <si>
    <t>2023/05/25 15:18:00</t>
  </si>
  <si>
    <t>2023/05/26 05:45:00</t>
  </si>
  <si>
    <t>2023/05/27 05:50:00</t>
  </si>
  <si>
    <t>2023/03/05 18:35:00</t>
  </si>
  <si>
    <t>2023/03/05 23:21:00</t>
  </si>
  <si>
    <t>2023/03/06 00:06:00</t>
  </si>
  <si>
    <t>2023/03/07 00:21:00</t>
  </si>
  <si>
    <t>2023/03/08 00:11:00</t>
  </si>
  <si>
    <t>2023/03/09 05:50:00</t>
  </si>
  <si>
    <t>2023/01/19 19:51:00</t>
  </si>
  <si>
    <t>2023/01/20 00:02:00</t>
  </si>
  <si>
    <t>2023/01/20 00:20:00</t>
  </si>
  <si>
    <t>2023/01/20 15:56:00</t>
  </si>
  <si>
    <t>2023/01/21 06:19:00</t>
  </si>
  <si>
    <t>2023/01/22 00:09:00</t>
  </si>
  <si>
    <t>2023/01/23 00:13:00</t>
  </si>
  <si>
    <t>2023/01/24 00:07:00</t>
  </si>
  <si>
    <t>2021/10/31 17:21:00</t>
  </si>
  <si>
    <t>2021/10/31 23:24:00</t>
  </si>
  <si>
    <t>2021/11/01 00:28:00</t>
  </si>
  <si>
    <t>2021/11/01 16:52:00</t>
  </si>
  <si>
    <t>2021/11/02 00:34:00</t>
  </si>
  <si>
    <t>2021/11/03 00:03:00</t>
  </si>
  <si>
    <t>2021/11/04 00:17:00</t>
  </si>
  <si>
    <t>2021/11/05 00:14:00</t>
  </si>
  <si>
    <t>2021/11/06 00:01:00</t>
  </si>
  <si>
    <t>2021/11/07 00:01:00</t>
  </si>
  <si>
    <t>2021/11/08 00:06:00</t>
  </si>
  <si>
    <t>2021/06/01 18:03:00</t>
  </si>
  <si>
    <t>2021/06/01 23:08:00</t>
  </si>
  <si>
    <t>2021/06/02 00:11:00</t>
  </si>
  <si>
    <t>2021/06/03 00:36:00</t>
  </si>
  <si>
    <t>2021/06/04 00:56:00</t>
  </si>
  <si>
    <t>2021/06/05 00:17:00</t>
  </si>
  <si>
    <t>2021/06/06 00:03:00</t>
  </si>
  <si>
    <t>2021/06/07 05:45:00</t>
  </si>
  <si>
    <t>2017/04/24 20:21:00</t>
  </si>
  <si>
    <t>2017/04/24 21:32:00</t>
  </si>
  <si>
    <t>2017/04/25 00:17:00</t>
  </si>
  <si>
    <t>2017/04/26 00:31:00</t>
  </si>
  <si>
    <t>2017/04/27 00:08:00</t>
  </si>
  <si>
    <t>2017/04/28 00:40:00</t>
  </si>
  <si>
    <t>2017/04/28 18:52:00</t>
  </si>
  <si>
    <t>2017/04/29 00:17:00</t>
  </si>
  <si>
    <t>2017/04/30 00:25:00</t>
  </si>
  <si>
    <t>2017/05/01 00:18:00</t>
  </si>
  <si>
    <t>2017/05/02 00:31:00</t>
  </si>
  <si>
    <t>2017/06/01 10:04:00</t>
  </si>
  <si>
    <t>2017/06/01 13:08:00</t>
  </si>
  <si>
    <t>2022/11/28 21:24:00</t>
  </si>
  <si>
    <t>2022/11/29 01:00:00</t>
  </si>
  <si>
    <t>2022/11/29 17:41:00</t>
  </si>
  <si>
    <t>2022/11/30 06:10:00</t>
  </si>
  <si>
    <t>2022/12/01 00:03:00</t>
  </si>
  <si>
    <t>2022/12/02 05:58:00</t>
  </si>
  <si>
    <t>2022/12/03 05:49:00</t>
  </si>
  <si>
    <t>2022/12/05 00:04:00</t>
  </si>
  <si>
    <t>2022/12/06 00:03:00</t>
  </si>
  <si>
    <t>2022/12/06 18:54:00</t>
  </si>
  <si>
    <t>2022/12/07 10:38:00</t>
  </si>
  <si>
    <t>2015/06/24 02:31:00</t>
  </si>
  <si>
    <t>2015/06/24 02:32:00</t>
  </si>
  <si>
    <t>2015/06/24 16:14:00</t>
  </si>
  <si>
    <t>2015/06/25 00:12:00</t>
  </si>
  <si>
    <t>2015/06/26 00:20:00</t>
  </si>
  <si>
    <t>2015/06/27 00:05:00</t>
  </si>
  <si>
    <t>2015/06/28 00:02:00</t>
  </si>
  <si>
    <t>2015/06/29 00:06:00</t>
  </si>
  <si>
    <t>2015/06/29 20:37:00</t>
  </si>
  <si>
    <t>2015/06/30 00:29:00</t>
  </si>
  <si>
    <t>2015/07/01 08:52:00</t>
  </si>
  <si>
    <t>2021/03/31 14:21:00</t>
  </si>
  <si>
    <t>2021/03/31 19:29:00</t>
  </si>
  <si>
    <t>2021/04/01 00:18:00</t>
  </si>
  <si>
    <t>2021/04/02 01:01:00</t>
  </si>
  <si>
    <t>2021/04/03 00:21:00</t>
  </si>
  <si>
    <t>2021/04/04 05:36:00</t>
  </si>
  <si>
    <t>2021/04/05 00:02:00</t>
  </si>
  <si>
    <t>2021/04/06 00:03:00</t>
  </si>
  <si>
    <t>2021/04/07 00:02:00</t>
  </si>
  <si>
    <t>2021/05/02 19:04:00</t>
  </si>
  <si>
    <t>2021/05/02 23:41:00</t>
  </si>
  <si>
    <t>2021/05/03 00:13:00</t>
  </si>
  <si>
    <t>2021/05/04 00:24:00</t>
  </si>
  <si>
    <t>2021/05/05 00:02:00</t>
  </si>
  <si>
    <t>2021/05/06 00:10:00</t>
  </si>
  <si>
    <t>2021/05/07 00:07:00</t>
  </si>
  <si>
    <t>2021/05/08 05:57:00</t>
  </si>
  <si>
    <t>2021/05/09 00:03:00</t>
  </si>
  <si>
    <t>2021/05/10 00:04:00</t>
  </si>
  <si>
    <t>2021/05/10 18:27:00</t>
  </si>
  <si>
    <t>2021/05/11 00:12:00</t>
  </si>
  <si>
    <t>2021/06/30 21:54:00</t>
  </si>
  <si>
    <t>2021/07/01 00:30:00</t>
  </si>
  <si>
    <t>2021/07/01 17:43:00</t>
  </si>
  <si>
    <t>2021/07/02 00:16:00</t>
  </si>
  <si>
    <t>2021/07/03 00:36:00</t>
  </si>
  <si>
    <t>2021/07/04 00:32:00</t>
  </si>
  <si>
    <t>2021/07/05 00:23:00</t>
  </si>
  <si>
    <t>2021/07/05 18:14:00</t>
  </si>
  <si>
    <t>2021/07/06 00:29:00</t>
  </si>
  <si>
    <t>2021/07/07 00:06:00</t>
  </si>
  <si>
    <t>2021/08/22 08:33:00</t>
  </si>
  <si>
    <t>2021/08/22 14:11:00</t>
  </si>
  <si>
    <t>2021/08/23 00:24:00</t>
  </si>
  <si>
    <t>2021/08/26 00:17:00</t>
  </si>
  <si>
    <t>2021/08/27 05:48:00</t>
  </si>
  <si>
    <t>2021/08/28 00:02:00</t>
  </si>
  <si>
    <t>2021/08/29 00:03:00</t>
  </si>
  <si>
    <t>2021/08/30 06:05:00</t>
  </si>
  <si>
    <t>2021/08/31 05:42:00</t>
  </si>
  <si>
    <t>2021/09/01 05:50:00</t>
  </si>
  <si>
    <t>2021/09/02 00:02:00</t>
  </si>
  <si>
    <t>2021/09/03 00:04:00</t>
  </si>
  <si>
    <t>2021/09/05 05:52:00</t>
  </si>
  <si>
    <t>2021/09/06 05:46:00</t>
  </si>
  <si>
    <t>2021/09/07 00:05:00</t>
  </si>
  <si>
    <t>2021/05/12 12:43:00</t>
  </si>
  <si>
    <t>2021/05/12 14:31:00</t>
  </si>
  <si>
    <t>2021/05/13 00:56:00</t>
  </si>
  <si>
    <t>2021/05/18 05:52:00</t>
  </si>
  <si>
    <t>2021/07/27 17:03:00</t>
  </si>
  <si>
    <t>2021/07/27 21:41:00</t>
  </si>
  <si>
    <t>2021/07/28 00:25:00</t>
  </si>
  <si>
    <t>2021/07/28 00:26:00</t>
  </si>
  <si>
    <t>2021/07/29 00:34:00</t>
  </si>
  <si>
    <t>2021/07/30 00:30:00</t>
  </si>
  <si>
    <t>2021/07/31 00:49:00</t>
  </si>
  <si>
    <t>2021/08/01 00:10:00</t>
  </si>
  <si>
    <t>2021/08/02 00:10:00</t>
  </si>
  <si>
    <t>2021/08/03 00:46:00</t>
  </si>
  <si>
    <t>2021/08/04 08:23:00</t>
  </si>
  <si>
    <t>2021/08/05 00:01:00</t>
  </si>
  <si>
    <t>2021/08/06 00:03:00</t>
  </si>
  <si>
    <t>2021/08/07 00:13:00</t>
  </si>
  <si>
    <t>2021/08/08 00:08:00</t>
  </si>
  <si>
    <t>2021/08/09 00:07:00</t>
  </si>
  <si>
    <t>2021/08/10 00:05:00</t>
  </si>
  <si>
    <t>2021/08/11 00:03:00</t>
  </si>
  <si>
    <t>2021/08/12 05:45:00</t>
  </si>
  <si>
    <t>2021/08/13 00:05:00</t>
  </si>
  <si>
    <t>2021/08/14 00:06:00</t>
  </si>
  <si>
    <t>2021/08/15 06:05:00</t>
  </si>
  <si>
    <t>2021/08/16 06:01:00</t>
  </si>
  <si>
    <t>2021/04/06 15:42:00</t>
  </si>
  <si>
    <t>2021/04/06 22:49:00</t>
  </si>
  <si>
    <t>2021/04/07 00:52:00</t>
  </si>
  <si>
    <t>2021/04/08 00:36:00</t>
  </si>
  <si>
    <t>2021/04/09 00:17:00</t>
  </si>
  <si>
    <t>2021/04/10 00:39:00</t>
  </si>
  <si>
    <t>2021/04/11 00:01:00</t>
  </si>
  <si>
    <t>2021/04/12 00:02:00</t>
  </si>
  <si>
    <t>2021/04/12 16:43:00</t>
  </si>
  <si>
    <t>2021/04/13 05:37:00</t>
  </si>
  <si>
    <t>2021/07/07 23:03:00</t>
  </si>
  <si>
    <t>2021/07/08 00:18:00</t>
  </si>
  <si>
    <t>2021/07/09 00:27:00</t>
  </si>
  <si>
    <t>2021/07/10 00:26:00</t>
  </si>
  <si>
    <t>2021/07/11 00:08:00</t>
  </si>
  <si>
    <t>2021/07/12 00:10:00</t>
  </si>
  <si>
    <t>2021/07/13 00:34:00</t>
  </si>
  <si>
    <t>2021/07/14 00:05:00</t>
  </si>
  <si>
    <t>2021/07/15 00:04:00</t>
  </si>
  <si>
    <t>2021/07/12 22:59:00</t>
  </si>
  <si>
    <t>2021/07/13 01:30:00</t>
  </si>
  <si>
    <t>2021/07/13 17:58:00</t>
  </si>
  <si>
    <t>2021/07/15 00:21:00</t>
  </si>
  <si>
    <t>2021/07/16 00:18:00</t>
  </si>
  <si>
    <t>2021/07/17 00:04:00</t>
  </si>
  <si>
    <t>2021/07/18 00:15:00</t>
  </si>
  <si>
    <t>2021/07/19 00:01:00</t>
  </si>
  <si>
    <t>2018/04/06 16:02:00</t>
  </si>
  <si>
    <t>2018/04/06 21:45:00</t>
  </si>
  <si>
    <t>2018/04/07 00:05:00</t>
  </si>
  <si>
    <t>2018/04/08 00:13:00</t>
  </si>
  <si>
    <t>2018/04/09 00:26:00</t>
  </si>
  <si>
    <t>2018/04/10 00:10:00</t>
  </si>
  <si>
    <t>2019/02/19 11:42:00</t>
  </si>
  <si>
    <t>2019/02/19 17:29:00</t>
  </si>
  <si>
    <t>2019/02/20 00:07:00</t>
  </si>
  <si>
    <t>2019/02/21 00:17:00</t>
  </si>
  <si>
    <t>2019/02/22 00:17:00</t>
  </si>
  <si>
    <t>2019/02/23 00:16:00</t>
  </si>
  <si>
    <t>2019/02/24 11:43:00</t>
  </si>
  <si>
    <t>2019/02/26 00:05:00</t>
  </si>
  <si>
    <t>2019/10/31 01:01:00</t>
  </si>
  <si>
    <t>2019/10/31 01:21:00</t>
  </si>
  <si>
    <t>2019/10/31 15:40:00</t>
  </si>
  <si>
    <t>2019/11/01 02:29:00</t>
  </si>
  <si>
    <t>2019/11/02 00:29:00</t>
  </si>
  <si>
    <t>2019/11/03 00:31:00</t>
  </si>
  <si>
    <t>2019/11/04 00:04:00</t>
  </si>
  <si>
    <t>2019/11/05 00:20:00</t>
  </si>
  <si>
    <t>2019/11/06 00:04:00</t>
  </si>
  <si>
    <t>2019/11/07 00:05:00</t>
  </si>
  <si>
    <t>2019/11/08 00:05:00</t>
  </si>
  <si>
    <t>2019/11/09 00:04:00</t>
  </si>
  <si>
    <t>2019/11/10 05:47:00</t>
  </si>
  <si>
    <t>2019/11/11 00:03:00</t>
  </si>
  <si>
    <t>2019/11/12 00:04:00</t>
  </si>
  <si>
    <t>2019/11/13 01:05:00</t>
  </si>
  <si>
    <t>2019/11/14 00:08:00</t>
  </si>
  <si>
    <t>2019/11/15 00:13:00</t>
  </si>
  <si>
    <t>2019/11/25 16:23:00</t>
  </si>
  <si>
    <t>2019/11/25 21:32:00</t>
  </si>
  <si>
    <t>2019/11/26 00:10:00</t>
  </si>
  <si>
    <t>2019/11/27 00:28:00</t>
  </si>
  <si>
    <t>2019/11/28 00:29:00</t>
  </si>
  <si>
    <t>2019/11/29 00:06:00</t>
  </si>
  <si>
    <t>2019/12/01 00:03:00</t>
  </si>
  <si>
    <t>2019/12/02 00:04:00</t>
  </si>
  <si>
    <t>2019/12/03 00:07:00</t>
  </si>
  <si>
    <t>2019/11/21 21:03:00</t>
  </si>
  <si>
    <t>2019/11/22 00:02:00</t>
  </si>
  <si>
    <t>2019/11/22 00:07:00</t>
  </si>
  <si>
    <t>2019/11/22 16:40:00</t>
  </si>
  <si>
    <t>2019/11/23 00:02:00</t>
  </si>
  <si>
    <t>2019/11/24 00:15:00</t>
  </si>
  <si>
    <t>2019/11/25 00:42:00</t>
  </si>
  <si>
    <t>2019/11/25 15:48:00</t>
  </si>
  <si>
    <t>2019/11/27 00:05:00</t>
  </si>
  <si>
    <t>2019/12/20 11:12:00</t>
  </si>
  <si>
    <t>2019/12/20 17:26:00</t>
  </si>
  <si>
    <t>2019/12/21 00:08:00</t>
  </si>
  <si>
    <t>2019/12/22 00:09:00</t>
  </si>
  <si>
    <t>2019/12/27 00:16:00</t>
  </si>
  <si>
    <t>2019/12/27 22:02:00</t>
  </si>
  <si>
    <t>2019/12/28 00:14:00</t>
  </si>
  <si>
    <t>2020/06/25 20:21:00</t>
  </si>
  <si>
    <t>2020/06/25 23:10:00</t>
  </si>
  <si>
    <t>2020/06/26 00:07:00</t>
  </si>
  <si>
    <t>2020/06/27 00:18:00</t>
  </si>
  <si>
    <t>2020/06/28 00:21:00</t>
  </si>
  <si>
    <t>2020/06/29 00:14:00</t>
  </si>
  <si>
    <t>2020/06/30 00:06:00</t>
  </si>
  <si>
    <t>2020/07/01 00:05:00</t>
  </si>
  <si>
    <t>2021/07/07 14:45:00</t>
  </si>
  <si>
    <t>2021/07/07 19:01:00</t>
  </si>
  <si>
    <t>2021/07/09 17:20:00</t>
  </si>
  <si>
    <t>2021/07/12 00:19:00</t>
  </si>
  <si>
    <t>2021/07/07 18:41:00</t>
  </si>
  <si>
    <t>2021/07/07 23:04:00</t>
  </si>
  <si>
    <t>2021/07/13 00:01:00</t>
  </si>
  <si>
    <t>2021/02/22 11:55:00</t>
  </si>
  <si>
    <t>2021/02/22 21:14:00</t>
  </si>
  <si>
    <t>2021/02/23 00:21:00</t>
  </si>
  <si>
    <t>2021/02/24 00:20:00</t>
  </si>
  <si>
    <t>2021/02/25 00:15:00</t>
  </si>
  <si>
    <t>2021/02/26 00:43:00</t>
  </si>
  <si>
    <t>2021/02/27 05:42:00</t>
  </si>
  <si>
    <t>2021/02/28 00:01:00</t>
  </si>
  <si>
    <t>2017/04/05 14:25:00</t>
  </si>
  <si>
    <t>2017/04/05 23:33:00</t>
  </si>
  <si>
    <t>2017/04/06 00:27:00</t>
  </si>
  <si>
    <t>2017/04/07 00:55:00</t>
  </si>
  <si>
    <t>2017/04/08 00:25:00</t>
  </si>
  <si>
    <t>2017/04/09 00:13:00</t>
  </si>
  <si>
    <t>2017/04/10 00:11:00</t>
  </si>
  <si>
    <t>2017/04/11 00:31:00</t>
  </si>
  <si>
    <t>2017/04/12 06:04:00</t>
  </si>
  <si>
    <t>2017/04/13 05:46:00</t>
  </si>
  <si>
    <t>2017/04/14 05:38:00</t>
  </si>
  <si>
    <t>2017/04/15 00:04:00</t>
  </si>
  <si>
    <t>2018/01/04 13:55:00</t>
  </si>
  <si>
    <t>2018/01/04 18:00:00</t>
  </si>
  <si>
    <t>2018/01/05 00:21:00</t>
  </si>
  <si>
    <t>2018/01/07 05:45:00</t>
  </si>
  <si>
    <t>2017/10/09 17:04:00</t>
  </si>
  <si>
    <t>2017/10/09 22:32:00</t>
  </si>
  <si>
    <t>2017/10/10 00:19:00</t>
  </si>
  <si>
    <t>2017/10/11 00:11:00</t>
  </si>
  <si>
    <t>2017/10/12 00:12:00</t>
  </si>
  <si>
    <t>2017/10/13 00:05:00</t>
  </si>
  <si>
    <t>2017/10/14 00:05:00</t>
  </si>
  <si>
    <t>2017/10/15 05:33:00</t>
  </si>
  <si>
    <t>2017/10/16 00:05:00</t>
  </si>
  <si>
    <t>2017/10/17 00:12:00</t>
  </si>
  <si>
    <t>2017/06/12 20:07:00</t>
  </si>
  <si>
    <t>2017/06/12 21:54:00</t>
  </si>
  <si>
    <t>2017/06/13 00:17:00</t>
  </si>
  <si>
    <t>2017/06/14 00:24:00</t>
  </si>
  <si>
    <t>2017/06/15 00:32:00</t>
  </si>
  <si>
    <t>2017/06/16 00:28:00</t>
  </si>
  <si>
    <t>2017/06/17 00:03:00</t>
  </si>
  <si>
    <t>2017/06/18 00:01:00</t>
  </si>
  <si>
    <t>2017/06/19 00:09:00</t>
  </si>
  <si>
    <t>2019/05/06 17:33:00</t>
  </si>
  <si>
    <t>2019/05/06 22:01:00</t>
  </si>
  <si>
    <t>2019/05/07 00:20:00</t>
  </si>
  <si>
    <t>2019/05/08 00:22:00</t>
  </si>
  <si>
    <t>2019/05/09 00:12:00</t>
  </si>
  <si>
    <t>2019/05/10 00:27:00</t>
  </si>
  <si>
    <t>2019/05/11 00:34:00</t>
  </si>
  <si>
    <t>2019/05/12 00:04:00</t>
  </si>
  <si>
    <t>2019/05/13 00:11:00</t>
  </si>
  <si>
    <t>2019/05/14 05:39:00</t>
  </si>
  <si>
    <t>2019/05/15 00:02:00</t>
  </si>
  <si>
    <t>2019/05/16 00:02:00</t>
  </si>
  <si>
    <t>2019/05/17 00:04:00</t>
  </si>
  <si>
    <t>2019/05/20 15:39:00</t>
  </si>
  <si>
    <t>2019/05/21 00:06:00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</si>
  <si>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</si>
  <si>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</si>
  <si>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</si>
  <si>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</si>
  <si>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</si>
  <si>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</si>
  <si>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</si>
  <si>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</si>
  <si>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</si>
  <si>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</si>
  <si>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</si>
  <si>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</si>
  <si>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</si>
  <si>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</si>
  <si>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</si>
  <si>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</si>
  <si>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</si>
  <si>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</si>
  <si>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Errors</t>
  </si>
  <si>
    <t>Sex</t>
  </si>
  <si>
    <t>Age</t>
  </si>
  <si>
    <t>Height</t>
  </si>
  <si>
    <t>Weight</t>
  </si>
  <si>
    <t>PA mmHg</t>
  </si>
  <si>
    <t>FC bpm</t>
  </si>
  <si>
    <t>Spessore parietale miocardio(SIV)</t>
  </si>
  <si>
    <t>Frazione di eiezione (FE)</t>
  </si>
  <si>
    <t>Vaso_culprit</t>
  </si>
  <si>
    <t>Stenosi_culprit</t>
  </si>
  <si>
    <t>timi_iniziale</t>
  </si>
  <si>
    <t xml:space="preserve">Diabete </t>
  </si>
  <si>
    <t>Emoglobina</t>
  </si>
  <si>
    <t xml:space="preserve"> IRC 0 = No, 1 = Si</t>
  </si>
  <si>
    <t>Globuli_Rossi</t>
  </si>
  <si>
    <t>Sodium(t)</t>
  </si>
  <si>
    <t>Ematocrit(t)</t>
  </si>
  <si>
    <t>Potassium(t)</t>
  </si>
  <si>
    <t>CK-MB(t)</t>
  </si>
  <si>
    <t>Ipertensione Arteriosa</t>
  </si>
  <si>
    <t>class</t>
  </si>
  <si>
    <t>Time</t>
  </si>
  <si>
    <t>acquisitions</t>
  </si>
  <si>
    <t xml:space="preserve">Risk </t>
  </si>
  <si>
    <t>factors</t>
  </si>
  <si>
    <t xml:space="preserve">general </t>
  </si>
  <si>
    <t>info</t>
  </si>
  <si>
    <t>Diagnosis</t>
  </si>
  <si>
    <t>Yes</t>
  </si>
  <si>
    <t>Admission</t>
  </si>
  <si>
    <t>infos</t>
  </si>
  <si>
    <t>Trombolisis</t>
  </si>
  <si>
    <t>Ins. Renale</t>
  </si>
  <si>
    <t>Revascularization</t>
  </si>
  <si>
    <t>Therpies</t>
  </si>
  <si>
    <t>Info</t>
  </si>
  <si>
    <t>AnginaEpisode24h</t>
  </si>
  <si>
    <t>Killip class</t>
  </si>
  <si>
    <t>LBBB</t>
  </si>
  <si>
    <t>Smoke</t>
  </si>
  <si>
    <t>Familiarity</t>
  </si>
  <si>
    <t>Prev_IMA</t>
  </si>
  <si>
    <t>Obesity</t>
  </si>
  <si>
    <t>Dyslipidemia</t>
  </si>
  <si>
    <t>Hypercholesterolemia</t>
  </si>
  <si>
    <t>Stenosis percentage</t>
  </si>
  <si>
    <t>cTnI(t)</t>
  </si>
  <si>
    <t>Total for STEMI</t>
  </si>
  <si>
    <t>Total for NSTEMI</t>
  </si>
  <si>
    <t xml:space="preserve"> for dataset</t>
  </si>
  <si>
    <t>Id</t>
  </si>
  <si>
    <t>Times</t>
  </si>
  <si>
    <t>Values</t>
  </si>
  <si>
    <t>Statistics</t>
  </si>
  <si>
    <t>Mean max value</t>
  </si>
  <si>
    <t>Mean values</t>
  </si>
  <si>
    <t>Mean intervals</t>
  </si>
  <si>
    <t>Observation time</t>
  </si>
  <si>
    <t>STEMI</t>
  </si>
  <si>
    <t>NSTEMI</t>
  </si>
  <si>
    <t>Before 24h</t>
  </si>
  <si>
    <t>After 24h</t>
  </si>
  <si>
    <t>Before 36h</t>
  </si>
  <si>
    <t>After 36h</t>
  </si>
  <si>
    <t>Mean time max</t>
  </si>
  <si>
    <t>6.48 ± 7.44</t>
  </si>
  <si>
    <t>4.33 ± 4.54</t>
  </si>
  <si>
    <t xml:space="preserve"> 6.95 ± 7.39</t>
  </si>
  <si>
    <t>3.54 ± 3.79</t>
  </si>
  <si>
    <t>6.94 ± 7.29</t>
  </si>
  <si>
    <t>16.39 ± 5.41</t>
  </si>
  <si>
    <t>45.76 ± 23.48</t>
  </si>
  <si>
    <t>18.79 ± 7.37</t>
  </si>
  <si>
    <t>64.42 ± 21.54</t>
  </si>
  <si>
    <t>6.13 ± 2.28</t>
  </si>
  <si>
    <t>22.76 ± 6.92</t>
  </si>
  <si>
    <t>7.04 ± 3.26</t>
  </si>
  <si>
    <t>4.81 ± 5.40</t>
  </si>
  <si>
    <t>2.17 ± 2.29</t>
  </si>
  <si>
    <t>3.01 ± 3.03</t>
  </si>
  <si>
    <t>26.05 ± 21.14</t>
  </si>
  <si>
    <t>23.27 ± 7.53</t>
  </si>
  <si>
    <t>18.95 ± 5.67</t>
  </si>
  <si>
    <t xml:space="preserve"> 4.76 ± 5.60</t>
  </si>
  <si>
    <t>2.39 ± 2.43</t>
  </si>
  <si>
    <t>7.47 ± 5.39</t>
  </si>
  <si>
    <t>136.38 ± 94.38</t>
  </si>
  <si>
    <t>13.22 ± 6.89</t>
  </si>
  <si>
    <t>121.89 ± 92.16</t>
  </si>
  <si>
    <t>0.68 ± 1.20</t>
  </si>
  <si>
    <t>1.09 ± 1.63</t>
  </si>
  <si>
    <t>0.87 ± 1.34</t>
  </si>
  <si>
    <t>1.03 ± 1.56</t>
  </si>
  <si>
    <t>1.22 ± 1.80</t>
  </si>
  <si>
    <t>16.70 ± 6.01</t>
  </si>
  <si>
    <t>79.49 ± 89.61</t>
  </si>
  <si>
    <t>21.48 ± 7.94</t>
  </si>
  <si>
    <t>87.66 ± 86.69</t>
  </si>
  <si>
    <t>63.18 ± 53.98</t>
  </si>
  <si>
    <t>0.54 ± 0.83</t>
  </si>
  <si>
    <t>0.67 ± 0.87</t>
  </si>
  <si>
    <t xml:space="preserve"> 0.64 ± 0.82</t>
  </si>
  <si>
    <t>0.66 ± 0.87</t>
  </si>
  <si>
    <t>0.68 ± 0.89</t>
  </si>
  <si>
    <t>7.73 ± 3.56</t>
  </si>
  <si>
    <t>19.73 ± 3.48</t>
  </si>
  <si>
    <t>7.95 ± 4.18</t>
  </si>
  <si>
    <t>19.82 ± 3.46</t>
  </si>
  <si>
    <t>18.64 ± 15.83</t>
  </si>
  <si>
    <t>5.64 ± 6.59</t>
  </si>
  <si>
    <t>96.91 ± 48.05</t>
  </si>
  <si>
    <t>11.69 ± 7.86</t>
  </si>
  <si>
    <t>83.11 ± 48.83</t>
  </si>
  <si>
    <t>115.74 ± 89.25</t>
  </si>
  <si>
    <t>154.81 ± 92.29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</si>
</sst>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/m/yy\ h:mm;@"/>
    <numFmt numFmtId="165" formatCode="[h]:mm:ss;@"/>
    <numFmt numFmtId="166" formatCode="yyyy\-mm\-dd;@"/>
    <numFmt numFmtId="167" formatCode="yy/m/d/\ hh:mm:ss;"/>
    <numFmt numFmtId="168" formatCode="[$-F400]h:mm:ss\ AM/PM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2" fontId="0" fillId="0" borderId="0" xfId="0" applyNumberFormat="1"/>
    <xf numFmtId="21" fontId="0" fillId="0" borderId="0" xfId="0" applyNumberFormat="1"/>
    <xf numFmtId="0" fontId="0" fillId="0" borderId="0" xfId="0" quotePrefix="1"/>
    <xf numFmtId="0" fontId="0" fillId="2" borderId="0" xfId="0" applyFill="1"/>
    <xf numFmtId="20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4" borderId="0" xfId="0" applyNumberFormat="1" applyFill="1"/>
    <xf numFmtId="21" fontId="0" fillId="3" borderId="0" xfId="0" applyNumberFormat="1" applyFill="1"/>
    <xf numFmtId="0" fontId="0" fillId="3" borderId="0" xfId="0" quotePrefix="1" applyFill="1"/>
    <xf numFmtId="14" fontId="0" fillId="0" borderId="0" xfId="0" quotePrefix="1" applyNumberFormat="1"/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quotePrefix="1" applyFill="1"/>
    <xf numFmtId="21" fontId="0" fillId="9" borderId="0" xfId="0" applyNumberFormat="1" applyFill="1"/>
    <xf numFmtId="0" fontId="0" fillId="9" borderId="0" xfId="0" applyFill="1"/>
    <xf numFmtId="0" fontId="0" fillId="10" borderId="0" xfId="0" applyFill="1"/>
    <xf numFmtId="166" fontId="0" fillId="0" borderId="0" xfId="0" applyNumberFormat="1"/>
    <xf numFmtId="167" fontId="0" fillId="0" borderId="0" xfId="0" applyNumberFormat="1"/>
    <xf numFmtId="166" fontId="0" fillId="0" borderId="0" xfId="0" quotePrefix="1" applyNumberFormat="1"/>
    <xf numFmtId="166" fontId="0" fillId="3" borderId="0" xfId="0" applyNumberFormat="1" applyFill="1"/>
    <xf numFmtId="166" fontId="0" fillId="2" borderId="0" xfId="0" applyNumberFormat="1" applyFill="1"/>
    <xf numFmtId="166" fontId="0" fillId="2" borderId="0" xfId="0" quotePrefix="1" applyNumberFormat="1" applyFill="1"/>
    <xf numFmtId="166" fontId="0" fillId="11" borderId="0" xfId="0" applyNumberFormat="1" applyFill="1"/>
    <xf numFmtId="20" fontId="0" fillId="3" borderId="0" xfId="0" applyNumberFormat="1" applyFill="1"/>
    <xf numFmtId="168" fontId="0" fillId="0" borderId="0" xfId="0" applyNumberFormat="1"/>
    <xf numFmtId="14" fontId="0" fillId="0" borderId="0" xfId="0" applyNumberFormat="1"/>
    <xf numFmtId="16" fontId="0" fillId="0" borderId="0" xfId="0" applyNumberFormat="1"/>
    <xf numFmtId="0" fontId="0" fillId="12" borderId="0" xfId="0" applyFill="1"/>
    <xf numFmtId="14" fontId="0" fillId="12" borderId="0" xfId="0" applyNumberFormat="1" applyFill="1"/>
    <xf numFmtId="168" fontId="0" fillId="3" borderId="0" xfId="0" applyNumberFormat="1" applyFill="1"/>
    <xf numFmtId="165" fontId="0" fillId="12" borderId="0" xfId="0" applyNumberFormat="1" applyFill="1"/>
    <xf numFmtId="2" fontId="0" fillId="12" borderId="0" xfId="0" applyNumberFormat="1" applyFill="1"/>
    <xf numFmtId="0" fontId="5" fillId="0" borderId="0" xfId="0" applyFont="1"/>
    <xf numFmtId="0" fontId="0" fillId="15" borderId="0" xfId="0" applyFill="1"/>
    <xf numFmtId="0" fontId="0" fillId="17" borderId="0" xfId="0" applyFill="1"/>
    <xf numFmtId="0" fontId="6" fillId="19" borderId="4" xfId="0" applyFont="1" applyFill="1" applyBorder="1"/>
    <xf numFmtId="0" fontId="6" fillId="19" borderId="5" xfId="0" applyFont="1" applyFill="1" applyBorder="1"/>
    <xf numFmtId="0" fontId="5" fillId="18" borderId="5" xfId="0" applyFont="1" applyFill="1" applyBorder="1"/>
    <xf numFmtId="0" fontId="0" fillId="18" borderId="1" xfId="0" applyFill="1" applyBorder="1"/>
    <xf numFmtId="0" fontId="3" fillId="18" borderId="1" xfId="0" applyFont="1" applyFill="1" applyBorder="1"/>
    <xf numFmtId="0" fontId="0" fillId="18" borderId="2" xfId="0" applyFill="1" applyBorder="1"/>
    <xf numFmtId="0" fontId="5" fillId="12" borderId="3" xfId="0" applyFont="1" applyFill="1" applyBorder="1"/>
    <xf numFmtId="0" fontId="0" fillId="12" borderId="7" xfId="0" applyFill="1" applyBorder="1"/>
    <xf numFmtId="0" fontId="3" fillId="12" borderId="7" xfId="0" applyFont="1" applyFill="1" applyBorder="1"/>
    <xf numFmtId="0" fontId="0" fillId="12" borderId="8" xfId="0" applyFill="1" applyBorder="1"/>
    <xf numFmtId="0" fontId="4" fillId="3" borderId="7" xfId="0" applyFont="1" applyFill="1" applyBorder="1"/>
    <xf numFmtId="0" fontId="4" fillId="8" borderId="7" xfId="0" applyFont="1" applyFill="1" applyBorder="1"/>
    <xf numFmtId="0" fontId="4" fillId="13" borderId="7" xfId="0" applyFont="1" applyFill="1" applyBorder="1"/>
    <xf numFmtId="0" fontId="4" fillId="14" borderId="7" xfId="0" applyFont="1" applyFill="1" applyBorder="1"/>
    <xf numFmtId="0" fontId="4" fillId="15" borderId="7" xfId="0" applyFont="1" applyFill="1" applyBorder="1"/>
    <xf numFmtId="0" fontId="0" fillId="16" borderId="7" xfId="0" applyFill="1" applyBorder="1"/>
    <xf numFmtId="0" fontId="5" fillId="0" borderId="3" xfId="0" applyFont="1" applyBorder="1"/>
    <xf numFmtId="0" fontId="5" fillId="5" borderId="4" xfId="0" applyFont="1" applyFill="1" applyBorder="1"/>
    <xf numFmtId="0" fontId="5" fillId="17" borderId="4" xfId="0" applyFont="1" applyFill="1" applyBorder="1"/>
    <xf numFmtId="0" fontId="5" fillId="15" borderId="4" xfId="0" applyFont="1" applyFill="1" applyBorder="1"/>
    <xf numFmtId="0" fontId="5" fillId="0" borderId="4" xfId="0" applyFont="1" applyBorder="1"/>
    <xf numFmtId="0" fontId="5" fillId="3" borderId="7" xfId="0" applyFont="1" applyFill="1" applyBorder="1"/>
    <xf numFmtId="0" fontId="5" fillId="8" borderId="7" xfId="0" applyFont="1" applyFill="1" applyBorder="1"/>
    <xf numFmtId="0" fontId="5" fillId="13" borderId="7" xfId="0" applyFont="1" applyFill="1" applyBorder="1"/>
    <xf numFmtId="0" fontId="5" fillId="14" borderId="7" xfId="0" applyFont="1" applyFill="1" applyBorder="1"/>
    <xf numFmtId="0" fontId="5" fillId="15" borderId="7" xfId="0" applyFont="1" applyFill="1" applyBorder="1"/>
    <xf numFmtId="0" fontId="5" fillId="16" borderId="7" xfId="0" applyFont="1" applyFill="1" applyBorder="1"/>
    <xf numFmtId="0" fontId="6" fillId="19" borderId="6" xfId="0" applyFont="1" applyFill="1" applyBorder="1" applyAlignment="1">
      <alignment horizontal="right"/>
    </xf>
    <xf numFmtId="0" fontId="0" fillId="0" borderId="3" xfId="0" applyBorder="1"/>
    <xf numFmtId="0" fontId="0" fillId="18" borderId="3" xfId="0" applyFill="1" applyBorder="1"/>
    <xf numFmtId="2" fontId="0" fillId="13" borderId="3" xfId="0" applyNumberFormat="1" applyFill="1" applyBorder="1"/>
    <xf numFmtId="0" fontId="0" fillId="13" borderId="3" xfId="0" applyFill="1" applyBorder="1"/>
    <xf numFmtId="2" fontId="0" fillId="13" borderId="5" xfId="0" applyNumberFormat="1" applyFill="1" applyBorder="1"/>
    <xf numFmtId="0" fontId="0" fillId="13" borderId="5" xfId="0" applyFill="1" applyBorder="1"/>
    <xf numFmtId="0" fontId="0" fillId="18" borderId="5" xfId="0" applyFill="1" applyBorder="1"/>
    <xf numFmtId="0" fontId="4" fillId="0" borderId="3" xfId="0" applyFont="1" applyBorder="1"/>
    <xf numFmtId="0" fontId="4" fillId="2" borderId="3" xfId="0" applyFont="1" applyFill="1" applyBorder="1"/>
    <xf numFmtId="0" fontId="4" fillId="5" borderId="3" xfId="0" applyFont="1" applyFill="1" applyBorder="1"/>
    <xf numFmtId="0" fontId="4" fillId="6" borderId="3" xfId="0" applyFont="1" applyFill="1" applyBorder="1"/>
    <xf numFmtId="0" fontId="4" fillId="7" borderId="3" xfId="0" applyFont="1" applyFill="1" applyBorder="1"/>
    <xf numFmtId="0" fontId="4" fillId="8" borderId="3" xfId="0" applyFont="1" applyFill="1" applyBorder="1"/>
    <xf numFmtId="0" fontId="0" fillId="0" borderId="6" xfId="0" applyBorder="1"/>
    <xf numFmtId="2" fontId="0" fillId="13" borderId="6" xfId="0" applyNumberFormat="1" applyFill="1" applyBorder="1"/>
    <xf numFmtId="0" fontId="0" fillId="13" borderId="6" xfId="0" applyFill="1" applyBorder="1"/>
    <xf numFmtId="0" fontId="0" fillId="14" borderId="3" xfId="0" applyFill="1" applyBorder="1" applyAlignment="1">
      <alignment horizontal="center"/>
    </xf>
    <xf numFmtId="0" fontId="0" fillId="14" borderId="3" xfId="0" applyFill="1" applyBorder="1"/>
    <xf numFmtId="0" fontId="5" fillId="20" borderId="3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21" borderId="3" xfId="0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7" fillId="0" borderId="3" xfId="0" applyFont="1" applyBorder="1"/>
    <xf numFmtId="0" fontId="5" fillId="14" borderId="3" xfId="0" applyFont="1" applyFill="1" applyBorder="1"/>
    <xf numFmtId="0" fontId="5" fillId="18" borderId="3" xfId="0" applyFont="1" applyFill="1" applyBorder="1"/>
    <xf numFmtId="0" fontId="7" fillId="14" borderId="3" xfId="0" applyFont="1" applyFill="1" applyBorder="1"/>
    <xf numFmtId="0" fontId="7" fillId="18" borderId="3" xfId="0" applyFont="1" applyFill="1" applyBorder="1"/>
  </cellXfs>
  <cellStyles count="2">
    <cellStyle name="Normal" xfId="0" builtinId="0"/>
    <cellStyle name="Normale 2" xfId="1" xr:uid="{345BDDD0-3347-4871-AE91-4592EAF0DEDE}"/>
  </cellStyles>
  <dxfs count="1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zoomScale="85" zoomScaleNormal="85" workbookViewId="0">
      <selection activeCell="C46" sqref="C46"/>
    </sheetView>
  </sheetViews>
  <sheetFormatPr defaultRowHeight="15" x14ac:dyDescent="0.25"/>
  <cols>
    <col min="1" max="1" width="25.140625" customWidth="1"/>
    <col min="2" max="2" width="31.7109375" bestFit="1" customWidth="1"/>
    <col min="3" max="4" width="12.28515625" bestFit="1" customWidth="1"/>
    <col min="5" max="5" width="15.42578125" bestFit="1" customWidth="1"/>
    <col min="6" max="6" width="12.28515625" bestFit="1" customWidth="1"/>
    <col min="7" max="7" width="14.7109375" bestFit="1" customWidth="1"/>
    <col min="8" max="8" width="8.42578125" bestFit="1" customWidth="1"/>
    <col min="9" max="9" width="9.28515625" customWidth="1"/>
    <col min="10" max="10" width="20.42578125" bestFit="1" customWidth="1"/>
    <col min="11" max="11" width="22.5703125" bestFit="1" customWidth="1"/>
    <col min="12" max="12" width="38" customWidth="1"/>
    <col min="16" max="16" width="15.42578125" bestFit="1" customWidth="1"/>
  </cols>
  <sheetData>
    <row r="1" spans="1:16" ht="21" x14ac:dyDescent="0.35">
      <c r="A1" s="56"/>
      <c r="B1" s="56" t="s">
        <v>0</v>
      </c>
      <c r="C1" s="57" t="s">
        <v>3</v>
      </c>
      <c r="D1" s="58" t="s">
        <v>4</v>
      </c>
      <c r="E1" s="59" t="s">
        <v>6</v>
      </c>
      <c r="F1" s="42" t="s">
        <v>5</v>
      </c>
      <c r="G1" s="60" t="s">
        <v>410</v>
      </c>
      <c r="H1" s="60" t="s">
        <v>1596</v>
      </c>
      <c r="I1" s="60" t="s">
        <v>7</v>
      </c>
      <c r="J1" s="46" t="s">
        <v>1644</v>
      </c>
      <c r="K1" s="42" t="s">
        <v>1645</v>
      </c>
      <c r="M1" t="s">
        <v>411</v>
      </c>
      <c r="N1" t="s">
        <v>788</v>
      </c>
      <c r="P1" s="37" t="s">
        <v>6</v>
      </c>
    </row>
    <row r="2" spans="1:16" ht="21" x14ac:dyDescent="0.35">
      <c r="A2" s="61" t="s">
        <v>1624</v>
      </c>
      <c r="B2" s="50" t="s">
        <v>1</v>
      </c>
      <c r="C2" s="13">
        <v>40</v>
      </c>
      <c r="D2" s="39">
        <v>25</v>
      </c>
      <c r="E2" s="38">
        <v>45</v>
      </c>
      <c r="F2" s="43">
        <v>0</v>
      </c>
      <c r="G2">
        <v>-7</v>
      </c>
      <c r="H2">
        <v>0</v>
      </c>
      <c r="I2">
        <f>SUM(C2:H2)</f>
        <v>103</v>
      </c>
      <c r="J2" s="47"/>
      <c r="K2" s="43"/>
      <c r="M2" s="4" t="s">
        <v>10</v>
      </c>
      <c r="N2" s="4" t="s">
        <v>42</v>
      </c>
      <c r="P2">
        <v>45</v>
      </c>
    </row>
    <row r="3" spans="1:16" ht="21" x14ac:dyDescent="0.35">
      <c r="A3" s="61" t="s">
        <v>1617</v>
      </c>
      <c r="B3" s="50" t="s">
        <v>2</v>
      </c>
      <c r="C3" s="13">
        <v>40</v>
      </c>
      <c r="D3" s="39">
        <v>25</v>
      </c>
      <c r="E3" s="38">
        <v>46</v>
      </c>
      <c r="F3" s="43">
        <v>20</v>
      </c>
      <c r="G3">
        <v>0</v>
      </c>
      <c r="H3">
        <v>-2</v>
      </c>
      <c r="I3">
        <f>SUM(C3:H3)</f>
        <v>129</v>
      </c>
      <c r="J3" s="47"/>
      <c r="K3" s="43"/>
      <c r="M3" s="13" t="s">
        <v>15</v>
      </c>
      <c r="N3" s="13" t="s">
        <v>32</v>
      </c>
      <c r="P3">
        <v>46</v>
      </c>
    </row>
    <row r="4" spans="1:16" ht="18.75" x14ac:dyDescent="0.3">
      <c r="A4" s="67" t="s">
        <v>7</v>
      </c>
      <c r="B4" s="40" t="s">
        <v>1646</v>
      </c>
      <c r="C4" s="40">
        <f>SUM(C2:C3)</f>
        <v>80</v>
      </c>
      <c r="D4" s="40">
        <f t="shared" ref="D4:F4" si="0">SUM(D2:D3)</f>
        <v>50</v>
      </c>
      <c r="E4" s="40">
        <f t="shared" si="0"/>
        <v>91</v>
      </c>
      <c r="F4" s="41">
        <f t="shared" si="0"/>
        <v>20</v>
      </c>
      <c r="G4" s="40">
        <f>SUM(G2:G3)</f>
        <v>-7</v>
      </c>
      <c r="H4" s="40">
        <f>SUM(H2:H3)</f>
        <v>-2</v>
      </c>
      <c r="I4" s="40">
        <f>SUM(C4:H4)</f>
        <v>232</v>
      </c>
      <c r="J4" s="48"/>
      <c r="K4" s="44"/>
      <c r="M4" s="14" t="s">
        <v>21</v>
      </c>
      <c r="N4" s="14" t="s">
        <v>40</v>
      </c>
    </row>
    <row r="5" spans="1:16" ht="21" x14ac:dyDescent="0.35">
      <c r="A5" s="62" t="s">
        <v>1622</v>
      </c>
      <c r="B5" s="51" t="s">
        <v>1597</v>
      </c>
      <c r="C5" s="13"/>
      <c r="D5" s="39" t="s">
        <v>1625</v>
      </c>
      <c r="E5" s="38" t="s">
        <v>1625</v>
      </c>
      <c r="F5" s="43" t="s">
        <v>1625</v>
      </c>
      <c r="I5">
        <f>SUMIF(C5:F5, "Yes", $C$4:$F$4)</f>
        <v>161</v>
      </c>
      <c r="J5" s="47">
        <f>SUMIF(C5:F5, "Yes", $C$3:$F$3)</f>
        <v>91</v>
      </c>
      <c r="K5" s="43">
        <f>SUMIF(C5:F5, "Yes", $C$2:$F$2)</f>
        <v>70</v>
      </c>
      <c r="M5" s="15" t="s">
        <v>23</v>
      </c>
      <c r="N5" s="15" t="s">
        <v>37</v>
      </c>
    </row>
    <row r="6" spans="1:16" ht="21" x14ac:dyDescent="0.35">
      <c r="A6" s="62" t="s">
        <v>1623</v>
      </c>
      <c r="B6" s="51" t="s">
        <v>1598</v>
      </c>
      <c r="C6" s="13"/>
      <c r="D6" s="39"/>
      <c r="E6" s="38" t="s">
        <v>1625</v>
      </c>
      <c r="F6" s="43"/>
      <c r="I6">
        <f t="shared" ref="I6:I39" si="1">SUMIF(C6:F6, "Yes", $C$4:$F$4)</f>
        <v>91</v>
      </c>
      <c r="J6" s="47">
        <f t="shared" ref="J6:J39" si="2">SUMIF(C6:F6, "Yes", $C$3:$F$3)</f>
        <v>46</v>
      </c>
      <c r="K6" s="43">
        <f t="shared" ref="K6:K39" si="3">SUMIF(C6:F6, "Yes", $C$2:$F$2)</f>
        <v>45</v>
      </c>
      <c r="M6" s="16" t="s">
        <v>27</v>
      </c>
      <c r="N6" s="16" t="s">
        <v>47</v>
      </c>
    </row>
    <row r="7" spans="1:16" ht="21" x14ac:dyDescent="0.35">
      <c r="A7" s="62"/>
      <c r="B7" s="51" t="s">
        <v>1599</v>
      </c>
      <c r="C7" s="13"/>
      <c r="D7" s="39"/>
      <c r="E7" s="38"/>
      <c r="F7" s="43"/>
      <c r="I7">
        <f t="shared" si="1"/>
        <v>0</v>
      </c>
      <c r="J7" s="47">
        <f t="shared" si="2"/>
        <v>0</v>
      </c>
      <c r="K7" s="43">
        <f t="shared" si="3"/>
        <v>0</v>
      </c>
      <c r="N7" t="s">
        <v>147</v>
      </c>
    </row>
    <row r="8" spans="1:16" ht="21" x14ac:dyDescent="0.35">
      <c r="A8" s="62"/>
      <c r="B8" s="51" t="s">
        <v>1600</v>
      </c>
      <c r="C8" s="13"/>
      <c r="D8" s="39"/>
      <c r="E8" s="38" t="s">
        <v>1625</v>
      </c>
      <c r="F8" s="43"/>
      <c r="I8">
        <f t="shared" si="1"/>
        <v>91</v>
      </c>
      <c r="J8" s="47">
        <f t="shared" si="2"/>
        <v>46</v>
      </c>
      <c r="K8" s="43">
        <f t="shared" si="3"/>
        <v>45</v>
      </c>
      <c r="N8" t="s">
        <v>167</v>
      </c>
    </row>
    <row r="9" spans="1:16" ht="21" x14ac:dyDescent="0.35">
      <c r="A9" s="63" t="s">
        <v>1620</v>
      </c>
      <c r="B9" s="52" t="s">
        <v>1601</v>
      </c>
      <c r="C9" s="13" t="s">
        <v>1625</v>
      </c>
      <c r="D9" s="39"/>
      <c r="E9" s="38"/>
      <c r="F9" s="43"/>
      <c r="I9">
        <f t="shared" si="1"/>
        <v>80</v>
      </c>
      <c r="J9" s="47">
        <f t="shared" si="2"/>
        <v>40</v>
      </c>
      <c r="K9" s="43">
        <f t="shared" si="3"/>
        <v>40</v>
      </c>
    </row>
    <row r="10" spans="1:16" ht="21" x14ac:dyDescent="0.35">
      <c r="A10" s="63" t="s">
        <v>1621</v>
      </c>
      <c r="B10" s="52" t="s">
        <v>1602</v>
      </c>
      <c r="C10" s="13" t="s">
        <v>1625</v>
      </c>
      <c r="D10" s="39"/>
      <c r="E10" s="38" t="s">
        <v>1625</v>
      </c>
      <c r="F10" s="43"/>
      <c r="I10">
        <f t="shared" si="1"/>
        <v>171</v>
      </c>
      <c r="J10" s="47">
        <f t="shared" si="2"/>
        <v>86</v>
      </c>
      <c r="K10" s="43">
        <f t="shared" si="3"/>
        <v>85</v>
      </c>
    </row>
    <row r="11" spans="1:16" ht="21" x14ac:dyDescent="0.35">
      <c r="A11" s="63"/>
      <c r="B11" s="52" t="s">
        <v>1603</v>
      </c>
      <c r="C11" s="13" t="s">
        <v>1625</v>
      </c>
      <c r="D11" s="39"/>
      <c r="E11" s="38"/>
      <c r="F11" s="43"/>
      <c r="I11">
        <f t="shared" si="1"/>
        <v>80</v>
      </c>
      <c r="J11" s="47">
        <f t="shared" si="2"/>
        <v>40</v>
      </c>
      <c r="K11" s="43">
        <f t="shared" si="3"/>
        <v>40</v>
      </c>
    </row>
    <row r="12" spans="1:16" ht="21" x14ac:dyDescent="0.35">
      <c r="A12" s="63"/>
      <c r="B12" s="52" t="s">
        <v>1604</v>
      </c>
      <c r="C12" s="13" t="s">
        <v>1625</v>
      </c>
      <c r="D12" s="39"/>
      <c r="E12" s="38"/>
      <c r="F12" s="43"/>
      <c r="I12">
        <f t="shared" si="1"/>
        <v>80</v>
      </c>
      <c r="J12" s="47">
        <f t="shared" si="2"/>
        <v>40</v>
      </c>
      <c r="K12" s="43">
        <f t="shared" si="3"/>
        <v>40</v>
      </c>
    </row>
    <row r="13" spans="1:16" ht="21" x14ac:dyDescent="0.35">
      <c r="A13" s="63"/>
      <c r="B13" s="52" t="s">
        <v>1605</v>
      </c>
      <c r="C13" s="13" t="s">
        <v>1625</v>
      </c>
      <c r="D13" s="39"/>
      <c r="E13" s="38"/>
      <c r="F13" s="43"/>
      <c r="I13">
        <f t="shared" si="1"/>
        <v>80</v>
      </c>
      <c r="J13" s="47">
        <f t="shared" si="2"/>
        <v>40</v>
      </c>
      <c r="K13" s="43">
        <f t="shared" si="3"/>
        <v>40</v>
      </c>
    </row>
    <row r="14" spans="1:16" ht="21" x14ac:dyDescent="0.35">
      <c r="A14" s="63"/>
      <c r="B14" s="52" t="s">
        <v>1606</v>
      </c>
      <c r="C14" s="13" t="s">
        <v>1625</v>
      </c>
      <c r="D14" s="39"/>
      <c r="E14" s="38"/>
      <c r="F14" s="43"/>
      <c r="I14">
        <f t="shared" si="1"/>
        <v>80</v>
      </c>
      <c r="J14" s="47">
        <f t="shared" si="2"/>
        <v>40</v>
      </c>
      <c r="K14" s="43">
        <f t="shared" si="3"/>
        <v>40</v>
      </c>
    </row>
    <row r="15" spans="1:16" ht="21" x14ac:dyDescent="0.35">
      <c r="A15" s="63"/>
      <c r="B15" s="52" t="s">
        <v>1607</v>
      </c>
      <c r="C15" s="13" t="s">
        <v>1625</v>
      </c>
      <c r="D15" s="39"/>
      <c r="E15" s="38"/>
      <c r="F15" s="43"/>
      <c r="I15">
        <f t="shared" si="1"/>
        <v>80</v>
      </c>
      <c r="J15" s="47">
        <f t="shared" si="2"/>
        <v>40</v>
      </c>
      <c r="K15" s="43">
        <f t="shared" si="3"/>
        <v>40</v>
      </c>
    </row>
    <row r="16" spans="1:16" ht="21" x14ac:dyDescent="0.35">
      <c r="A16" s="63"/>
      <c r="B16" s="52" t="s">
        <v>1608</v>
      </c>
      <c r="C16" s="13" t="s">
        <v>1625</v>
      </c>
      <c r="D16" s="39" t="s">
        <v>1625</v>
      </c>
      <c r="E16" s="38" t="s">
        <v>1625</v>
      </c>
      <c r="F16" s="43"/>
      <c r="I16">
        <f t="shared" si="1"/>
        <v>221</v>
      </c>
      <c r="J16" s="47">
        <f t="shared" si="2"/>
        <v>111</v>
      </c>
      <c r="K16" s="43">
        <f t="shared" si="3"/>
        <v>110</v>
      </c>
    </row>
    <row r="17" spans="1:11" ht="21" x14ac:dyDescent="0.35">
      <c r="A17" s="63"/>
      <c r="B17" s="52" t="s">
        <v>1640</v>
      </c>
      <c r="C17" s="13" t="s">
        <v>1625</v>
      </c>
      <c r="D17" s="39"/>
      <c r="E17" s="38" t="s">
        <v>1625</v>
      </c>
      <c r="F17" s="43"/>
      <c r="I17">
        <f t="shared" si="1"/>
        <v>171</v>
      </c>
      <c r="J17" s="47">
        <f t="shared" si="2"/>
        <v>86</v>
      </c>
      <c r="K17" s="43">
        <f t="shared" si="3"/>
        <v>85</v>
      </c>
    </row>
    <row r="18" spans="1:11" ht="21" x14ac:dyDescent="0.35">
      <c r="A18" s="63"/>
      <c r="B18" s="52" t="s">
        <v>1641</v>
      </c>
      <c r="C18" s="13"/>
      <c r="D18" s="39"/>
      <c r="E18" s="38" t="s">
        <v>1625</v>
      </c>
      <c r="F18" s="43"/>
      <c r="I18">
        <f t="shared" si="1"/>
        <v>91</v>
      </c>
      <c r="J18" s="47">
        <f t="shared" si="2"/>
        <v>46</v>
      </c>
      <c r="K18" s="43">
        <f t="shared" si="3"/>
        <v>45</v>
      </c>
    </row>
    <row r="19" spans="1:11" ht="21" x14ac:dyDescent="0.35">
      <c r="A19" s="63"/>
      <c r="B19" s="52" t="s">
        <v>1637</v>
      </c>
      <c r="C19" s="13" t="s">
        <v>1625</v>
      </c>
      <c r="D19" s="39"/>
      <c r="E19" s="38" t="s">
        <v>1625</v>
      </c>
      <c r="F19" s="43"/>
      <c r="I19">
        <f t="shared" si="1"/>
        <v>171</v>
      </c>
      <c r="J19" s="47">
        <f t="shared" si="2"/>
        <v>86</v>
      </c>
      <c r="K19" s="43">
        <f t="shared" si="3"/>
        <v>85</v>
      </c>
    </row>
    <row r="20" spans="1:11" ht="21" x14ac:dyDescent="0.35">
      <c r="A20" s="63"/>
      <c r="B20" s="52" t="s">
        <v>1636</v>
      </c>
      <c r="C20" s="13" t="s">
        <v>1625</v>
      </c>
      <c r="D20" s="39"/>
      <c r="E20" s="38" t="s">
        <v>1625</v>
      </c>
      <c r="F20" s="43"/>
      <c r="I20">
        <f t="shared" si="1"/>
        <v>171</v>
      </c>
      <c r="J20" s="47">
        <f t="shared" si="2"/>
        <v>86</v>
      </c>
      <c r="K20" s="43">
        <f t="shared" si="3"/>
        <v>85</v>
      </c>
    </row>
    <row r="21" spans="1:11" ht="21" x14ac:dyDescent="0.35">
      <c r="A21" s="63"/>
      <c r="B21" s="52" t="s">
        <v>1639</v>
      </c>
      <c r="C21" s="13" t="s">
        <v>1625</v>
      </c>
      <c r="D21" s="39"/>
      <c r="E21" s="38" t="s">
        <v>1625</v>
      </c>
      <c r="F21" s="43"/>
      <c r="I21">
        <f t="shared" si="1"/>
        <v>171</v>
      </c>
      <c r="J21" s="47">
        <f t="shared" si="2"/>
        <v>86</v>
      </c>
      <c r="K21" s="43">
        <f t="shared" si="3"/>
        <v>85</v>
      </c>
    </row>
    <row r="22" spans="1:11" ht="21" x14ac:dyDescent="0.35">
      <c r="A22" s="63"/>
      <c r="B22" s="52" t="s">
        <v>1616</v>
      </c>
      <c r="C22" s="13" t="s">
        <v>1625</v>
      </c>
      <c r="D22" s="39"/>
      <c r="E22" s="38" t="s">
        <v>1625</v>
      </c>
      <c r="F22" s="43"/>
      <c r="I22">
        <f t="shared" si="1"/>
        <v>171</v>
      </c>
      <c r="J22" s="47">
        <f t="shared" si="2"/>
        <v>86</v>
      </c>
      <c r="K22" s="43">
        <f t="shared" si="3"/>
        <v>85</v>
      </c>
    </row>
    <row r="23" spans="1:11" ht="21" x14ac:dyDescent="0.35">
      <c r="A23" s="63"/>
      <c r="B23" s="52" t="s">
        <v>1638</v>
      </c>
      <c r="C23" s="13" t="s">
        <v>1625</v>
      </c>
      <c r="D23" s="39"/>
      <c r="E23" s="38" t="s">
        <v>1625</v>
      </c>
      <c r="F23" s="43"/>
      <c r="I23">
        <f t="shared" si="1"/>
        <v>171</v>
      </c>
      <c r="J23" s="47">
        <f t="shared" si="2"/>
        <v>86</v>
      </c>
      <c r="K23" s="43">
        <f t="shared" si="3"/>
        <v>85</v>
      </c>
    </row>
    <row r="24" spans="1:11" ht="21" x14ac:dyDescent="0.35">
      <c r="A24" s="63"/>
      <c r="B24" s="52" t="s">
        <v>1609</v>
      </c>
      <c r="C24" s="13" t="s">
        <v>1625</v>
      </c>
      <c r="D24" s="39"/>
      <c r="E24" s="38"/>
      <c r="F24" s="43"/>
      <c r="I24">
        <f t="shared" si="1"/>
        <v>80</v>
      </c>
      <c r="J24" s="47">
        <f t="shared" si="2"/>
        <v>40</v>
      </c>
      <c r="K24" s="43">
        <f t="shared" si="3"/>
        <v>40</v>
      </c>
    </row>
    <row r="25" spans="1:11" ht="21" x14ac:dyDescent="0.35">
      <c r="A25" s="63"/>
      <c r="B25" s="52" t="s">
        <v>1610</v>
      </c>
      <c r="C25" s="13" t="s">
        <v>1625</v>
      </c>
      <c r="D25" s="39" t="s">
        <v>1625</v>
      </c>
      <c r="E25" s="38"/>
      <c r="F25" s="43"/>
      <c r="I25">
        <f t="shared" si="1"/>
        <v>130</v>
      </c>
      <c r="J25" s="47">
        <f t="shared" si="2"/>
        <v>65</v>
      </c>
      <c r="K25" s="43">
        <f t="shared" si="3"/>
        <v>65</v>
      </c>
    </row>
    <row r="26" spans="1:11" ht="21" x14ac:dyDescent="0.35">
      <c r="A26" s="63"/>
      <c r="B26" s="52" t="s">
        <v>1611</v>
      </c>
      <c r="C26" s="13" t="s">
        <v>1625</v>
      </c>
      <c r="D26" s="39"/>
      <c r="E26" s="38"/>
      <c r="F26" s="43"/>
      <c r="I26">
        <f t="shared" si="1"/>
        <v>80</v>
      </c>
      <c r="J26" s="47">
        <f t="shared" si="2"/>
        <v>40</v>
      </c>
      <c r="K26" s="43">
        <f t="shared" si="3"/>
        <v>40</v>
      </c>
    </row>
    <row r="27" spans="1:11" ht="21" x14ac:dyDescent="0.35">
      <c r="A27" s="63"/>
      <c r="B27" s="52" t="s">
        <v>1629</v>
      </c>
      <c r="C27" s="13"/>
      <c r="D27" s="39" t="s">
        <v>1625</v>
      </c>
      <c r="E27" s="38"/>
      <c r="F27" s="43"/>
      <c r="I27">
        <f t="shared" si="1"/>
        <v>50</v>
      </c>
      <c r="J27" s="47">
        <f t="shared" si="2"/>
        <v>25</v>
      </c>
      <c r="K27" s="43">
        <f t="shared" si="3"/>
        <v>25</v>
      </c>
    </row>
    <row r="28" spans="1:11" ht="21" x14ac:dyDescent="0.35">
      <c r="A28" s="63"/>
      <c r="B28" s="52" t="s">
        <v>1633</v>
      </c>
      <c r="C28" s="13"/>
      <c r="D28" s="39"/>
      <c r="E28" s="38" t="s">
        <v>1625</v>
      </c>
      <c r="F28" s="43"/>
      <c r="I28">
        <f t="shared" si="1"/>
        <v>91</v>
      </c>
      <c r="J28" s="47">
        <f t="shared" si="2"/>
        <v>46</v>
      </c>
      <c r="K28" s="43">
        <f t="shared" si="3"/>
        <v>45</v>
      </c>
    </row>
    <row r="29" spans="1:11" ht="21" x14ac:dyDescent="0.35">
      <c r="A29" s="63"/>
      <c r="B29" s="52" t="s">
        <v>1634</v>
      </c>
      <c r="C29" s="13"/>
      <c r="D29" s="39"/>
      <c r="E29" s="38" t="s">
        <v>1625</v>
      </c>
      <c r="F29" s="43"/>
      <c r="I29">
        <f t="shared" si="1"/>
        <v>91</v>
      </c>
      <c r="J29" s="47">
        <f t="shared" si="2"/>
        <v>46</v>
      </c>
      <c r="K29" s="43">
        <f t="shared" si="3"/>
        <v>45</v>
      </c>
    </row>
    <row r="30" spans="1:11" ht="21" x14ac:dyDescent="0.35">
      <c r="A30" s="63"/>
      <c r="B30" s="52" t="s">
        <v>1635</v>
      </c>
      <c r="C30" s="13"/>
      <c r="D30" s="39"/>
      <c r="E30" s="38" t="s">
        <v>1625</v>
      </c>
      <c r="F30" s="43"/>
      <c r="I30">
        <f t="shared" si="1"/>
        <v>91</v>
      </c>
      <c r="J30" s="47">
        <f t="shared" si="2"/>
        <v>46</v>
      </c>
      <c r="K30" s="43">
        <f t="shared" si="3"/>
        <v>45</v>
      </c>
    </row>
    <row r="31" spans="1:11" ht="21" x14ac:dyDescent="0.35">
      <c r="A31" s="63"/>
      <c r="B31" s="52" t="s">
        <v>1642</v>
      </c>
      <c r="C31" s="13"/>
      <c r="D31" s="39"/>
      <c r="E31" s="38" t="s">
        <v>1625</v>
      </c>
      <c r="F31" s="43"/>
      <c r="I31">
        <f t="shared" si="1"/>
        <v>91</v>
      </c>
      <c r="J31" s="47">
        <f t="shared" si="2"/>
        <v>46</v>
      </c>
      <c r="K31" s="43">
        <f t="shared" si="3"/>
        <v>45</v>
      </c>
    </row>
    <row r="32" spans="1:11" ht="21" x14ac:dyDescent="0.35">
      <c r="A32" s="64" t="s">
        <v>1618</v>
      </c>
      <c r="B32" s="53" t="s">
        <v>1612</v>
      </c>
      <c r="C32" s="13" t="s">
        <v>1625</v>
      </c>
      <c r="D32" s="39"/>
      <c r="E32" s="38" t="s">
        <v>1625</v>
      </c>
      <c r="F32" s="43" t="s">
        <v>1625</v>
      </c>
      <c r="I32">
        <f t="shared" si="1"/>
        <v>191</v>
      </c>
      <c r="J32" s="47">
        <f t="shared" si="2"/>
        <v>106</v>
      </c>
      <c r="K32" s="43">
        <f t="shared" si="3"/>
        <v>85</v>
      </c>
    </row>
    <row r="33" spans="1:11" ht="21" x14ac:dyDescent="0.35">
      <c r="A33" s="64" t="s">
        <v>1619</v>
      </c>
      <c r="B33" s="53" t="s">
        <v>1614</v>
      </c>
      <c r="C33" s="13"/>
      <c r="D33" s="39"/>
      <c r="E33" s="38" t="s">
        <v>1625</v>
      </c>
      <c r="F33" s="43"/>
      <c r="I33">
        <f t="shared" si="1"/>
        <v>91</v>
      </c>
      <c r="J33" s="47">
        <f t="shared" si="2"/>
        <v>46</v>
      </c>
      <c r="K33" s="43">
        <f t="shared" si="3"/>
        <v>45</v>
      </c>
    </row>
    <row r="34" spans="1:11" ht="21" x14ac:dyDescent="0.35">
      <c r="A34" s="64"/>
      <c r="B34" s="53" t="s">
        <v>1613</v>
      </c>
      <c r="C34" s="13" t="s">
        <v>1625</v>
      </c>
      <c r="D34" s="39"/>
      <c r="E34" s="38"/>
      <c r="F34" s="43"/>
      <c r="I34">
        <f t="shared" si="1"/>
        <v>80</v>
      </c>
      <c r="J34" s="47">
        <f t="shared" si="2"/>
        <v>40</v>
      </c>
      <c r="K34" s="43">
        <f t="shared" si="3"/>
        <v>40</v>
      </c>
    </row>
    <row r="35" spans="1:11" ht="21" x14ac:dyDescent="0.35">
      <c r="A35" s="64"/>
      <c r="B35" s="53" t="s">
        <v>1643</v>
      </c>
      <c r="C35" s="13"/>
      <c r="D35" s="39"/>
      <c r="E35" s="38"/>
      <c r="F35" s="43"/>
      <c r="I35">
        <f t="shared" si="1"/>
        <v>0</v>
      </c>
      <c r="J35" s="47">
        <f t="shared" si="2"/>
        <v>0</v>
      </c>
      <c r="K35" s="43">
        <f t="shared" si="3"/>
        <v>0</v>
      </c>
    </row>
    <row r="36" spans="1:11" ht="21" x14ac:dyDescent="0.35">
      <c r="A36" s="64"/>
      <c r="B36" s="53" t="s">
        <v>1615</v>
      </c>
      <c r="C36" s="13"/>
      <c r="D36" s="39" t="s">
        <v>1625</v>
      </c>
      <c r="E36" s="38" t="s">
        <v>1625</v>
      </c>
      <c r="F36" s="43" t="s">
        <v>1625</v>
      </c>
      <c r="I36">
        <f t="shared" si="1"/>
        <v>161</v>
      </c>
      <c r="J36" s="47">
        <f t="shared" si="2"/>
        <v>91</v>
      </c>
      <c r="K36" s="43">
        <f t="shared" si="3"/>
        <v>70</v>
      </c>
    </row>
    <row r="37" spans="1:11" ht="21" x14ac:dyDescent="0.35">
      <c r="A37" s="65" t="s">
        <v>1626</v>
      </c>
      <c r="B37" s="54" t="s">
        <v>1628</v>
      </c>
      <c r="C37" s="13" t="s">
        <v>1625</v>
      </c>
      <c r="D37" s="39" t="s">
        <v>1625</v>
      </c>
      <c r="E37" s="38"/>
      <c r="F37" s="43" t="s">
        <v>1625</v>
      </c>
      <c r="I37">
        <f t="shared" si="1"/>
        <v>150</v>
      </c>
      <c r="J37" s="47">
        <f t="shared" si="2"/>
        <v>85</v>
      </c>
      <c r="K37" s="43">
        <f t="shared" si="3"/>
        <v>65</v>
      </c>
    </row>
    <row r="38" spans="1:11" ht="21" x14ac:dyDescent="0.35">
      <c r="A38" s="65" t="s">
        <v>1627</v>
      </c>
      <c r="B38" s="54" t="s">
        <v>1630</v>
      </c>
      <c r="C38" s="13" t="s">
        <v>1625</v>
      </c>
      <c r="D38" s="39"/>
      <c r="E38" s="38" t="s">
        <v>1625</v>
      </c>
      <c r="F38" s="43"/>
      <c r="I38">
        <f t="shared" si="1"/>
        <v>171</v>
      </c>
      <c r="J38" s="47">
        <f t="shared" si="2"/>
        <v>86</v>
      </c>
      <c r="K38" s="43">
        <f t="shared" si="3"/>
        <v>85</v>
      </c>
    </row>
    <row r="39" spans="1:11" ht="21" x14ac:dyDescent="0.35">
      <c r="A39" s="66" t="s">
        <v>1631</v>
      </c>
      <c r="B39" s="55"/>
      <c r="C39" s="13" t="s">
        <v>1625</v>
      </c>
      <c r="D39" s="39" t="s">
        <v>1625</v>
      </c>
      <c r="E39" s="38"/>
      <c r="F39" s="43" t="s">
        <v>1625</v>
      </c>
      <c r="I39">
        <f t="shared" si="1"/>
        <v>150</v>
      </c>
      <c r="J39" s="47">
        <f t="shared" si="2"/>
        <v>85</v>
      </c>
      <c r="K39" s="43">
        <f t="shared" si="3"/>
        <v>65</v>
      </c>
    </row>
    <row r="40" spans="1:11" ht="21" x14ac:dyDescent="0.35">
      <c r="A40" s="66" t="s">
        <v>1632</v>
      </c>
      <c r="B40" s="55"/>
      <c r="C40" s="13"/>
      <c r="D40" s="39"/>
      <c r="E40" s="38"/>
      <c r="F40" s="43"/>
      <c r="J40" s="49"/>
      <c r="K40" s="45"/>
    </row>
    <row r="44" spans="1:11" ht="21" x14ac:dyDescent="0.35">
      <c r="A44" s="56" t="s">
        <v>1650</v>
      </c>
      <c r="B44" s="86" t="s">
        <v>1657</v>
      </c>
      <c r="C44" s="86"/>
      <c r="D44" s="87" t="s">
        <v>1658</v>
      </c>
      <c r="E44" s="87"/>
      <c r="F44" s="88" t="s">
        <v>1659</v>
      </c>
      <c r="G44" s="88"/>
      <c r="H44" s="89" t="s">
        <v>1660</v>
      </c>
      <c r="I44" s="89"/>
      <c r="J44" s="90" t="s">
        <v>7</v>
      </c>
      <c r="K44" s="90"/>
    </row>
    <row r="45" spans="1:11" ht="21" x14ac:dyDescent="0.35">
      <c r="A45" s="91"/>
      <c r="B45" s="92" t="s">
        <v>1655</v>
      </c>
      <c r="C45" s="93" t="s">
        <v>1656</v>
      </c>
      <c r="D45" s="92" t="s">
        <v>1655</v>
      </c>
      <c r="E45" s="93" t="s">
        <v>1656</v>
      </c>
      <c r="F45" s="92" t="s">
        <v>1655</v>
      </c>
      <c r="G45" s="93" t="s">
        <v>1656</v>
      </c>
      <c r="H45" s="92" t="s">
        <v>1655</v>
      </c>
      <c r="I45" s="93" t="s">
        <v>1656</v>
      </c>
      <c r="J45" s="92" t="s">
        <v>1655</v>
      </c>
      <c r="K45" s="93" t="s">
        <v>1656</v>
      </c>
    </row>
    <row r="46" spans="1:11" ht="21" x14ac:dyDescent="0.35">
      <c r="A46" s="56" t="s">
        <v>1651</v>
      </c>
      <c r="B46" s="94" t="s">
        <v>1662</v>
      </c>
      <c r="C46" s="95" t="s">
        <v>1686</v>
      </c>
      <c r="D46" s="94" t="s">
        <v>1663</v>
      </c>
      <c r="E46" s="95" t="s">
        <v>1687</v>
      </c>
      <c r="F46" s="94" t="s">
        <v>1664</v>
      </c>
      <c r="G46" s="95" t="s">
        <v>1688</v>
      </c>
      <c r="H46" s="94" t="s">
        <v>1665</v>
      </c>
      <c r="I46" s="95" t="s">
        <v>1689</v>
      </c>
      <c r="J46" s="94" t="s">
        <v>1666</v>
      </c>
      <c r="K46" s="95" t="s">
        <v>1690</v>
      </c>
    </row>
    <row r="47" spans="1:11" ht="21" x14ac:dyDescent="0.35">
      <c r="A47" s="56" t="s">
        <v>1661</v>
      </c>
      <c r="B47" s="94" t="s">
        <v>1667</v>
      </c>
      <c r="C47" s="95" t="s">
        <v>1691</v>
      </c>
      <c r="D47" s="94" t="s">
        <v>1668</v>
      </c>
      <c r="E47" s="95" t="s">
        <v>1692</v>
      </c>
      <c r="F47" s="94" t="s">
        <v>1669</v>
      </c>
      <c r="G47" s="95" t="s">
        <v>1693</v>
      </c>
      <c r="H47" s="94" t="s">
        <v>1670</v>
      </c>
      <c r="I47" s="95" t="s">
        <v>1694</v>
      </c>
      <c r="J47" s="94" t="s">
        <v>1677</v>
      </c>
      <c r="K47" s="95" t="s">
        <v>1695</v>
      </c>
    </row>
    <row r="48" spans="1:11" ht="21" x14ac:dyDescent="0.35">
      <c r="A48" s="56" t="s">
        <v>1652</v>
      </c>
      <c r="B48" s="94" t="s">
        <v>1680</v>
      </c>
      <c r="C48" s="95" t="s">
        <v>1696</v>
      </c>
      <c r="D48" s="94" t="s">
        <v>1681</v>
      </c>
      <c r="E48" s="95" t="s">
        <v>1697</v>
      </c>
      <c r="F48" s="94" t="s">
        <v>1674</v>
      </c>
      <c r="G48" s="95" t="s">
        <v>1698</v>
      </c>
      <c r="H48" s="94" t="s">
        <v>1675</v>
      </c>
      <c r="I48" s="95" t="s">
        <v>1699</v>
      </c>
      <c r="J48" s="94" t="s">
        <v>1676</v>
      </c>
      <c r="K48" s="95" t="s">
        <v>1700</v>
      </c>
    </row>
    <row r="49" spans="1:11" ht="21" x14ac:dyDescent="0.35">
      <c r="A49" s="56" t="s">
        <v>1653</v>
      </c>
      <c r="B49" s="94" t="s">
        <v>1671</v>
      </c>
      <c r="C49" s="95" t="s">
        <v>1701</v>
      </c>
      <c r="D49" s="94" t="s">
        <v>1672</v>
      </c>
      <c r="E49" s="95" t="s">
        <v>1702</v>
      </c>
      <c r="F49" s="94" t="s">
        <v>1673</v>
      </c>
      <c r="G49" s="95" t="s">
        <v>1703</v>
      </c>
      <c r="H49" s="94" t="s">
        <v>1678</v>
      </c>
      <c r="I49" s="95" t="s">
        <v>1704</v>
      </c>
      <c r="J49" s="94" t="s">
        <v>1679</v>
      </c>
      <c r="K49" s="95" t="s">
        <v>1705</v>
      </c>
    </row>
    <row r="50" spans="1:11" ht="21" x14ac:dyDescent="0.35">
      <c r="A50" s="56" t="s">
        <v>1654</v>
      </c>
      <c r="B50" s="94" t="s">
        <v>1682</v>
      </c>
      <c r="C50" s="95" t="s">
        <v>1706</v>
      </c>
      <c r="D50" s="94" t="s">
        <v>1683</v>
      </c>
      <c r="E50" s="95" t="s">
        <v>1707</v>
      </c>
      <c r="F50" s="94" t="s">
        <v>1684</v>
      </c>
      <c r="G50" s="95" t="s">
        <v>1708</v>
      </c>
      <c r="H50" s="94" t="s">
        <v>1685</v>
      </c>
      <c r="I50" s="95" t="s">
        <v>1709</v>
      </c>
      <c r="J50" s="94" t="s">
        <v>1711</v>
      </c>
      <c r="K50" s="95" t="s">
        <v>1710</v>
      </c>
    </row>
  </sheetData>
  <mergeCells count="5">
    <mergeCell ref="B44:C44"/>
    <mergeCell ref="D44:E44"/>
    <mergeCell ref="F44:G44"/>
    <mergeCell ref="H44:I44"/>
    <mergeCell ref="J44:K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36E2-B4DA-42F6-BE9C-74A8B4927D6F}">
  <dimension ref="A1:X129"/>
  <sheetViews>
    <sheetView topLeftCell="A46" workbookViewId="0">
      <selection activeCell="I58" sqref="I58"/>
    </sheetView>
  </sheetViews>
  <sheetFormatPr defaultRowHeight="15" x14ac:dyDescent="0.25"/>
  <sheetData>
    <row r="1" spans="1:12" x14ac:dyDescent="0.25">
      <c r="A1" t="s">
        <v>748</v>
      </c>
      <c r="B1">
        <v>7.1333333333604969</v>
      </c>
      <c r="C1">
        <v>30.28333333338378</v>
      </c>
      <c r="D1">
        <v>37.183333333348855</v>
      </c>
      <c r="E1">
        <v>53.916666666744277</v>
      </c>
      <c r="F1">
        <v>77.850000000034925</v>
      </c>
      <c r="G1">
        <v>102.04999999998836</v>
      </c>
      <c r="H1">
        <v>125.21666666673264</v>
      </c>
    </row>
    <row r="2" spans="1:12" x14ac:dyDescent="0.25">
      <c r="A2" t="s">
        <v>749</v>
      </c>
      <c r="B2">
        <v>5.2333333334536292</v>
      </c>
      <c r="C2">
        <v>23.200000000011642</v>
      </c>
      <c r="D2">
        <v>29.550000000104774</v>
      </c>
      <c r="E2">
        <v>44.833333333313931</v>
      </c>
      <c r="F2">
        <v>69.450000000069849</v>
      </c>
      <c r="G2">
        <v>92.916666666744277</v>
      </c>
    </row>
    <row r="3" spans="1:12" x14ac:dyDescent="0.25">
      <c r="A3" t="s">
        <v>750</v>
      </c>
      <c r="B3">
        <v>14.449999999953434</v>
      </c>
      <c r="C3">
        <v>17.71666666661622</v>
      </c>
      <c r="D3">
        <v>30.616666666581295</v>
      </c>
      <c r="E3">
        <v>55.766666666662786</v>
      </c>
      <c r="F3">
        <v>79.699999999953434</v>
      </c>
      <c r="G3">
        <v>103.69999999995343</v>
      </c>
      <c r="H3">
        <v>127.38333333330229</v>
      </c>
      <c r="I3">
        <v>151.78333333320916</v>
      </c>
    </row>
    <row r="4" spans="1:12" x14ac:dyDescent="0.25">
      <c r="A4" t="s">
        <v>751</v>
      </c>
      <c r="B4">
        <v>3.0166666667209938</v>
      </c>
      <c r="C4">
        <v>14.083333333313931</v>
      </c>
      <c r="D4">
        <v>19.150000000081491</v>
      </c>
      <c r="E4">
        <v>31.333333333313931</v>
      </c>
      <c r="F4">
        <v>39.333333333372138</v>
      </c>
      <c r="G4">
        <v>54.683333333290648</v>
      </c>
      <c r="H4">
        <v>64.599999999976717</v>
      </c>
      <c r="I4">
        <v>79.96666666661622</v>
      </c>
      <c r="J4">
        <v>101.31666666670935</v>
      </c>
      <c r="K4">
        <v>126.75</v>
      </c>
    </row>
    <row r="5" spans="1:12" x14ac:dyDescent="0.25">
      <c r="A5" t="s">
        <v>752</v>
      </c>
      <c r="B5">
        <v>6.2166666666744277</v>
      </c>
      <c r="C5">
        <v>19.116666666639503</v>
      </c>
      <c r="D5">
        <v>52.21666666661622</v>
      </c>
      <c r="E5">
        <v>74.71666666661622</v>
      </c>
      <c r="F5">
        <v>100.5</v>
      </c>
      <c r="G5">
        <v>124.69999999995343</v>
      </c>
      <c r="H5">
        <v>131.15000000002328</v>
      </c>
      <c r="I5">
        <v>147.94999999995343</v>
      </c>
    </row>
    <row r="6" spans="1:12" x14ac:dyDescent="0.25">
      <c r="A6" t="s">
        <v>753</v>
      </c>
      <c r="B6">
        <v>13.96666666661622</v>
      </c>
      <c r="C6">
        <v>19.5</v>
      </c>
      <c r="D6">
        <v>33.500000000058208</v>
      </c>
      <c r="E6">
        <v>58.283333333325572</v>
      </c>
      <c r="F6">
        <v>81.133333333418705</v>
      </c>
      <c r="G6">
        <v>90.199999999953434</v>
      </c>
      <c r="H6">
        <v>106.16666666662786</v>
      </c>
      <c r="I6">
        <v>106.5</v>
      </c>
    </row>
    <row r="7" spans="1:12" x14ac:dyDescent="0.25">
      <c r="A7" t="s">
        <v>754</v>
      </c>
      <c r="B7">
        <v>15.600000000000001</v>
      </c>
      <c r="C7">
        <v>21.35</v>
      </c>
      <c r="D7">
        <v>36.533333333333331</v>
      </c>
      <c r="E7">
        <v>61.833333333333329</v>
      </c>
      <c r="F7">
        <v>83.183333333333337</v>
      </c>
      <c r="G7">
        <v>108.6</v>
      </c>
      <c r="H7">
        <v>118.05000000000001</v>
      </c>
      <c r="I7">
        <v>132.55000000000001</v>
      </c>
      <c r="J7">
        <v>156.93333333333334</v>
      </c>
      <c r="K7">
        <v>180.71666666666667</v>
      </c>
    </row>
    <row r="8" spans="1:12" x14ac:dyDescent="0.25">
      <c r="A8" t="s">
        <v>755</v>
      </c>
      <c r="B8">
        <v>2.9500000000116415</v>
      </c>
      <c r="C8">
        <v>9.4166666666278616</v>
      </c>
      <c r="D8">
        <v>11.516666666662786</v>
      </c>
      <c r="E8">
        <v>33.116666666697711</v>
      </c>
      <c r="F8">
        <v>56.916666666744277</v>
      </c>
      <c r="G8">
        <v>80.566666666651145</v>
      </c>
      <c r="H8">
        <v>105.1333333334187</v>
      </c>
      <c r="I8">
        <v>128.98333333327901</v>
      </c>
    </row>
    <row r="9" spans="1:12" x14ac:dyDescent="0.25">
      <c r="A9" t="s">
        <v>756</v>
      </c>
      <c r="B9">
        <v>66.333333333372138</v>
      </c>
      <c r="C9">
        <v>83.316666666709352</v>
      </c>
      <c r="D9">
        <v>89.299999999988358</v>
      </c>
      <c r="E9">
        <v>105.11666666669771</v>
      </c>
      <c r="F9">
        <v>131.70000000006985</v>
      </c>
      <c r="G9">
        <v>154.08333333337214</v>
      </c>
      <c r="H9">
        <v>177.11666666669771</v>
      </c>
      <c r="I9">
        <v>202.26666666660458</v>
      </c>
    </row>
    <row r="10" spans="1:12" x14ac:dyDescent="0.25">
      <c r="A10" t="s">
        <v>757</v>
      </c>
      <c r="B10">
        <v>14.25</v>
      </c>
      <c r="C10">
        <v>18.450000000069849</v>
      </c>
      <c r="D10">
        <v>34.049999999930151</v>
      </c>
      <c r="E10">
        <v>56.583333333372138</v>
      </c>
      <c r="F10">
        <v>81.799999999988358</v>
      </c>
      <c r="G10">
        <v>82.083333333372138</v>
      </c>
      <c r="H10">
        <v>105.11666666669771</v>
      </c>
      <c r="I10">
        <v>130.26666666660458</v>
      </c>
    </row>
    <row r="11" spans="1:12" x14ac:dyDescent="0.25">
      <c r="A11" t="s">
        <v>758</v>
      </c>
      <c r="B11">
        <v>19.333333333313931</v>
      </c>
      <c r="C11">
        <v>33.999999999941792</v>
      </c>
      <c r="D11">
        <v>42.450000000069849</v>
      </c>
      <c r="E11">
        <v>58.933333333348855</v>
      </c>
      <c r="F11">
        <v>80.316666666709352</v>
      </c>
      <c r="G11">
        <v>107.1166666665813</v>
      </c>
    </row>
    <row r="12" spans="1:12" x14ac:dyDescent="0.25">
      <c r="A12" t="s">
        <v>759</v>
      </c>
      <c r="B12">
        <v>15.899999999965075</v>
      </c>
      <c r="C12">
        <v>22.983333333337214</v>
      </c>
      <c r="D12">
        <v>34.616666666697711</v>
      </c>
      <c r="E12">
        <v>57.899999999965075</v>
      </c>
      <c r="F12">
        <v>81.083333333255723</v>
      </c>
      <c r="G12">
        <v>105.75</v>
      </c>
      <c r="H12">
        <v>130.33333333331393</v>
      </c>
      <c r="I12">
        <v>154.43333333329065</v>
      </c>
      <c r="J12">
        <v>178.25000000005821</v>
      </c>
      <c r="K12">
        <v>178.45000000001164</v>
      </c>
    </row>
    <row r="13" spans="1:12" x14ac:dyDescent="0.25">
      <c r="A13" t="s">
        <v>760</v>
      </c>
      <c r="B13">
        <v>23.016666666604578</v>
      </c>
      <c r="C13">
        <v>30.933333333407063</v>
      </c>
      <c r="D13">
        <v>57.066666666709352</v>
      </c>
      <c r="E13">
        <v>82.599999999976717</v>
      </c>
      <c r="F13">
        <v>105.50000000005821</v>
      </c>
      <c r="G13">
        <v>114.1333333334187</v>
      </c>
      <c r="H13">
        <v>129.75</v>
      </c>
      <c r="I13">
        <v>141.3666666666395</v>
      </c>
      <c r="J13">
        <v>152.98333333327901</v>
      </c>
      <c r="K13">
        <v>177.03333333326736</v>
      </c>
      <c r="L13">
        <v>201.23333333339542</v>
      </c>
    </row>
    <row r="14" spans="1:12" x14ac:dyDescent="0.25">
      <c r="A14" t="s">
        <v>761</v>
      </c>
      <c r="B14">
        <v>21.616666666581295</v>
      </c>
      <c r="C14">
        <v>27.233333333395422</v>
      </c>
      <c r="D14">
        <v>34.566666666709352</v>
      </c>
      <c r="E14">
        <v>56.783333333325572</v>
      </c>
      <c r="F14">
        <v>80.833333333313931</v>
      </c>
      <c r="G14">
        <v>106.5</v>
      </c>
      <c r="H14">
        <v>129.79999999998836</v>
      </c>
      <c r="I14">
        <v>155.1166666665813</v>
      </c>
    </row>
    <row r="15" spans="1:12" x14ac:dyDescent="0.25">
      <c r="A15" t="s">
        <v>762</v>
      </c>
      <c r="B15">
        <v>20.166666666744277</v>
      </c>
      <c r="C15">
        <v>24.033333333267365</v>
      </c>
      <c r="D15">
        <v>57.433333333348855</v>
      </c>
      <c r="E15">
        <v>81</v>
      </c>
      <c r="F15">
        <v>105.14999999996508</v>
      </c>
      <c r="G15">
        <v>129.50000000005821</v>
      </c>
    </row>
    <row r="16" spans="1:12" x14ac:dyDescent="0.25">
      <c r="A16" t="s">
        <v>763</v>
      </c>
      <c r="B16">
        <v>15.316666666651145</v>
      </c>
      <c r="C16">
        <v>24.366666666639503</v>
      </c>
      <c r="D16">
        <v>33.066666666709352</v>
      </c>
      <c r="E16">
        <v>58.183333333348855</v>
      </c>
      <c r="F16">
        <v>81.450000000069849</v>
      </c>
      <c r="G16">
        <v>104.44999999995343</v>
      </c>
      <c r="H16">
        <v>129.78333333326736</v>
      </c>
    </row>
    <row r="17" spans="1:13" x14ac:dyDescent="0.25">
      <c r="A17" t="s">
        <v>764</v>
      </c>
      <c r="B17">
        <v>16.599999999976717</v>
      </c>
      <c r="C17">
        <v>22.683333333407063</v>
      </c>
      <c r="D17">
        <v>34.183333333348855</v>
      </c>
      <c r="E17">
        <v>57.433333333348855</v>
      </c>
      <c r="F17">
        <v>57.500000000058208</v>
      </c>
      <c r="G17">
        <v>81.149999999965075</v>
      </c>
      <c r="H17">
        <v>105.50000000005821</v>
      </c>
    </row>
    <row r="18" spans="1:13" x14ac:dyDescent="0.25">
      <c r="A18" t="s">
        <v>765</v>
      </c>
      <c r="B18">
        <v>6.0499999999883585</v>
      </c>
      <c r="C18">
        <v>9.8666666666977108</v>
      </c>
      <c r="D18">
        <v>43.816666666651145</v>
      </c>
      <c r="E18">
        <v>66.933333333407063</v>
      </c>
      <c r="F18">
        <v>91.250000000058208</v>
      </c>
      <c r="G18">
        <v>116.23333333327901</v>
      </c>
      <c r="H18">
        <v>140.13333333330229</v>
      </c>
      <c r="I18">
        <v>162.94999999995343</v>
      </c>
      <c r="J18">
        <v>170.76666666660458</v>
      </c>
      <c r="K18">
        <v>186.58333333331393</v>
      </c>
      <c r="L18">
        <v>211.09999999991851</v>
      </c>
    </row>
    <row r="19" spans="1:13" x14ac:dyDescent="0.25">
      <c r="A19" t="s">
        <v>766</v>
      </c>
      <c r="B19">
        <v>8.53333333338378</v>
      </c>
      <c r="C19">
        <v>13.566666666709352</v>
      </c>
      <c r="D19">
        <v>24.816666666709352</v>
      </c>
      <c r="E19">
        <v>48.166666666686069</v>
      </c>
      <c r="F19">
        <v>71.483333333395422</v>
      </c>
      <c r="G19">
        <v>94.916666666802485</v>
      </c>
      <c r="H19">
        <v>119.25</v>
      </c>
      <c r="I19">
        <v>143.66666666680248</v>
      </c>
    </row>
    <row r="20" spans="1:13" x14ac:dyDescent="0.25">
      <c r="A20" t="s">
        <v>767</v>
      </c>
      <c r="B20">
        <v>12.666666666744277</v>
      </c>
      <c r="C20">
        <v>16.849999999918509</v>
      </c>
      <c r="D20">
        <v>32.750000000058208</v>
      </c>
    </row>
    <row r="21" spans="1:13" x14ac:dyDescent="0.25">
      <c r="A21" t="s">
        <v>768</v>
      </c>
      <c r="B21">
        <v>20.533333333333335</v>
      </c>
      <c r="C21">
        <v>31.566666666666666</v>
      </c>
      <c r="D21">
        <v>54.850000000000009</v>
      </c>
      <c r="E21">
        <v>78.650000000000006</v>
      </c>
      <c r="F21">
        <v>101.61666666666666</v>
      </c>
    </row>
    <row r="22" spans="1:13" x14ac:dyDescent="0.25">
      <c r="A22" t="s">
        <v>769</v>
      </c>
      <c r="B22">
        <v>16.949999999895226</v>
      </c>
      <c r="C22">
        <v>24.049999999988358</v>
      </c>
      <c r="D22">
        <v>39.949999999953434</v>
      </c>
      <c r="E22">
        <v>64.983333333337214</v>
      </c>
      <c r="F22">
        <v>89.049999999871943</v>
      </c>
      <c r="G22">
        <v>113.34999999997672</v>
      </c>
      <c r="H22">
        <v>137.18333333329065</v>
      </c>
      <c r="I22">
        <v>143.8666666665813</v>
      </c>
      <c r="J22">
        <v>160.33333333331393</v>
      </c>
      <c r="K22">
        <v>185.64999999990687</v>
      </c>
      <c r="L22">
        <v>209.25</v>
      </c>
      <c r="M22">
        <v>233.8666666665813</v>
      </c>
    </row>
    <row r="23" spans="1:13" x14ac:dyDescent="0.25">
      <c r="A23" t="s">
        <v>770</v>
      </c>
      <c r="B23">
        <v>8.6000000000931323</v>
      </c>
      <c r="C23">
        <v>13.400000000023283</v>
      </c>
      <c r="D23">
        <v>24.716666666732635</v>
      </c>
      <c r="E23">
        <v>48.350000000093132</v>
      </c>
      <c r="F23">
        <v>72.116666666697711</v>
      </c>
      <c r="G23">
        <v>95.333333333430346</v>
      </c>
      <c r="H23">
        <v>120.48333333333721</v>
      </c>
    </row>
    <row r="24" spans="1:13" x14ac:dyDescent="0.25">
      <c r="A24" t="s">
        <v>771</v>
      </c>
      <c r="B24">
        <v>4.9333333333488554</v>
      </c>
      <c r="C24">
        <v>13.900000000081491</v>
      </c>
      <c r="D24">
        <v>21.600000000034925</v>
      </c>
      <c r="E24">
        <v>37.049999999930151</v>
      </c>
      <c r="F24">
        <v>61.350000000034925</v>
      </c>
      <c r="G24">
        <v>84.983333333395422</v>
      </c>
      <c r="H24">
        <v>97.599999999976717</v>
      </c>
      <c r="I24">
        <v>108.33333333337214</v>
      </c>
    </row>
    <row r="25" spans="1:13" x14ac:dyDescent="0.25">
      <c r="A25" t="s">
        <v>772</v>
      </c>
      <c r="B25">
        <v>14.449999999953434</v>
      </c>
      <c r="C25">
        <v>17.71666666661622</v>
      </c>
      <c r="D25">
        <v>30.616666666581295</v>
      </c>
      <c r="E25">
        <v>55.766666666662786</v>
      </c>
      <c r="F25">
        <v>79.699999999953434</v>
      </c>
      <c r="G25">
        <v>103.69999999995343</v>
      </c>
      <c r="H25">
        <v>127.38333333330229</v>
      </c>
      <c r="I25">
        <v>151.78333333320916</v>
      </c>
    </row>
    <row r="26" spans="1:13" x14ac:dyDescent="0.25">
      <c r="A26" t="s">
        <v>773</v>
      </c>
      <c r="B26">
        <v>7.5999999999767169</v>
      </c>
      <c r="C26">
        <v>12.633333333302289</v>
      </c>
      <c r="D26">
        <v>23.71666666661622</v>
      </c>
      <c r="E26">
        <v>47.349999999976717</v>
      </c>
      <c r="F26">
        <v>70.983333333337214</v>
      </c>
      <c r="G26">
        <v>95.466666666674428</v>
      </c>
      <c r="H26">
        <v>102.6166666665813</v>
      </c>
      <c r="I26">
        <v>119.04999999987194</v>
      </c>
      <c r="J26">
        <v>143.25</v>
      </c>
      <c r="K26">
        <v>168.24999999994179</v>
      </c>
    </row>
    <row r="27" spans="1:13" x14ac:dyDescent="0.25">
      <c r="A27" t="s">
        <v>774</v>
      </c>
      <c r="B27">
        <v>8.53333333338378</v>
      </c>
      <c r="C27">
        <v>13.566666666709352</v>
      </c>
      <c r="D27">
        <v>24.816666666709352</v>
      </c>
      <c r="E27">
        <v>48.166666666686069</v>
      </c>
      <c r="F27">
        <v>71.483333333395422</v>
      </c>
      <c r="G27">
        <v>94.916666666802485</v>
      </c>
      <c r="H27">
        <v>119.25</v>
      </c>
      <c r="I27">
        <v>143.66666666680248</v>
      </c>
    </row>
    <row r="28" spans="1:13" x14ac:dyDescent="0.25">
      <c r="A28" t="s">
        <v>775</v>
      </c>
      <c r="B28">
        <v>5.8666666667559184</v>
      </c>
      <c r="C28">
        <v>7.8166666666511446</v>
      </c>
      <c r="D28">
        <v>18.716666666732635</v>
      </c>
      <c r="E28">
        <v>42.016666666720994</v>
      </c>
      <c r="F28">
        <v>65.866666666755918</v>
      </c>
      <c r="G28">
        <v>98.733333333337214</v>
      </c>
      <c r="H28">
        <v>114.3666666666395</v>
      </c>
      <c r="I28">
        <v>137.33333333343035</v>
      </c>
    </row>
    <row r="29" spans="1:13" x14ac:dyDescent="0.25">
      <c r="A29" t="s">
        <v>776</v>
      </c>
      <c r="B29">
        <v>31.649999999965075</v>
      </c>
      <c r="C29">
        <v>36.449999999895226</v>
      </c>
      <c r="D29">
        <v>49.516666666546371</v>
      </c>
      <c r="E29">
        <v>71.699999999895226</v>
      </c>
      <c r="F29">
        <v>73.049999999930151</v>
      </c>
    </row>
    <row r="30" spans="1:13" x14ac:dyDescent="0.25">
      <c r="A30" t="s">
        <v>777</v>
      </c>
      <c r="B30">
        <v>16.383333333333333</v>
      </c>
      <c r="C30">
        <v>35.233333333279006</v>
      </c>
      <c r="D30">
        <v>50.699999999895226</v>
      </c>
      <c r="E30">
        <v>77.783333333325572</v>
      </c>
      <c r="F30">
        <v>99.083333333255723</v>
      </c>
      <c r="G30">
        <v>122.46666666667443</v>
      </c>
      <c r="H30">
        <v>148.3666666665813</v>
      </c>
      <c r="I30">
        <v>169.59999999997672</v>
      </c>
      <c r="J30">
        <v>194.81666666659294</v>
      </c>
    </row>
    <row r="31" spans="1:13" x14ac:dyDescent="0.25">
      <c r="A31" t="s">
        <v>778</v>
      </c>
      <c r="B31">
        <v>9.2000000001280569</v>
      </c>
      <c r="C31">
        <v>21.450000000069849</v>
      </c>
      <c r="D31">
        <v>40.850000000093132</v>
      </c>
      <c r="E31">
        <v>68.233333333453629</v>
      </c>
      <c r="F31">
        <v>90.550000000046566</v>
      </c>
      <c r="G31">
        <v>113.51666666666279</v>
      </c>
      <c r="H31">
        <v>114.48333333333721</v>
      </c>
      <c r="I31">
        <v>123.76666666672099</v>
      </c>
      <c r="J31">
        <v>138.41666666680248</v>
      </c>
      <c r="K31">
        <v>161.86666666675592</v>
      </c>
      <c r="L31">
        <v>189.56666666676756</v>
      </c>
    </row>
    <row r="32" spans="1:13" x14ac:dyDescent="0.25">
      <c r="A32" t="s">
        <v>779</v>
      </c>
      <c r="B32">
        <v>2.5166666666627862</v>
      </c>
      <c r="C32">
        <v>16.849999999918509</v>
      </c>
      <c r="D32">
        <v>38.683333333348855</v>
      </c>
      <c r="E32">
        <v>45.483333333337214</v>
      </c>
      <c r="F32">
        <v>65.950000000011642</v>
      </c>
      <c r="G32">
        <v>85.96666666661622</v>
      </c>
      <c r="H32">
        <v>111.58333333331393</v>
      </c>
      <c r="I32">
        <v>134.91666666674428</v>
      </c>
    </row>
    <row r="33" spans="1:15" x14ac:dyDescent="0.25">
      <c r="A33" t="s">
        <v>780</v>
      </c>
      <c r="B33">
        <v>6.183333333407063</v>
      </c>
      <c r="C33">
        <v>11.850000000034925</v>
      </c>
      <c r="D33">
        <v>19.850000000093132</v>
      </c>
      <c r="E33">
        <v>46.000000000116415</v>
      </c>
      <c r="F33">
        <v>78.833333333430346</v>
      </c>
      <c r="G33">
        <v>92.516666666662786</v>
      </c>
      <c r="H33">
        <v>117.11666666669771</v>
      </c>
    </row>
    <row r="34" spans="1:15" x14ac:dyDescent="0.25">
      <c r="A34" t="s">
        <v>781</v>
      </c>
      <c r="B34">
        <v>102.3833333333605</v>
      </c>
      <c r="C34">
        <v>108.3666666666395</v>
      </c>
      <c r="D34">
        <v>120.5166666667792</v>
      </c>
      <c r="E34">
        <v>132.60000000003492</v>
      </c>
      <c r="F34">
        <v>143.28333333344199</v>
      </c>
      <c r="G34">
        <v>168.73333333345363</v>
      </c>
      <c r="H34">
        <v>193.58333333343035</v>
      </c>
    </row>
    <row r="35" spans="1:15" x14ac:dyDescent="0.25">
      <c r="A35" t="s">
        <v>782</v>
      </c>
      <c r="B35">
        <v>4.05</v>
      </c>
      <c r="C35">
        <v>14.116666666755918</v>
      </c>
      <c r="D35">
        <v>20.616666666639503</v>
      </c>
      <c r="E35">
        <v>37.266666666779201</v>
      </c>
      <c r="F35">
        <v>60.033333333441988</v>
      </c>
      <c r="G35">
        <v>85.883333333360497</v>
      </c>
      <c r="H35">
        <v>110.15000000002328</v>
      </c>
      <c r="I35">
        <v>133.8833333333605</v>
      </c>
    </row>
    <row r="36" spans="1:15" x14ac:dyDescent="0.25">
      <c r="A36" t="s">
        <v>783</v>
      </c>
      <c r="B36">
        <v>36.733333333279006</v>
      </c>
      <c r="C36">
        <v>41.083333333313931</v>
      </c>
      <c r="D36">
        <v>57.616666666581295</v>
      </c>
      <c r="E36">
        <v>82.866666666639503</v>
      </c>
      <c r="F36">
        <v>107.23333333327901</v>
      </c>
      <c r="G36">
        <v>130.21666666661622</v>
      </c>
      <c r="H36">
        <v>153.81666666670935</v>
      </c>
    </row>
    <row r="37" spans="1:15" x14ac:dyDescent="0.25">
      <c r="A37" t="s">
        <v>784</v>
      </c>
      <c r="B37">
        <v>6.7666666667209938</v>
      </c>
      <c r="C37">
        <v>13.133333333360497</v>
      </c>
      <c r="D37">
        <v>24.500000000058208</v>
      </c>
      <c r="E37">
        <v>48.233333333395422</v>
      </c>
      <c r="F37">
        <v>74.050000000046566</v>
      </c>
      <c r="G37">
        <v>95.483333333395422</v>
      </c>
      <c r="H37">
        <v>119.08333333331393</v>
      </c>
      <c r="I37">
        <v>143.33333333343035</v>
      </c>
    </row>
    <row r="38" spans="1:15" x14ac:dyDescent="0.25">
      <c r="A38" t="s">
        <v>785</v>
      </c>
      <c r="B38">
        <v>31.333333333313931</v>
      </c>
      <c r="C38">
        <v>36.500000000058208</v>
      </c>
      <c r="D38">
        <v>40.916666666627862</v>
      </c>
      <c r="E38">
        <v>46.599999999976717</v>
      </c>
      <c r="F38">
        <v>58.116666666639503</v>
      </c>
      <c r="G38">
        <v>81.366666666639503</v>
      </c>
      <c r="H38">
        <v>106.23333333333721</v>
      </c>
      <c r="I38">
        <v>130.8833333333605</v>
      </c>
      <c r="J38">
        <v>154.43333333329065</v>
      </c>
      <c r="K38">
        <v>177.76666666672099</v>
      </c>
    </row>
    <row r="39" spans="1:15" x14ac:dyDescent="0.25">
      <c r="A39" t="s">
        <v>786</v>
      </c>
      <c r="B39">
        <v>7.5999999999767169</v>
      </c>
      <c r="C39">
        <v>11.333333333255723</v>
      </c>
      <c r="D39">
        <v>18.733333333279006</v>
      </c>
      <c r="E39">
        <v>43.233333333337214</v>
      </c>
      <c r="F39">
        <v>67.883333333360497</v>
      </c>
      <c r="G39">
        <v>91.266666666604578</v>
      </c>
      <c r="H39">
        <v>114.56666666659294</v>
      </c>
    </row>
    <row r="40" spans="1:15" x14ac:dyDescent="0.25">
      <c r="A40" t="s">
        <v>787</v>
      </c>
      <c r="B40">
        <v>28.266666666604578</v>
      </c>
      <c r="C40">
        <v>34.56666666666667</v>
      </c>
      <c r="D40">
        <v>60.55</v>
      </c>
      <c r="E40">
        <v>83.466666666666669</v>
      </c>
      <c r="F40">
        <v>106.88333333333334</v>
      </c>
      <c r="G40">
        <v>133.65</v>
      </c>
      <c r="H40">
        <v>155.5</v>
      </c>
      <c r="I40">
        <v>177.16666666666666</v>
      </c>
    </row>
    <row r="41" spans="1:15" x14ac:dyDescent="0.25">
      <c r="A41" t="s">
        <v>789</v>
      </c>
      <c r="B41" s="1">
        <v>4.0999999999185093</v>
      </c>
      <c r="C41" s="1">
        <v>10.300000000046566</v>
      </c>
      <c r="D41" s="1">
        <v>24.650000000023283</v>
      </c>
      <c r="E41" s="1">
        <v>48.46666666661622</v>
      </c>
      <c r="F41" s="1">
        <v>71.966666666732635</v>
      </c>
      <c r="G41" s="1">
        <v>96.883333333418705</v>
      </c>
      <c r="H41" s="1">
        <v>105.60000000003492</v>
      </c>
      <c r="I41" s="1">
        <v>121.08333333337214</v>
      </c>
      <c r="J41" s="1">
        <v>168.58333333331393</v>
      </c>
      <c r="K41" s="1">
        <v>193.48333333327901</v>
      </c>
      <c r="L41" s="1">
        <v>217.43333333329065</v>
      </c>
      <c r="M41" s="1">
        <v>242.06666666659294</v>
      </c>
      <c r="N41" s="1"/>
      <c r="O41" s="1"/>
    </row>
    <row r="42" spans="1:15" x14ac:dyDescent="0.25">
      <c r="A42" t="s">
        <v>790</v>
      </c>
      <c r="B42" s="1">
        <v>8.5166666666627862</v>
      </c>
      <c r="C42" s="1">
        <v>15.366666666639503</v>
      </c>
      <c r="D42" s="1">
        <v>21.883333333244082</v>
      </c>
      <c r="E42" s="1">
        <v>39.266666666662786</v>
      </c>
      <c r="F42" s="1">
        <v>63.999999999941792</v>
      </c>
      <c r="G42" s="1">
        <v>85.333333333313931</v>
      </c>
      <c r="H42" s="1">
        <v>93.75</v>
      </c>
      <c r="I42" s="1">
        <v>109.46666666655801</v>
      </c>
      <c r="J42" s="1">
        <v>133.18333333334886</v>
      </c>
      <c r="K42" s="1">
        <v>157.78333333320916</v>
      </c>
      <c r="L42" s="1">
        <v>182.26666666654637</v>
      </c>
      <c r="M42" s="1">
        <v>206.53333333320916</v>
      </c>
      <c r="N42" s="1">
        <v>229.74999999994179</v>
      </c>
      <c r="O42" s="1">
        <v>254.41666666668607</v>
      </c>
    </row>
    <row r="43" spans="1:15" x14ac:dyDescent="0.25">
      <c r="A43" t="s">
        <v>791</v>
      </c>
      <c r="B43" s="1">
        <v>4.1833333333488554</v>
      </c>
      <c r="C43" s="1">
        <v>8.6166666666395031</v>
      </c>
      <c r="D43" s="1">
        <v>16.983333333337214</v>
      </c>
      <c r="E43" s="1">
        <v>41.483333333220799</v>
      </c>
      <c r="F43" s="1">
        <v>65.43333333323244</v>
      </c>
      <c r="G43" s="1">
        <v>89.43333333323244</v>
      </c>
      <c r="H43" s="1">
        <v>113.25</v>
      </c>
      <c r="I43" s="1">
        <v>159.93333333323244</v>
      </c>
      <c r="J43" s="1">
        <v>185.68333333334886</v>
      </c>
      <c r="K43" s="1">
        <v>211.21666666661622</v>
      </c>
      <c r="L43" s="1"/>
      <c r="M43" s="1"/>
      <c r="N43" s="1"/>
      <c r="O43" s="1"/>
    </row>
    <row r="44" spans="1:15" x14ac:dyDescent="0.25">
      <c r="A44" t="s">
        <v>792</v>
      </c>
      <c r="B44" s="1">
        <v>5.8333333333139308</v>
      </c>
      <c r="C44" s="1">
        <v>13.183333333348855</v>
      </c>
      <c r="D44" s="1">
        <v>20.466666666674428</v>
      </c>
      <c r="E44" s="1">
        <v>37.599999999976717</v>
      </c>
      <c r="F44" s="1">
        <v>61.03333333338378</v>
      </c>
      <c r="G44" s="1">
        <v>84.600000000034925</v>
      </c>
      <c r="H44" s="1">
        <v>108.09999999997672</v>
      </c>
      <c r="I44" s="1">
        <v>132.28333333338378</v>
      </c>
      <c r="J44" s="1">
        <v>157.31666666659294</v>
      </c>
      <c r="K44" s="1"/>
      <c r="L44" s="1"/>
      <c r="M44" s="1"/>
      <c r="N44" s="1"/>
      <c r="O44" s="1"/>
    </row>
    <row r="45" spans="1:15" x14ac:dyDescent="0.25">
      <c r="A45" t="s">
        <v>793</v>
      </c>
      <c r="B45" s="1">
        <v>5.433333333407063</v>
      </c>
      <c r="C45" s="1">
        <v>9.1666666666860692</v>
      </c>
      <c r="D45" s="1">
        <v>18.766666666720994</v>
      </c>
      <c r="E45" s="1">
        <v>28.116666666639503</v>
      </c>
      <c r="F45" s="1">
        <v>42.049999999988358</v>
      </c>
      <c r="G45" s="1">
        <v>66.766666666720994</v>
      </c>
      <c r="H45" s="1">
        <v>74.399999999965075</v>
      </c>
      <c r="I45" s="1">
        <v>90.083333333255723</v>
      </c>
      <c r="J45" s="1">
        <v>115.1166666666395</v>
      </c>
      <c r="K45" s="1"/>
      <c r="L45" s="1"/>
      <c r="M45" s="1"/>
      <c r="N45" s="1"/>
      <c r="O45" s="1"/>
    </row>
    <row r="46" spans="1:15" x14ac:dyDescent="0.25">
      <c r="A46" t="s">
        <v>794</v>
      </c>
      <c r="B46" s="1">
        <v>4.4333333332906477</v>
      </c>
      <c r="C46" s="1">
        <v>10.233333333337214</v>
      </c>
      <c r="D46" s="1">
        <v>19.716666666674428</v>
      </c>
      <c r="E46" s="1">
        <v>24.616666666581295</v>
      </c>
      <c r="F46" s="1">
        <v>40.133333333360497</v>
      </c>
      <c r="G46" s="1">
        <v>66.28333333338378</v>
      </c>
      <c r="H46" s="1">
        <v>75.816666666709352</v>
      </c>
      <c r="I46" s="1">
        <v>90.899999999965075</v>
      </c>
      <c r="J46" s="1">
        <v>113.53333333338378</v>
      </c>
      <c r="K46" s="1">
        <v>138.6166666665813</v>
      </c>
      <c r="L46" s="1">
        <v>163.61666666669771</v>
      </c>
      <c r="M46" s="1"/>
      <c r="N46" s="1"/>
      <c r="O46" s="1"/>
    </row>
    <row r="47" spans="1:15" x14ac:dyDescent="0.25">
      <c r="A47" t="s">
        <v>795</v>
      </c>
      <c r="B47" s="1">
        <v>5.9000000000232831</v>
      </c>
      <c r="C47" s="1">
        <v>11.316666666709352</v>
      </c>
      <c r="D47" s="1">
        <v>21.833333333255723</v>
      </c>
      <c r="E47" s="1">
        <v>44.966666666732635</v>
      </c>
      <c r="F47" s="1">
        <v>69.366666666639503</v>
      </c>
      <c r="G47" s="1">
        <v>94.616666666697711</v>
      </c>
      <c r="H47" s="1"/>
      <c r="I47" s="1"/>
      <c r="J47" s="1"/>
      <c r="K47" s="1"/>
      <c r="L47" s="1"/>
      <c r="M47" s="1"/>
      <c r="N47" s="1"/>
      <c r="O47" s="1"/>
    </row>
    <row r="48" spans="1:15" x14ac:dyDescent="0.25">
      <c r="A48" t="s">
        <v>796</v>
      </c>
      <c r="B48" s="1">
        <v>4.7333333333954215</v>
      </c>
      <c r="C48" s="1">
        <v>13.21666666661622</v>
      </c>
      <c r="D48" s="1">
        <v>30.016666666720994</v>
      </c>
      <c r="E48" s="1">
        <v>54.616666666581295</v>
      </c>
      <c r="F48" s="1">
        <v>78.316666666651145</v>
      </c>
      <c r="G48" s="1">
        <v>102.23333333339542</v>
      </c>
      <c r="H48" s="1">
        <v>125.96666666673264</v>
      </c>
      <c r="I48" s="1">
        <v>151.04999999993015</v>
      </c>
      <c r="J48" s="1">
        <v>175.61666666669771</v>
      </c>
      <c r="K48" s="1">
        <v>199.46666666673264</v>
      </c>
      <c r="L48" s="1">
        <v>222.21666666667443</v>
      </c>
      <c r="M48" s="1">
        <v>248.00000000005821</v>
      </c>
      <c r="N48" s="1"/>
      <c r="O48" s="1"/>
    </row>
    <row r="49" spans="1:15" x14ac:dyDescent="0.25">
      <c r="A49" t="s">
        <v>797</v>
      </c>
      <c r="B49" s="1">
        <v>4.5999999999767169</v>
      </c>
      <c r="C49" s="1">
        <v>11.966666666732635</v>
      </c>
      <c r="D49" s="1">
        <v>22.750000000116415</v>
      </c>
      <c r="E49" s="1">
        <v>38.466666666674428</v>
      </c>
      <c r="F49" s="1">
        <v>61.5</v>
      </c>
      <c r="G49" s="1">
        <v>87.316666666651145</v>
      </c>
      <c r="H49" s="1">
        <v>111.53333333332557</v>
      </c>
      <c r="I49" s="1">
        <v>135.73333333345363</v>
      </c>
      <c r="J49" s="1">
        <v>157.40000000002328</v>
      </c>
      <c r="K49" s="1">
        <v>167.91666666674428</v>
      </c>
      <c r="L49" s="1">
        <v>172.8666666666395</v>
      </c>
      <c r="M49" s="1">
        <v>182.60000000009313</v>
      </c>
      <c r="N49" s="1">
        <v>206.29999999998836</v>
      </c>
      <c r="O49" s="1">
        <v>230.73333333333721</v>
      </c>
    </row>
    <row r="50" spans="1:15" x14ac:dyDescent="0.25">
      <c r="A50" t="s">
        <v>798</v>
      </c>
      <c r="B50" s="1">
        <v>7.3500000000349246</v>
      </c>
      <c r="C50" s="1">
        <v>12.149999999965075</v>
      </c>
      <c r="D50" s="1">
        <v>18.766666666720994</v>
      </c>
      <c r="E50" s="1">
        <v>43.116666666639503</v>
      </c>
      <c r="F50" s="1">
        <v>67.683333333407063</v>
      </c>
      <c r="G50" s="1">
        <v>91.200000000069849</v>
      </c>
      <c r="H50" s="1">
        <v>116.01666666660458</v>
      </c>
      <c r="I50" s="1">
        <v>138.6166666665813</v>
      </c>
      <c r="J50" s="1">
        <v>164.29999999998836</v>
      </c>
      <c r="K50" s="1">
        <v>187.26666666660458</v>
      </c>
      <c r="L50" s="1"/>
      <c r="M50" s="1"/>
      <c r="N50" s="1"/>
      <c r="O50" s="1"/>
    </row>
    <row r="51" spans="1:15" x14ac:dyDescent="0.25">
      <c r="A51" t="s">
        <v>799</v>
      </c>
      <c r="B51" s="1">
        <v>3.9666666666744277</v>
      </c>
      <c r="C51" s="1">
        <v>9.8666666665230878</v>
      </c>
      <c r="D51" s="1">
        <v>26.233333333279006</v>
      </c>
      <c r="E51" s="1">
        <v>50.483333333220799</v>
      </c>
      <c r="F51" s="1">
        <v>73.833333333197515</v>
      </c>
      <c r="G51" s="1">
        <v>97.883333333360497</v>
      </c>
      <c r="H51" s="1">
        <v>105.94999999995343</v>
      </c>
      <c r="I51" s="1">
        <v>147.19999999995343</v>
      </c>
      <c r="J51" s="1">
        <v>170.25</v>
      </c>
      <c r="K51" s="1"/>
      <c r="L51" s="1"/>
      <c r="M51" s="1"/>
      <c r="N51" s="1"/>
    </row>
    <row r="52" spans="1:15" x14ac:dyDescent="0.25">
      <c r="A52" t="s">
        <v>800</v>
      </c>
      <c r="B52" s="1">
        <v>3.9833333333954215</v>
      </c>
      <c r="C52" s="1">
        <v>8.7000000000698492</v>
      </c>
      <c r="D52" s="1">
        <v>19.483333333279006</v>
      </c>
      <c r="E52" s="1">
        <v>30.799999999988358</v>
      </c>
      <c r="F52" s="1">
        <v>31.166666666627862</v>
      </c>
      <c r="G52" s="1">
        <v>43.03333333338378</v>
      </c>
      <c r="H52" s="1">
        <v>67.433333333290648</v>
      </c>
      <c r="I52" s="1">
        <v>92.25</v>
      </c>
      <c r="J52" s="1">
        <v>116.01666666660458</v>
      </c>
      <c r="K52" s="1">
        <v>137.93333333329065</v>
      </c>
      <c r="L52" s="1"/>
      <c r="M52" s="1"/>
      <c r="N52" s="1"/>
      <c r="O52" s="1"/>
    </row>
    <row r="53" spans="1:15" x14ac:dyDescent="0.25">
      <c r="A53" t="s">
        <v>801</v>
      </c>
      <c r="B53" s="1">
        <v>7.5666666667093523</v>
      </c>
      <c r="C53" s="1">
        <v>11.299999999988358</v>
      </c>
      <c r="D53" s="1">
        <v>19.400000000023283</v>
      </c>
      <c r="E53" s="1">
        <v>68.566666666651145</v>
      </c>
      <c r="F53" s="1">
        <v>91.599999999976717</v>
      </c>
      <c r="G53" s="1">
        <v>115.78333333338378</v>
      </c>
      <c r="H53" s="1">
        <v>138.6166666665813</v>
      </c>
      <c r="I53" s="1">
        <v>163.26666666660458</v>
      </c>
      <c r="J53" s="1"/>
      <c r="K53" s="1"/>
      <c r="L53" s="1"/>
      <c r="M53" s="1"/>
      <c r="N53" s="1"/>
      <c r="O53" s="1"/>
    </row>
    <row r="54" spans="1:15" x14ac:dyDescent="0.25">
      <c r="A54" t="s">
        <v>802</v>
      </c>
      <c r="B54" s="1">
        <v>8.6833333333488554</v>
      </c>
      <c r="C54" s="1">
        <v>13.400000000023283</v>
      </c>
      <c r="D54" s="1">
        <v>24.916666666686069</v>
      </c>
      <c r="E54" s="1">
        <v>48.783333333441988</v>
      </c>
      <c r="F54" s="1">
        <v>72.116666666697711</v>
      </c>
      <c r="G54" s="1">
        <v>95.500000000116415</v>
      </c>
      <c r="H54" s="1">
        <v>120.5166666667792</v>
      </c>
      <c r="I54" s="1"/>
      <c r="J54" s="1"/>
      <c r="K54" s="1"/>
      <c r="L54" s="1"/>
      <c r="M54" s="1"/>
      <c r="N54" s="1"/>
      <c r="O54" s="1"/>
    </row>
    <row r="55" spans="1:15" x14ac:dyDescent="0.25">
      <c r="A55" t="s">
        <v>803</v>
      </c>
      <c r="B55" s="1">
        <v>7.6666666666860692</v>
      </c>
      <c r="C55" s="1">
        <v>12.616666666581295</v>
      </c>
      <c r="D55" s="1">
        <v>23.916666666569654</v>
      </c>
      <c r="E55" s="1">
        <v>47.783333333325572</v>
      </c>
      <c r="F55" s="1">
        <v>71.116666666581295</v>
      </c>
      <c r="G55" s="1">
        <v>95.533333333209157</v>
      </c>
      <c r="H55" s="1">
        <v>102.68333333329065</v>
      </c>
      <c r="I55" s="1">
        <v>119.25</v>
      </c>
      <c r="J55" s="1"/>
      <c r="K55" s="1"/>
      <c r="L55" s="1"/>
      <c r="M55" s="1"/>
      <c r="N55" s="1"/>
      <c r="O55" s="1"/>
    </row>
    <row r="56" spans="1:15" x14ac:dyDescent="0.25">
      <c r="A56" t="s">
        <v>804</v>
      </c>
      <c r="B56" s="1">
        <v>5.8500000000349246</v>
      </c>
      <c r="C56" s="1">
        <v>7.8000000001047738</v>
      </c>
      <c r="D56" s="1">
        <v>18.916666666686069</v>
      </c>
      <c r="E56" s="1">
        <v>42.783333333441988</v>
      </c>
      <c r="F56" s="1">
        <v>66.116666666697711</v>
      </c>
      <c r="G56" s="1">
        <v>74.733333333337214</v>
      </c>
      <c r="H56" s="1">
        <v>89.500000000116415</v>
      </c>
      <c r="I56" s="1">
        <v>104.53333333338378</v>
      </c>
      <c r="J56" s="1"/>
      <c r="K56" s="1"/>
      <c r="L56" s="1"/>
      <c r="M56" s="1"/>
      <c r="N56" s="1"/>
      <c r="O56" s="1"/>
    </row>
    <row r="57" spans="1:15" x14ac:dyDescent="0.25">
      <c r="A57" t="s">
        <v>805</v>
      </c>
      <c r="B57" s="1">
        <v>31.633333333244082</v>
      </c>
      <c r="C57" s="1">
        <v>36.433333333348855</v>
      </c>
      <c r="D57" s="1">
        <v>49.716666666674428</v>
      </c>
      <c r="E57" s="1">
        <v>72.499999999883585</v>
      </c>
      <c r="F57" s="1">
        <v>121.08333333319752</v>
      </c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25">
      <c r="A58" t="s">
        <v>806</v>
      </c>
      <c r="B58" s="1">
        <v>21.466666666790843</v>
      </c>
      <c r="C58" s="1">
        <v>33.233333333395422</v>
      </c>
      <c r="D58" s="1">
        <v>42</v>
      </c>
      <c r="E58" s="1">
        <v>68.950000000011642</v>
      </c>
      <c r="F58" s="1">
        <v>113.96666666673264</v>
      </c>
      <c r="G58" s="1">
        <v>124.21666666679084</v>
      </c>
      <c r="H58" s="1">
        <v>138.86666666669771</v>
      </c>
      <c r="I58" s="1">
        <v>189.56666666676756</v>
      </c>
      <c r="J58" s="1"/>
      <c r="K58" s="1"/>
      <c r="L58" s="1"/>
      <c r="M58" s="1"/>
      <c r="N58" s="1"/>
    </row>
    <row r="59" spans="1:15" x14ac:dyDescent="0.25">
      <c r="A59" t="s">
        <v>807</v>
      </c>
      <c r="B59" s="1">
        <v>16.983333333337214</v>
      </c>
      <c r="C59" s="1">
        <v>24.049999999988358</v>
      </c>
      <c r="D59" s="1">
        <v>39.949999999953434</v>
      </c>
      <c r="E59" s="1">
        <v>65.016666666604578</v>
      </c>
      <c r="F59" s="1">
        <v>89.150000000023283</v>
      </c>
      <c r="G59" s="1">
        <v>113.76666666660458</v>
      </c>
      <c r="H59" s="1">
        <v>137.29999999998836</v>
      </c>
      <c r="I59" s="1">
        <v>144.09999999997672</v>
      </c>
      <c r="J59" s="1">
        <v>160.51666666654637</v>
      </c>
      <c r="K59" s="1">
        <v>185.66666666662786</v>
      </c>
      <c r="L59" s="1">
        <v>209.34999999997672</v>
      </c>
      <c r="M59" s="1">
        <v>233.88333333330229</v>
      </c>
      <c r="N59" s="1"/>
      <c r="O59" s="1"/>
    </row>
    <row r="60" spans="1:15" x14ac:dyDescent="0.25">
      <c r="A60" t="s">
        <v>808</v>
      </c>
      <c r="B60" s="1">
        <v>7.78333333338378</v>
      </c>
      <c r="C60" s="1">
        <v>27.799999999988358</v>
      </c>
      <c r="D60" s="1">
        <v>30.916666666686069</v>
      </c>
      <c r="E60" s="1">
        <v>54.75</v>
      </c>
      <c r="F60" s="1">
        <v>77.766666666779201</v>
      </c>
      <c r="G60" s="1">
        <v>103.23333333333721</v>
      </c>
      <c r="H60" s="1"/>
      <c r="I60" s="1"/>
      <c r="J60" s="1"/>
      <c r="K60" s="1"/>
      <c r="L60" s="1"/>
      <c r="M60" s="1"/>
      <c r="N60" s="1"/>
      <c r="O60" s="1"/>
    </row>
    <row r="61" spans="1:15" x14ac:dyDescent="0.25">
      <c r="A61" t="s">
        <v>809</v>
      </c>
      <c r="B61" s="1">
        <v>4.2000000000698492</v>
      </c>
      <c r="C61" s="1">
        <v>10.950000000069849</v>
      </c>
      <c r="D61" s="1">
        <v>20.050000000046566</v>
      </c>
      <c r="E61" s="1">
        <v>27.366666666639503</v>
      </c>
      <c r="F61" s="1">
        <v>43.533333333267365</v>
      </c>
      <c r="G61" s="1">
        <v>67.933333333348855</v>
      </c>
      <c r="H61" s="1">
        <v>91.933333333348855</v>
      </c>
      <c r="I61" s="1">
        <v>115.25000000005821</v>
      </c>
      <c r="J61" s="1">
        <v>139.96666666661622</v>
      </c>
      <c r="K61" s="1"/>
      <c r="L61" s="1"/>
      <c r="M61" s="1"/>
      <c r="N61" s="1"/>
      <c r="O61" s="1"/>
    </row>
    <row r="62" spans="1:15" x14ac:dyDescent="0.25">
      <c r="A62" t="s">
        <v>810</v>
      </c>
      <c r="B62" s="1">
        <v>4.78333333338378</v>
      </c>
      <c r="C62" s="1">
        <v>7.8666666666395031</v>
      </c>
      <c r="D62" s="1">
        <v>16.533333333267365</v>
      </c>
      <c r="E62" s="1">
        <v>41.816666666592937</v>
      </c>
      <c r="F62" s="1">
        <v>65.366666666697711</v>
      </c>
      <c r="G62" s="1">
        <v>89.900000000023283</v>
      </c>
      <c r="H62" s="1">
        <v>114.51666666660458</v>
      </c>
      <c r="I62" s="1"/>
      <c r="J62" s="1"/>
      <c r="K62" s="1"/>
      <c r="L62" s="1"/>
      <c r="M62" s="1"/>
      <c r="N62" s="1"/>
      <c r="O62" s="1"/>
    </row>
    <row r="63" spans="1:15" x14ac:dyDescent="0.25">
      <c r="A63" t="s">
        <v>811</v>
      </c>
      <c r="B63" s="1">
        <v>10.883333333360497</v>
      </c>
      <c r="C63" s="1">
        <v>15.900000000139698</v>
      </c>
      <c r="D63" s="1">
        <v>27.099999999976717</v>
      </c>
      <c r="E63" s="1">
        <v>51.683333333465271</v>
      </c>
      <c r="F63" s="1">
        <v>76.733333333395422</v>
      </c>
      <c r="G63" s="1">
        <v>98.983333333453629</v>
      </c>
      <c r="H63" s="1">
        <v>122.88333333347691</v>
      </c>
      <c r="I63" s="1">
        <v>147.43333333334886</v>
      </c>
      <c r="J63" s="1"/>
      <c r="K63" s="1"/>
      <c r="L63" s="1"/>
      <c r="M63" s="1"/>
      <c r="N63" s="1"/>
      <c r="O63" s="1"/>
    </row>
    <row r="64" spans="1:15" x14ac:dyDescent="0.25">
      <c r="A64" t="s">
        <v>812</v>
      </c>
      <c r="B64" s="1">
        <v>9.4166666666278616</v>
      </c>
      <c r="C64" s="1">
        <v>17.700000000069849</v>
      </c>
      <c r="D64" s="1">
        <v>23.116666666581295</v>
      </c>
      <c r="E64" s="1">
        <v>40.616666666697711</v>
      </c>
      <c r="F64" s="1">
        <v>64.950000000069849</v>
      </c>
      <c r="G64" s="1">
        <v>89.399999999965075</v>
      </c>
      <c r="H64" s="1">
        <v>112.03333333338378</v>
      </c>
      <c r="I64" s="1">
        <v>137.93333333329065</v>
      </c>
      <c r="J64" s="1">
        <v>160.83333333337214</v>
      </c>
      <c r="K64" s="1">
        <v>185.85000000003492</v>
      </c>
      <c r="L64" s="1"/>
      <c r="M64" s="1"/>
      <c r="N64" s="1"/>
      <c r="O64" s="1"/>
    </row>
    <row r="65" spans="1:16" x14ac:dyDescent="0.25">
      <c r="A65" t="s">
        <v>813</v>
      </c>
      <c r="B65" s="1">
        <v>4.2833333333255723</v>
      </c>
      <c r="C65" s="1">
        <v>9.6166666665812954</v>
      </c>
      <c r="D65" s="1">
        <v>20.633333333360497</v>
      </c>
      <c r="E65" s="1">
        <v>44.833333333313931</v>
      </c>
      <c r="F65" s="1">
        <v>69.233333333220799</v>
      </c>
      <c r="G65" s="1">
        <v>92.583333333197515</v>
      </c>
      <c r="H65" s="1">
        <v>116.6333333333605</v>
      </c>
      <c r="I65" s="1">
        <v>141.18333333323244</v>
      </c>
      <c r="J65" s="1">
        <v>165.81666666653473</v>
      </c>
      <c r="K65" s="1"/>
      <c r="L65" s="1"/>
      <c r="M65" s="1"/>
      <c r="N65" s="1"/>
      <c r="O65" s="1"/>
    </row>
    <row r="66" spans="1:16" x14ac:dyDescent="0.25">
      <c r="A66" t="s">
        <v>816</v>
      </c>
      <c r="B66">
        <v>18.833333333255723</v>
      </c>
      <c r="C66">
        <v>23.283333333267365</v>
      </c>
      <c r="D66">
        <v>24.683333333290648</v>
      </c>
      <c r="E66">
        <v>48.533333333325572</v>
      </c>
      <c r="F66">
        <v>96.46666666661622</v>
      </c>
      <c r="G66">
        <v>120.03333333326736</v>
      </c>
    </row>
    <row r="67" spans="1:16" x14ac:dyDescent="0.25">
      <c r="A67" t="s">
        <v>817</v>
      </c>
      <c r="B67">
        <v>20.516666666662786</v>
      </c>
      <c r="C67">
        <v>23.933333333290648</v>
      </c>
      <c r="D67">
        <v>24.266666666662786</v>
      </c>
      <c r="E67">
        <v>48.199999999953434</v>
      </c>
      <c r="F67">
        <v>72.149999999965075</v>
      </c>
      <c r="G67">
        <v>96.016666666720994</v>
      </c>
      <c r="H67">
        <v>120.04999999998836</v>
      </c>
    </row>
    <row r="68" spans="1:16" x14ac:dyDescent="0.25">
      <c r="A68" t="s">
        <v>818</v>
      </c>
      <c r="B68">
        <v>7.7333333333954215</v>
      </c>
      <c r="C68">
        <v>18.066666666709352</v>
      </c>
      <c r="D68">
        <v>24.566666666592937</v>
      </c>
      <c r="E68">
        <v>53.616666666639503</v>
      </c>
      <c r="F68">
        <v>72.049999999988358</v>
      </c>
      <c r="G68">
        <v>96.183333333407063</v>
      </c>
    </row>
    <row r="69" spans="1:16" x14ac:dyDescent="0.25">
      <c r="A69" t="s">
        <v>819</v>
      </c>
      <c r="B69">
        <v>10.549999999988358</v>
      </c>
      <c r="C69">
        <v>15.650000000023283</v>
      </c>
      <c r="D69">
        <v>23.616666666639503</v>
      </c>
      <c r="E69">
        <v>24.383333333360497</v>
      </c>
      <c r="F69">
        <v>48.266666666662786</v>
      </c>
      <c r="G69">
        <v>72.216666666674428</v>
      </c>
      <c r="H69">
        <v>96.083333333255723</v>
      </c>
      <c r="I69">
        <v>120.81666666670935</v>
      </c>
      <c r="J69">
        <v>144.04999999998836</v>
      </c>
      <c r="K69">
        <v>168.65000000002328</v>
      </c>
      <c r="L69">
        <v>197.70000000006985</v>
      </c>
    </row>
    <row r="70" spans="1:16" x14ac:dyDescent="0.25">
      <c r="A70" t="s">
        <v>820</v>
      </c>
      <c r="B70">
        <v>7.8499999999185093</v>
      </c>
      <c r="C70">
        <v>16.583333333255723</v>
      </c>
      <c r="D70">
        <v>24.383333333360497</v>
      </c>
      <c r="E70">
        <v>48.183333333407063</v>
      </c>
      <c r="F70">
        <v>72.149999999965075</v>
      </c>
      <c r="G70">
        <v>96.899999999965075</v>
      </c>
      <c r="H70">
        <v>120.04999999998836</v>
      </c>
    </row>
    <row r="71" spans="1:16" x14ac:dyDescent="0.25">
      <c r="A71" t="s">
        <v>821</v>
      </c>
      <c r="B71">
        <v>2.71666666661622</v>
      </c>
      <c r="C71">
        <v>8.8666666665812954</v>
      </c>
      <c r="D71">
        <v>15.683333333290648</v>
      </c>
      <c r="E71">
        <v>24.083333333255723</v>
      </c>
      <c r="F71">
        <v>48.116666666697711</v>
      </c>
      <c r="G71">
        <v>72.349999999918509</v>
      </c>
      <c r="H71">
        <v>96.450000000069849</v>
      </c>
      <c r="I71">
        <v>120.06666666670935</v>
      </c>
      <c r="J71">
        <v>144.43333333334886</v>
      </c>
      <c r="K71">
        <v>174.11666666669771</v>
      </c>
      <c r="L71">
        <v>198.19999999995343</v>
      </c>
    </row>
    <row r="72" spans="1:16" x14ac:dyDescent="0.25">
      <c r="A72" t="s">
        <v>822</v>
      </c>
      <c r="B72">
        <v>7.21666666661622</v>
      </c>
      <c r="C72">
        <v>12.500000000058208</v>
      </c>
      <c r="D72">
        <v>17.800000000046566</v>
      </c>
      <c r="E72">
        <v>24.116666666697711</v>
      </c>
      <c r="F72">
        <v>48.583333333313931</v>
      </c>
      <c r="G72">
        <v>72.083333333255723</v>
      </c>
      <c r="H72">
        <v>96.166666666686069</v>
      </c>
      <c r="I72">
        <v>125.96666666673264</v>
      </c>
      <c r="J72">
        <v>144.06666666670935</v>
      </c>
      <c r="K72">
        <v>161.54999999993015</v>
      </c>
      <c r="L72">
        <v>168.04999999998836</v>
      </c>
      <c r="M72">
        <v>192.08333333325572</v>
      </c>
    </row>
    <row r="73" spans="1:16" x14ac:dyDescent="0.25">
      <c r="A73" t="s">
        <v>823</v>
      </c>
      <c r="B73">
        <v>2.2666666667209938</v>
      </c>
      <c r="C73">
        <v>2.4999999999417923</v>
      </c>
      <c r="D73">
        <v>8.5999999999185093</v>
      </c>
      <c r="E73">
        <v>16.200000000069849</v>
      </c>
      <c r="F73">
        <v>24.566666666592937</v>
      </c>
      <c r="G73">
        <v>48.333333333372138</v>
      </c>
      <c r="H73">
        <v>72.316666666651145</v>
      </c>
      <c r="I73">
        <v>96.049999999988358</v>
      </c>
    </row>
    <row r="74" spans="1:16" x14ac:dyDescent="0.25">
      <c r="A74" t="s">
        <v>824</v>
      </c>
      <c r="B74">
        <v>2.9333333332906477</v>
      </c>
      <c r="C74">
        <v>3.2333333333954215</v>
      </c>
      <c r="D74">
        <v>16.883333333360497</v>
      </c>
      <c r="E74">
        <v>24.333333333372138</v>
      </c>
      <c r="F74">
        <v>48.016666666720994</v>
      </c>
      <c r="G74">
        <v>72.166666666686069</v>
      </c>
      <c r="H74">
        <v>88.616666666697711</v>
      </c>
      <c r="I74">
        <v>96.083333333255723</v>
      </c>
      <c r="J74">
        <v>120.06666666670935</v>
      </c>
      <c r="K74">
        <v>144.26666666666279</v>
      </c>
      <c r="L74">
        <v>173.81666666659294</v>
      </c>
      <c r="M74">
        <v>192.48333333333721</v>
      </c>
      <c r="N74">
        <v>216.06666666670935</v>
      </c>
      <c r="O74">
        <v>245.76666666660458</v>
      </c>
      <c r="P74">
        <v>269.85000000003492</v>
      </c>
    </row>
    <row r="75" spans="1:16" x14ac:dyDescent="0.25">
      <c r="A75" t="s">
        <v>825</v>
      </c>
      <c r="B75">
        <v>11.083333333313931</v>
      </c>
      <c r="C75">
        <v>16.900000000081491</v>
      </c>
      <c r="D75">
        <v>24.516666666604578</v>
      </c>
      <c r="E75">
        <v>48.149999999965075</v>
      </c>
      <c r="F75">
        <v>72.099999999976717</v>
      </c>
      <c r="G75">
        <v>96.183333333407063</v>
      </c>
      <c r="H75">
        <v>120.14999999996508</v>
      </c>
      <c r="I75">
        <v>144.04999999998836</v>
      </c>
      <c r="J75">
        <v>173.66666666662786</v>
      </c>
      <c r="K75">
        <v>216.09999999997672</v>
      </c>
    </row>
    <row r="76" spans="1:16" x14ac:dyDescent="0.25">
      <c r="A76" t="s">
        <v>826</v>
      </c>
      <c r="B76">
        <v>11.583333333372138</v>
      </c>
      <c r="C76">
        <v>16.416666666744277</v>
      </c>
      <c r="D76">
        <v>24.400000000081491</v>
      </c>
      <c r="E76">
        <v>48.233333333395422</v>
      </c>
      <c r="F76">
        <v>72.066666666709352</v>
      </c>
      <c r="G76">
        <v>96.016666666720994</v>
      </c>
    </row>
    <row r="77" spans="1:16" x14ac:dyDescent="0.25">
      <c r="A77" t="s">
        <v>827</v>
      </c>
      <c r="B77">
        <v>13.78333333338378</v>
      </c>
      <c r="C77">
        <v>18.899999999965075</v>
      </c>
      <c r="D77">
        <v>24.366666666639503</v>
      </c>
      <c r="E77">
        <v>48.433333333348855</v>
      </c>
      <c r="F77">
        <v>72.550000000046566</v>
      </c>
      <c r="G77">
        <v>96.249999999941792</v>
      </c>
      <c r="H77">
        <v>120.3666666666395</v>
      </c>
      <c r="I77">
        <v>144.03333333326736</v>
      </c>
      <c r="J77">
        <v>168.04999999998836</v>
      </c>
    </row>
    <row r="78" spans="1:16" x14ac:dyDescent="0.25">
      <c r="A78" t="s">
        <v>828</v>
      </c>
      <c r="B78">
        <v>11.233333333279006</v>
      </c>
      <c r="C78">
        <v>17.616666666639503</v>
      </c>
      <c r="D78">
        <v>24.116666666697711</v>
      </c>
      <c r="E78">
        <v>39.616666666581295</v>
      </c>
      <c r="F78">
        <v>48.049999999988358</v>
      </c>
      <c r="G78">
        <v>72.233333333395422</v>
      </c>
      <c r="H78">
        <v>101.76666666660458</v>
      </c>
    </row>
    <row r="79" spans="1:16" x14ac:dyDescent="0.25">
      <c r="A79" t="s">
        <v>829</v>
      </c>
      <c r="B79">
        <v>11.433333333407063</v>
      </c>
      <c r="C79">
        <v>16.96666666661622</v>
      </c>
      <c r="D79">
        <v>24.266666666662786</v>
      </c>
      <c r="E79">
        <v>48.199999999953434</v>
      </c>
      <c r="F79">
        <v>72.566666666592937</v>
      </c>
      <c r="G79">
        <v>96.166666666686069</v>
      </c>
      <c r="H79">
        <v>125.48333333339542</v>
      </c>
      <c r="I79">
        <v>144.18333333340706</v>
      </c>
    </row>
    <row r="80" spans="1:16" x14ac:dyDescent="0.25">
      <c r="A80" t="s">
        <v>830</v>
      </c>
      <c r="B80">
        <v>15.066666666709352</v>
      </c>
      <c r="C80">
        <v>18.75</v>
      </c>
      <c r="D80">
        <v>24</v>
      </c>
      <c r="E80">
        <v>48.133333333418705</v>
      </c>
      <c r="F80">
        <v>72.949999999953434</v>
      </c>
      <c r="G80">
        <v>87.299999999930151</v>
      </c>
      <c r="H80">
        <v>101.75000000005821</v>
      </c>
      <c r="I80">
        <v>125.83333333331393</v>
      </c>
    </row>
    <row r="81" spans="1:24" x14ac:dyDescent="0.25">
      <c r="A81" t="s">
        <v>831</v>
      </c>
      <c r="B81">
        <v>18.583333333313931</v>
      </c>
      <c r="C81">
        <v>23.349999999976717</v>
      </c>
      <c r="D81">
        <v>24.099999999976717</v>
      </c>
      <c r="E81">
        <v>48.349999999918509</v>
      </c>
      <c r="F81">
        <v>72.183333333407063</v>
      </c>
      <c r="G81">
        <v>101.83333333331393</v>
      </c>
    </row>
    <row r="82" spans="1:24" x14ac:dyDescent="0.25">
      <c r="A82" t="s">
        <v>832</v>
      </c>
      <c r="B82">
        <v>19.849999999918509</v>
      </c>
      <c r="C82">
        <v>24.033333333267365</v>
      </c>
      <c r="D82">
        <v>24.333333333372138</v>
      </c>
      <c r="E82">
        <v>39.933333333407063</v>
      </c>
      <c r="F82">
        <v>54.316666666651145</v>
      </c>
      <c r="G82">
        <v>72.149999999965075</v>
      </c>
      <c r="H82">
        <v>96.216666666674428</v>
      </c>
      <c r="I82">
        <v>120.11666666669771</v>
      </c>
    </row>
    <row r="83" spans="1:24" x14ac:dyDescent="0.25">
      <c r="A83" t="s">
        <v>833</v>
      </c>
      <c r="B83">
        <v>17.349999999976717</v>
      </c>
      <c r="C83">
        <v>23.399999999965075</v>
      </c>
      <c r="D83">
        <v>24.46666666661622</v>
      </c>
      <c r="E83">
        <v>40.866666666639503</v>
      </c>
      <c r="F83">
        <v>48.566666666592937</v>
      </c>
      <c r="G83">
        <v>72.049999999988358</v>
      </c>
      <c r="H83">
        <v>96.28333333338378</v>
      </c>
      <c r="I83">
        <v>120.23333333339542</v>
      </c>
      <c r="J83">
        <v>144.01666666672099</v>
      </c>
      <c r="K83">
        <v>168.01666666672099</v>
      </c>
      <c r="L83">
        <v>192.09999999997672</v>
      </c>
    </row>
    <row r="84" spans="1:24" x14ac:dyDescent="0.25">
      <c r="A84" t="s">
        <v>834</v>
      </c>
      <c r="B84">
        <v>18.049999999988358</v>
      </c>
      <c r="C84">
        <v>23.133333333302289</v>
      </c>
      <c r="D84">
        <v>24.183333333407063</v>
      </c>
      <c r="E84">
        <v>48.600000000034925</v>
      </c>
      <c r="F84">
        <v>72.933333333407063</v>
      </c>
      <c r="G84">
        <v>96.28333333338378</v>
      </c>
      <c r="H84">
        <v>120.04999999998836</v>
      </c>
      <c r="I84">
        <v>149.75000000005821</v>
      </c>
    </row>
    <row r="85" spans="1:24" x14ac:dyDescent="0.25">
      <c r="A85" t="s">
        <v>835</v>
      </c>
      <c r="B85">
        <v>20.349999999976717</v>
      </c>
      <c r="C85">
        <v>21.533333333325572</v>
      </c>
      <c r="D85">
        <v>24.28333333338378</v>
      </c>
      <c r="E85">
        <v>48.516666666604578</v>
      </c>
      <c r="F85">
        <v>72.133333333418705</v>
      </c>
      <c r="G85">
        <v>96.666666666744277</v>
      </c>
      <c r="H85">
        <v>114.86666666669771</v>
      </c>
      <c r="I85">
        <v>120.28333333338378</v>
      </c>
      <c r="J85">
        <v>144.41666666662786</v>
      </c>
      <c r="K85">
        <v>168.29999999993015</v>
      </c>
      <c r="L85">
        <v>192.51666666660458</v>
      </c>
      <c r="M85">
        <v>922.06666666665114</v>
      </c>
      <c r="N85">
        <v>925.1333333333605</v>
      </c>
    </row>
    <row r="86" spans="1:24" x14ac:dyDescent="0.25">
      <c r="A86" t="s">
        <v>836</v>
      </c>
      <c r="B86">
        <v>21.400000000081491</v>
      </c>
      <c r="C86">
        <v>24.999999999941792</v>
      </c>
      <c r="D86">
        <v>41.683333333348855</v>
      </c>
      <c r="E86">
        <v>54.166666666686069</v>
      </c>
      <c r="F86">
        <v>72.049999999988358</v>
      </c>
      <c r="G86">
        <v>101.96666666673264</v>
      </c>
      <c r="H86">
        <v>125.81666666659294</v>
      </c>
      <c r="I86">
        <v>168.06666666670935</v>
      </c>
      <c r="J86">
        <v>192.04999999998836</v>
      </c>
      <c r="K86">
        <v>210.89999999996508</v>
      </c>
      <c r="L86">
        <v>226.6333333334187</v>
      </c>
    </row>
    <row r="87" spans="1:24" x14ac:dyDescent="0.25">
      <c r="A87" t="s">
        <v>837</v>
      </c>
      <c r="B87">
        <v>2.5166666666627862</v>
      </c>
      <c r="C87">
        <v>2.53333333338378</v>
      </c>
      <c r="D87">
        <v>16.233333333337214</v>
      </c>
      <c r="E87">
        <v>24.199999999953434</v>
      </c>
      <c r="F87">
        <v>48.333333333372138</v>
      </c>
      <c r="G87">
        <v>72.083333333255723</v>
      </c>
      <c r="H87">
        <v>96.033333333267365</v>
      </c>
      <c r="I87">
        <v>120.09999999997672</v>
      </c>
      <c r="J87">
        <v>140.6166666666395</v>
      </c>
      <c r="K87">
        <v>144.48333333333721</v>
      </c>
      <c r="L87">
        <v>176.8666666665813</v>
      </c>
    </row>
    <row r="88" spans="1:24" x14ac:dyDescent="0.25">
      <c r="A88" t="s">
        <v>838</v>
      </c>
      <c r="B88">
        <v>14.349999999976717</v>
      </c>
      <c r="C88">
        <v>19.483333333279006</v>
      </c>
      <c r="D88">
        <v>24.299999999930151</v>
      </c>
      <c r="E88">
        <v>49.016666666662786</v>
      </c>
      <c r="F88">
        <v>72.349999999918509</v>
      </c>
      <c r="G88">
        <v>101.59999999991851</v>
      </c>
      <c r="H88">
        <v>120.03333333326736</v>
      </c>
      <c r="I88">
        <v>144.04999999998836</v>
      </c>
      <c r="J88">
        <v>168.03333333326736</v>
      </c>
    </row>
    <row r="89" spans="1:24" x14ac:dyDescent="0.25">
      <c r="A89" t="s">
        <v>839</v>
      </c>
      <c r="B89">
        <v>19.066666666651145</v>
      </c>
      <c r="C89">
        <v>23.683333333348855</v>
      </c>
      <c r="D89">
        <v>24.216666666674428</v>
      </c>
      <c r="E89">
        <v>48.400000000081491</v>
      </c>
      <c r="F89">
        <v>72.033333333267365</v>
      </c>
      <c r="G89">
        <v>96.166666666686069</v>
      </c>
      <c r="H89">
        <v>120.11666666669771</v>
      </c>
      <c r="I89">
        <v>149.95000000001164</v>
      </c>
      <c r="J89">
        <v>168.04999999998836</v>
      </c>
      <c r="K89">
        <v>192.06666666670935</v>
      </c>
      <c r="L89">
        <v>210.45000000006985</v>
      </c>
      <c r="M89">
        <v>216.19999999995343</v>
      </c>
    </row>
    <row r="90" spans="1:24" x14ac:dyDescent="0.25">
      <c r="A90" t="s">
        <v>840</v>
      </c>
      <c r="B90">
        <v>21.899999999965075</v>
      </c>
      <c r="C90">
        <v>24.500000000058208</v>
      </c>
      <c r="D90">
        <v>41.71666666661622</v>
      </c>
      <c r="E90">
        <v>48.266666666662786</v>
      </c>
      <c r="F90">
        <v>72.600000000034925</v>
      </c>
      <c r="G90">
        <v>96.533333333325572</v>
      </c>
      <c r="H90">
        <v>120.3833333333605</v>
      </c>
      <c r="I90">
        <v>138.23333333339542</v>
      </c>
      <c r="J90">
        <v>144.48333333333721</v>
      </c>
      <c r="K90">
        <v>168.09999999997672</v>
      </c>
    </row>
    <row r="91" spans="1:24" x14ac:dyDescent="0.25">
      <c r="A91" t="s">
        <v>841</v>
      </c>
      <c r="B91">
        <v>8.5499999999301508</v>
      </c>
      <c r="C91">
        <v>14.183333333290648</v>
      </c>
      <c r="D91">
        <v>24.400000000081491</v>
      </c>
      <c r="E91">
        <v>48.400000000081491</v>
      </c>
      <c r="F91">
        <v>72.216666666674428</v>
      </c>
      <c r="G91">
        <v>96.28333333338378</v>
      </c>
      <c r="H91">
        <v>125.80000000004657</v>
      </c>
      <c r="I91">
        <v>144.03333333326736</v>
      </c>
      <c r="J91">
        <v>168.04999999998836</v>
      </c>
      <c r="K91">
        <v>198.08333333325572</v>
      </c>
      <c r="L91">
        <v>221.70000000006985</v>
      </c>
      <c r="M91">
        <v>245.83333333331393</v>
      </c>
      <c r="N91">
        <v>264.03333333326736</v>
      </c>
      <c r="O91">
        <v>288.06666666670935</v>
      </c>
      <c r="P91">
        <v>341.8666666665813</v>
      </c>
      <c r="Q91">
        <v>365.76666666660458</v>
      </c>
      <c r="R91">
        <v>384.08333333325572</v>
      </c>
    </row>
    <row r="92" spans="1:24" x14ac:dyDescent="0.25">
      <c r="A92" t="s">
        <v>842</v>
      </c>
      <c r="B92">
        <v>12.716666666732635</v>
      </c>
      <c r="C92">
        <v>14.516666666662786</v>
      </c>
      <c r="D92">
        <v>24.933333333407063</v>
      </c>
      <c r="E92">
        <v>48.233333333395422</v>
      </c>
      <c r="F92">
        <v>72.400000000081491</v>
      </c>
      <c r="G92">
        <v>96</v>
      </c>
      <c r="H92">
        <v>120.03333333326736</v>
      </c>
      <c r="I92">
        <v>149.8666666665813</v>
      </c>
    </row>
    <row r="93" spans="1:24" x14ac:dyDescent="0.25">
      <c r="A93" t="s">
        <v>843</v>
      </c>
      <c r="B93">
        <v>17.050000000046566</v>
      </c>
      <c r="C93">
        <v>21.683333333290648</v>
      </c>
      <c r="D93">
        <v>24.416666666627862</v>
      </c>
      <c r="E93">
        <v>24.433333333348855</v>
      </c>
      <c r="F93">
        <v>48.566666666592937</v>
      </c>
      <c r="G93">
        <v>72.500000000058208</v>
      </c>
      <c r="H93">
        <v>96.816666666709352</v>
      </c>
      <c r="I93">
        <v>120.16666666668607</v>
      </c>
      <c r="J93">
        <v>144.16666666668607</v>
      </c>
      <c r="K93">
        <v>168.76666666672099</v>
      </c>
      <c r="L93">
        <v>200.3833333334187</v>
      </c>
      <c r="M93">
        <v>216.01666666672099</v>
      </c>
      <c r="N93">
        <v>240.04999999998836</v>
      </c>
      <c r="O93">
        <v>264.21666666667443</v>
      </c>
      <c r="P93">
        <v>288.1333333334187</v>
      </c>
      <c r="Q93">
        <v>312.11666666669771</v>
      </c>
      <c r="R93">
        <v>336.08333333325572</v>
      </c>
      <c r="S93">
        <v>360.04999999998836</v>
      </c>
      <c r="T93">
        <v>389.75000000005821</v>
      </c>
      <c r="U93">
        <v>408.08333333325572</v>
      </c>
      <c r="V93">
        <v>432.09999999997672</v>
      </c>
      <c r="W93">
        <v>462.08333333325572</v>
      </c>
      <c r="X93">
        <v>486.01666666672099</v>
      </c>
    </row>
    <row r="94" spans="1:24" x14ac:dyDescent="0.25">
      <c r="A94" t="s">
        <v>844</v>
      </c>
      <c r="B94">
        <v>15.700000000011642</v>
      </c>
      <c r="C94">
        <v>22.816666666651145</v>
      </c>
      <c r="D94">
        <v>24.866666666697711</v>
      </c>
      <c r="E94">
        <v>48.600000000034925</v>
      </c>
      <c r="F94">
        <v>72.28333333338378</v>
      </c>
      <c r="G94">
        <v>96.650000000023283</v>
      </c>
      <c r="H94">
        <v>120.01666666672099</v>
      </c>
      <c r="I94">
        <v>144.03333333326736</v>
      </c>
      <c r="J94">
        <v>160.71666666667443</v>
      </c>
      <c r="K94">
        <v>173.6166666666395</v>
      </c>
    </row>
    <row r="95" spans="1:24" x14ac:dyDescent="0.25">
      <c r="A95" t="s">
        <v>845</v>
      </c>
      <c r="B95">
        <v>23.050000000046566</v>
      </c>
      <c r="C95">
        <v>24.299999999930151</v>
      </c>
      <c r="D95">
        <v>48.450000000069849</v>
      </c>
      <c r="E95">
        <v>72.433333333348855</v>
      </c>
      <c r="F95">
        <v>96.133333333418705</v>
      </c>
      <c r="G95">
        <v>120.16666666668607</v>
      </c>
      <c r="H95">
        <v>144.56666666659294</v>
      </c>
      <c r="I95">
        <v>168.08333333325572</v>
      </c>
      <c r="J95">
        <v>192.06666666670935</v>
      </c>
    </row>
    <row r="96" spans="1:24" x14ac:dyDescent="0.25">
      <c r="A96" t="s">
        <v>846</v>
      </c>
      <c r="B96">
        <v>22.983333333337214</v>
      </c>
      <c r="C96">
        <v>24.566666666592937</v>
      </c>
      <c r="D96">
        <v>25.5</v>
      </c>
      <c r="E96">
        <v>41.966666666732635</v>
      </c>
      <c r="F96">
        <v>48.083333333255723</v>
      </c>
      <c r="G96">
        <v>72.349999999918509</v>
      </c>
      <c r="H96">
        <v>96.299999999930151</v>
      </c>
      <c r="I96">
        <v>120.06666666670935</v>
      </c>
      <c r="J96">
        <v>144.24999999994179</v>
      </c>
      <c r="K96">
        <v>168.01666666672099</v>
      </c>
    </row>
    <row r="97" spans="1:19" x14ac:dyDescent="0.25">
      <c r="A97" t="s">
        <v>847</v>
      </c>
      <c r="B97">
        <v>16.03333333338378</v>
      </c>
      <c r="C97">
        <v>21.75</v>
      </c>
      <c r="D97">
        <v>24.083333333255723</v>
      </c>
      <c r="E97">
        <v>48.216666666674428</v>
      </c>
      <c r="F97">
        <v>72.433333333348855</v>
      </c>
      <c r="G97">
        <v>96.166666666686069</v>
      </c>
      <c r="H97">
        <v>120.1333333334187</v>
      </c>
    </row>
    <row r="98" spans="1:19" x14ac:dyDescent="0.25">
      <c r="A98" t="s">
        <v>848</v>
      </c>
      <c r="B98">
        <v>11.700000000069849</v>
      </c>
      <c r="C98">
        <v>17.483333333395422</v>
      </c>
      <c r="D98">
        <v>24.116666666697711</v>
      </c>
      <c r="E98">
        <v>48.28333333338378</v>
      </c>
      <c r="F98">
        <v>72.28333333338378</v>
      </c>
      <c r="G98">
        <v>96.266666666662786</v>
      </c>
      <c r="H98">
        <v>131.71666666661622</v>
      </c>
      <c r="I98">
        <v>144.3833333333605</v>
      </c>
      <c r="J98">
        <v>168.08333333325572</v>
      </c>
    </row>
    <row r="99" spans="1:19" x14ac:dyDescent="0.25">
      <c r="A99" t="s">
        <v>849</v>
      </c>
      <c r="B99">
        <v>1.0166666666627862</v>
      </c>
      <c r="C99">
        <v>1.3500000000349246</v>
      </c>
      <c r="D99">
        <v>15.666666666744277</v>
      </c>
      <c r="E99">
        <v>26.483333333395422</v>
      </c>
      <c r="F99">
        <v>48.483333333337214</v>
      </c>
      <c r="G99">
        <v>72.516666666604578</v>
      </c>
      <c r="H99">
        <v>96.066666666709352</v>
      </c>
      <c r="I99">
        <v>120.33333333337214</v>
      </c>
      <c r="J99">
        <v>144.06666666670935</v>
      </c>
      <c r="K99">
        <v>168.08333333325572</v>
      </c>
      <c r="L99">
        <v>192.08333333325572</v>
      </c>
      <c r="M99">
        <v>216.06666666670935</v>
      </c>
      <c r="N99">
        <v>245.78333333332557</v>
      </c>
      <c r="O99">
        <v>264.04999999998836</v>
      </c>
      <c r="P99">
        <v>288.06666666670935</v>
      </c>
      <c r="Q99">
        <v>313.08333333337214</v>
      </c>
      <c r="R99">
        <v>336.1333333334187</v>
      </c>
      <c r="S99">
        <v>360.21666666667443</v>
      </c>
    </row>
    <row r="100" spans="1:19" x14ac:dyDescent="0.25">
      <c r="A100" t="s">
        <v>850</v>
      </c>
      <c r="B100">
        <v>16.383333333302289</v>
      </c>
      <c r="C100">
        <v>21.533333333325572</v>
      </c>
      <c r="D100">
        <v>24.166666666686069</v>
      </c>
      <c r="E100">
        <v>48.46666666661622</v>
      </c>
      <c r="F100">
        <v>72.483333333337214</v>
      </c>
      <c r="G100">
        <v>96.099999999976717</v>
      </c>
      <c r="H100">
        <v>144.04999999998836</v>
      </c>
      <c r="I100">
        <v>168.06666666670935</v>
      </c>
      <c r="J100">
        <v>192.11666666669771</v>
      </c>
    </row>
    <row r="101" spans="1:19" x14ac:dyDescent="0.25">
      <c r="A101" t="s">
        <v>851</v>
      </c>
      <c r="B101">
        <v>21.049999999988358</v>
      </c>
      <c r="C101">
        <v>24.033333333267365</v>
      </c>
      <c r="D101">
        <v>24.116666666697711</v>
      </c>
      <c r="E101">
        <v>40.666666666686069</v>
      </c>
      <c r="F101">
        <v>48.033333333267365</v>
      </c>
      <c r="G101">
        <v>72.249999999941792</v>
      </c>
      <c r="H101">
        <v>96.700000000011642</v>
      </c>
      <c r="I101">
        <v>111.79999999998836</v>
      </c>
      <c r="J101">
        <v>120.16666666668607</v>
      </c>
      <c r="K101">
        <v>144.08333333325572</v>
      </c>
      <c r="L101">
        <v>168.48333333333721</v>
      </c>
    </row>
    <row r="102" spans="1:19" x14ac:dyDescent="0.25">
      <c r="A102" t="s">
        <v>852</v>
      </c>
      <c r="B102">
        <v>11.200000000011642</v>
      </c>
      <c r="C102">
        <v>17.433333333407063</v>
      </c>
      <c r="D102">
        <v>24.133333333418705</v>
      </c>
      <c r="E102">
        <v>48.149999999965075</v>
      </c>
      <c r="F102">
        <v>72.083333333255723</v>
      </c>
      <c r="G102">
        <v>96.116666666697711</v>
      </c>
      <c r="H102">
        <v>120.34999999991851</v>
      </c>
      <c r="I102">
        <v>144.45000000006985</v>
      </c>
      <c r="J102">
        <v>168.26666666666279</v>
      </c>
      <c r="K102">
        <v>190.03333333338378</v>
      </c>
      <c r="L102">
        <v>192.23333333339542</v>
      </c>
      <c r="M102">
        <v>246.19999999995343</v>
      </c>
    </row>
    <row r="103" spans="1:19" x14ac:dyDescent="0.25">
      <c r="A103" t="s">
        <v>853</v>
      </c>
      <c r="B103">
        <v>20.349999999976717</v>
      </c>
      <c r="C103">
        <v>23.166666666744277</v>
      </c>
      <c r="D103">
        <v>24.116666666697711</v>
      </c>
      <c r="E103">
        <v>48.299999999930151</v>
      </c>
      <c r="F103">
        <v>72.349999999918509</v>
      </c>
      <c r="G103">
        <v>96.233333333395422</v>
      </c>
      <c r="H103">
        <v>120.09999999997672</v>
      </c>
      <c r="I103">
        <v>144.08333333325572</v>
      </c>
    </row>
    <row r="104" spans="1:19" x14ac:dyDescent="0.25">
      <c r="A104" t="s">
        <v>854</v>
      </c>
      <c r="B104">
        <v>14.750000000058208</v>
      </c>
      <c r="C104">
        <v>19.016666666662786</v>
      </c>
      <c r="D104">
        <v>24.299999999930151</v>
      </c>
      <c r="E104">
        <v>48.450000000069849</v>
      </c>
      <c r="F104">
        <v>65.333333333255723</v>
      </c>
      <c r="G104">
        <v>72.433333333348855</v>
      </c>
      <c r="H104">
        <v>96.133333333418705</v>
      </c>
      <c r="I104">
        <v>120.31666666665114</v>
      </c>
    </row>
    <row r="105" spans="1:19" x14ac:dyDescent="0.25">
      <c r="A105" t="s">
        <v>855</v>
      </c>
      <c r="B105">
        <v>18.683333333290648</v>
      </c>
      <c r="C105">
        <v>23.066666666592937</v>
      </c>
      <c r="D105">
        <v>24.299999999930151</v>
      </c>
      <c r="E105">
        <v>48.450000000069849</v>
      </c>
      <c r="F105">
        <v>72.433333333348855</v>
      </c>
      <c r="G105">
        <v>96.133333333418705</v>
      </c>
      <c r="H105">
        <v>120.16666666668607</v>
      </c>
      <c r="I105">
        <v>144.01666666672099</v>
      </c>
    </row>
    <row r="106" spans="1:19" x14ac:dyDescent="0.25">
      <c r="A106" t="s">
        <v>856</v>
      </c>
      <c r="B106">
        <v>11.916666666744277</v>
      </c>
      <c r="C106">
        <v>21.233333333395422</v>
      </c>
      <c r="D106">
        <v>24.349999999918509</v>
      </c>
      <c r="E106">
        <v>48.333333333372138</v>
      </c>
      <c r="F106">
        <v>72.249999999941792</v>
      </c>
      <c r="G106">
        <v>96.716666666732635</v>
      </c>
      <c r="H106">
        <v>125.70000000006985</v>
      </c>
      <c r="I106">
        <v>144.01666666672099</v>
      </c>
    </row>
    <row r="107" spans="1:19" x14ac:dyDescent="0.25">
      <c r="A107" t="s">
        <v>857</v>
      </c>
      <c r="B107">
        <v>14.416666666686069</v>
      </c>
      <c r="C107">
        <v>23.549999999930151</v>
      </c>
      <c r="D107">
        <v>24.450000000069849</v>
      </c>
      <c r="E107">
        <v>48.916666666686069</v>
      </c>
      <c r="F107">
        <v>72.416666666627862</v>
      </c>
      <c r="G107">
        <v>96.216666666674428</v>
      </c>
      <c r="H107">
        <v>120.18333333340706</v>
      </c>
      <c r="I107">
        <v>144.51666666660458</v>
      </c>
      <c r="J107">
        <v>174.06666666670935</v>
      </c>
      <c r="K107">
        <v>197.76666666660458</v>
      </c>
      <c r="L107">
        <v>221.6333333333605</v>
      </c>
      <c r="M107">
        <v>240.06666666670935</v>
      </c>
    </row>
    <row r="108" spans="1:19" x14ac:dyDescent="0.25">
      <c r="A108" t="s">
        <v>858</v>
      </c>
      <c r="B108">
        <v>13.916666666627862</v>
      </c>
      <c r="C108">
        <v>18</v>
      </c>
      <c r="D108">
        <v>24.349999999918509</v>
      </c>
      <c r="E108">
        <v>48.550000000046566</v>
      </c>
      <c r="F108">
        <v>77.750000000058208</v>
      </c>
      <c r="G108">
        <v>101.70000000006985</v>
      </c>
      <c r="H108">
        <v>120.21666666667443</v>
      </c>
    </row>
    <row r="109" spans="1:19" x14ac:dyDescent="0.25">
      <c r="A109" t="s">
        <v>859</v>
      </c>
      <c r="B109">
        <v>17.066666666592937</v>
      </c>
      <c r="C109">
        <v>22.533333333267365</v>
      </c>
      <c r="D109">
        <v>24.316666666651145</v>
      </c>
      <c r="E109">
        <v>48.183333333407063</v>
      </c>
      <c r="F109">
        <v>72.199999999953434</v>
      </c>
      <c r="G109">
        <v>96.083333333255723</v>
      </c>
      <c r="H109">
        <v>120.08333333325572</v>
      </c>
      <c r="I109">
        <v>149.54999999993015</v>
      </c>
      <c r="J109">
        <v>168.08333333325572</v>
      </c>
      <c r="K109">
        <v>192.19999999995343</v>
      </c>
    </row>
    <row r="110" spans="1:19" x14ac:dyDescent="0.25">
      <c r="A110" t="s">
        <v>860</v>
      </c>
      <c r="B110">
        <v>20.116666666581295</v>
      </c>
      <c r="C110">
        <v>21.899999999965075</v>
      </c>
      <c r="D110">
        <v>24.28333333338378</v>
      </c>
      <c r="E110">
        <v>48.400000000081491</v>
      </c>
      <c r="F110">
        <v>72.533333333325572</v>
      </c>
      <c r="G110">
        <v>96.46666666661622</v>
      </c>
      <c r="H110">
        <v>120.04999999998836</v>
      </c>
      <c r="I110">
        <v>144.01666666672099</v>
      </c>
      <c r="J110">
        <v>168.14999999996508</v>
      </c>
    </row>
    <row r="111" spans="1:19" x14ac:dyDescent="0.25">
      <c r="A111" t="s">
        <v>861</v>
      </c>
      <c r="B111">
        <v>17.549999999930151</v>
      </c>
      <c r="C111">
        <v>22.016666666662786</v>
      </c>
      <c r="D111">
        <v>24.333333333372138</v>
      </c>
      <c r="E111">
        <v>48.366666666639503</v>
      </c>
      <c r="F111">
        <v>72.199999999953434</v>
      </c>
      <c r="G111">
        <v>96.450000000069849</v>
      </c>
      <c r="H111">
        <v>120.56666666659294</v>
      </c>
      <c r="I111">
        <v>144.06666666670935</v>
      </c>
      <c r="J111">
        <v>168.18333333340706</v>
      </c>
      <c r="K111">
        <v>197.65000000008149</v>
      </c>
      <c r="L111">
        <v>216.03333333326736</v>
      </c>
      <c r="M111">
        <v>240.03333333326736</v>
      </c>
      <c r="N111">
        <v>264.06666666670935</v>
      </c>
      <c r="O111">
        <v>288.11666666669771</v>
      </c>
      <c r="P111">
        <v>318</v>
      </c>
      <c r="Q111">
        <v>336.04999999998836</v>
      </c>
      <c r="R111">
        <v>351.65000000002328</v>
      </c>
      <c r="S111">
        <v>360.09999999997672</v>
      </c>
    </row>
    <row r="112" spans="1:19" x14ac:dyDescent="0.25">
      <c r="A112" t="s">
        <v>1578</v>
      </c>
      <c r="B112">
        <v>6</v>
      </c>
      <c r="C112">
        <v>10.466666666558012</v>
      </c>
      <c r="D112">
        <v>18.93333333323244</v>
      </c>
      <c r="E112">
        <v>43.466666666558012</v>
      </c>
      <c r="F112">
        <v>67.416666666569654</v>
      </c>
      <c r="G112">
        <v>92.583333333197515</v>
      </c>
      <c r="H112">
        <v>116.20000000001164</v>
      </c>
      <c r="I112">
        <v>164.0999999998603</v>
      </c>
    </row>
    <row r="113" spans="1:15" x14ac:dyDescent="0.25">
      <c r="A113" t="s">
        <v>1579</v>
      </c>
      <c r="B113">
        <v>5.066666666592937</v>
      </c>
      <c r="C113">
        <v>10.316666666592937</v>
      </c>
      <c r="D113">
        <v>22.833333333197515</v>
      </c>
      <c r="E113">
        <v>48.116666666523088</v>
      </c>
      <c r="F113">
        <v>72.083333333255723</v>
      </c>
      <c r="G113">
        <v>97.266666666604578</v>
      </c>
      <c r="H113">
        <v>120.76666666654637</v>
      </c>
      <c r="I113">
        <v>144.65000000002328</v>
      </c>
      <c r="J113">
        <v>168.70000000001164</v>
      </c>
    </row>
    <row r="114" spans="1:15" x14ac:dyDescent="0.25">
      <c r="A114" t="s">
        <v>1580</v>
      </c>
      <c r="B114">
        <v>0.84999999997671694</v>
      </c>
      <c r="C114">
        <v>3.8499999999767169</v>
      </c>
      <c r="D114">
        <v>11.083333333313931</v>
      </c>
      <c r="E114">
        <v>35.133333333302289</v>
      </c>
      <c r="F114">
        <v>58.5</v>
      </c>
      <c r="G114">
        <v>81.983333333395422</v>
      </c>
      <c r="H114">
        <v>106.31666666659294</v>
      </c>
    </row>
    <row r="115" spans="1:15" x14ac:dyDescent="0.25">
      <c r="A115" t="s">
        <v>1581</v>
      </c>
      <c r="B115">
        <v>5.1500000000232831</v>
      </c>
      <c r="C115">
        <v>12.366666666639503</v>
      </c>
      <c r="D115">
        <v>19.466666666558012</v>
      </c>
      <c r="E115">
        <v>44.733333333337214</v>
      </c>
      <c r="F115">
        <v>68.25</v>
      </c>
    </row>
    <row r="116" spans="1:15" x14ac:dyDescent="0.25">
      <c r="A116" t="s">
        <v>1582</v>
      </c>
      <c r="B116">
        <v>5.1833333334652707</v>
      </c>
      <c r="C116">
        <v>9.4500000000698492</v>
      </c>
      <c r="D116">
        <v>29.566666666651145</v>
      </c>
      <c r="E116">
        <v>54.966666666674428</v>
      </c>
      <c r="F116">
        <v>78.650000000023283</v>
      </c>
      <c r="G116">
        <v>102.46666666679084</v>
      </c>
      <c r="H116">
        <v>126.5166666667792</v>
      </c>
    </row>
    <row r="117" spans="1:15" x14ac:dyDescent="0.25">
      <c r="A117" t="s">
        <v>1583</v>
      </c>
      <c r="B117">
        <v>4.3833333333022892</v>
      </c>
      <c r="C117">
        <v>12.083333333255723</v>
      </c>
      <c r="D117">
        <v>14.116666666581295</v>
      </c>
      <c r="E117">
        <v>38.266666666546371</v>
      </c>
      <c r="F117">
        <v>61.833333333197515</v>
      </c>
      <c r="G117">
        <v>86.033333333325572</v>
      </c>
      <c r="H117">
        <v>110.36666666652309</v>
      </c>
    </row>
    <row r="118" spans="1:15" x14ac:dyDescent="0.25">
      <c r="A118" t="s">
        <v>1584</v>
      </c>
      <c r="B118">
        <v>8.71666666661622</v>
      </c>
      <c r="C118">
        <v>26.033333333325572</v>
      </c>
      <c r="D118">
        <v>50.833333333313931</v>
      </c>
    </row>
    <row r="119" spans="1:15" x14ac:dyDescent="0.25">
      <c r="A119" t="s">
        <v>1585</v>
      </c>
      <c r="B119">
        <v>32.383333333418705</v>
      </c>
      <c r="C119">
        <v>43.03333333338378</v>
      </c>
      <c r="D119">
        <v>67.833333333372138</v>
      </c>
      <c r="E119">
        <v>75.450000000069849</v>
      </c>
      <c r="F119">
        <v>90.650000000023283</v>
      </c>
      <c r="G119">
        <v>115.53333333326736</v>
      </c>
    </row>
    <row r="120" spans="1:15" x14ac:dyDescent="0.25">
      <c r="A120" t="s">
        <v>1586</v>
      </c>
      <c r="B120">
        <v>4.9333333333488554</v>
      </c>
      <c r="C120">
        <v>8.7833333333255723</v>
      </c>
      <c r="D120">
        <v>18.983333333395422</v>
      </c>
      <c r="E120">
        <v>43.466666666732635</v>
      </c>
      <c r="F120">
        <v>67.416666666744277</v>
      </c>
      <c r="G120">
        <v>90.566666666592937</v>
      </c>
    </row>
    <row r="121" spans="1:15" x14ac:dyDescent="0.25">
      <c r="A121" t="s">
        <v>1587</v>
      </c>
      <c r="B121">
        <v>7.3666666667559184</v>
      </c>
      <c r="C121">
        <v>15.75</v>
      </c>
      <c r="D121">
        <v>25.533333333441988</v>
      </c>
      <c r="E121">
        <v>43.283333333325572</v>
      </c>
      <c r="F121">
        <v>66.416666666802485</v>
      </c>
      <c r="G121">
        <v>89.566666666651145</v>
      </c>
      <c r="H121">
        <v>114.93333333340706</v>
      </c>
      <c r="I121">
        <v>162.61666666675592</v>
      </c>
    </row>
    <row r="122" spans="1:15" x14ac:dyDescent="0.25">
      <c r="A122" t="s">
        <v>1588</v>
      </c>
      <c r="B122">
        <v>23.800000000046566</v>
      </c>
      <c r="C122">
        <v>23.766666666779201</v>
      </c>
      <c r="D122">
        <v>29.216666666732635</v>
      </c>
      <c r="E122">
        <v>42.466666666790843</v>
      </c>
      <c r="F122">
        <v>66.416666666802485</v>
      </c>
      <c r="G122">
        <v>89.06666666676756</v>
      </c>
      <c r="H122">
        <v>114.3666666666395</v>
      </c>
      <c r="I122">
        <v>138.73333333345363</v>
      </c>
      <c r="J122">
        <v>138.73333333345363</v>
      </c>
    </row>
    <row r="123" spans="1:15" x14ac:dyDescent="0.25">
      <c r="A123" t="s">
        <v>1589</v>
      </c>
      <c r="B123">
        <v>13.549999999988358</v>
      </c>
      <c r="C123">
        <v>18.550000000046566</v>
      </c>
      <c r="D123">
        <v>27.716666666732635</v>
      </c>
      <c r="E123">
        <v>38.499999999941792</v>
      </c>
      <c r="F123">
        <v>51.299999999930151</v>
      </c>
      <c r="G123">
        <v>75.316666666651145</v>
      </c>
      <c r="H123">
        <v>100.8833333333605</v>
      </c>
      <c r="I123">
        <v>123.94999999995343</v>
      </c>
      <c r="J123">
        <v>148.1166666666395</v>
      </c>
      <c r="K123">
        <v>171.63333333330229</v>
      </c>
    </row>
    <row r="124" spans="1:15" x14ac:dyDescent="0.25">
      <c r="A124" t="s">
        <v>1590</v>
      </c>
      <c r="B124">
        <v>17.933333333290648</v>
      </c>
      <c r="C124">
        <v>30.550000000046566</v>
      </c>
      <c r="D124">
        <v>38.783333333325572</v>
      </c>
      <c r="E124">
        <v>63.299999999930151</v>
      </c>
      <c r="F124">
        <v>72.249999999941792</v>
      </c>
      <c r="G124">
        <v>87.550000000046566</v>
      </c>
      <c r="H124">
        <v>136.25000000005821</v>
      </c>
    </row>
    <row r="125" spans="1:15" x14ac:dyDescent="0.25">
      <c r="A125" t="s">
        <v>1591</v>
      </c>
      <c r="B125">
        <v>11.666666666802485</v>
      </c>
      <c r="C125">
        <v>12.150000000139698</v>
      </c>
      <c r="D125">
        <v>19.350000000034925</v>
      </c>
      <c r="E125">
        <v>32.516666666662786</v>
      </c>
      <c r="F125">
        <v>56.550000000104774</v>
      </c>
      <c r="G125">
        <v>81.183333333407063</v>
      </c>
      <c r="H125">
        <v>104.95000000001164</v>
      </c>
      <c r="I125">
        <v>127.76666666666279</v>
      </c>
      <c r="J125">
        <v>178.28333333332557</v>
      </c>
      <c r="K125">
        <v>200.83333333331393</v>
      </c>
    </row>
    <row r="126" spans="1:15" x14ac:dyDescent="0.25">
      <c r="A126" t="s">
        <v>1592</v>
      </c>
      <c r="B126">
        <v>9</v>
      </c>
      <c r="C126">
        <v>20.416666666686069</v>
      </c>
      <c r="D126">
        <v>32.600000000093132</v>
      </c>
      <c r="E126">
        <v>56.550000000104774</v>
      </c>
      <c r="F126">
        <v>81.883333333418705</v>
      </c>
      <c r="G126">
        <v>105</v>
      </c>
      <c r="H126">
        <v>127.66666666668607</v>
      </c>
      <c r="I126">
        <v>152.51666666666279</v>
      </c>
    </row>
    <row r="127" spans="1:15" x14ac:dyDescent="0.25">
      <c r="A127" t="s">
        <v>1593</v>
      </c>
      <c r="B127">
        <v>17.966666666732635</v>
      </c>
      <c r="C127">
        <v>20.766666666779201</v>
      </c>
      <c r="D127">
        <v>32.700000000069849</v>
      </c>
      <c r="E127">
        <v>57.883333333418705</v>
      </c>
      <c r="F127">
        <v>80.950000000011642</v>
      </c>
      <c r="G127">
        <v>103.85000000009313</v>
      </c>
      <c r="H127">
        <v>128.51666666666279</v>
      </c>
      <c r="I127">
        <v>153.31666666665114</v>
      </c>
      <c r="J127">
        <v>176.05000000004657</v>
      </c>
      <c r="K127">
        <v>190.46666666673264</v>
      </c>
      <c r="L127">
        <v>200.34999999997672</v>
      </c>
      <c r="M127">
        <v>209.15000000002328</v>
      </c>
      <c r="N127">
        <v>248.43333333340706</v>
      </c>
      <c r="O127">
        <v>272.53333333338378</v>
      </c>
    </row>
    <row r="128" spans="1:15" x14ac:dyDescent="0.25">
      <c r="A128" t="s">
        <v>1594</v>
      </c>
      <c r="B128">
        <v>10.833333333372138</v>
      </c>
      <c r="C128">
        <v>14.700000000069849</v>
      </c>
      <c r="D128">
        <v>22.933333333348855</v>
      </c>
      <c r="E128">
        <v>71.033333333325572</v>
      </c>
      <c r="F128">
        <v>94.733333333395422</v>
      </c>
      <c r="G128">
        <v>118.91666666662786</v>
      </c>
      <c r="H128">
        <v>143.91666666674428</v>
      </c>
    </row>
    <row r="129" spans="1:11" x14ac:dyDescent="0.25">
      <c r="A129" t="s">
        <v>1595</v>
      </c>
      <c r="B129">
        <v>38.966666666732635</v>
      </c>
      <c r="C129">
        <v>44.000000000058208</v>
      </c>
      <c r="D129">
        <v>59.850000000034925</v>
      </c>
      <c r="E129">
        <v>81.683333333290648</v>
      </c>
      <c r="F129">
        <v>105.14999999996508</v>
      </c>
      <c r="G129">
        <v>130.41666666674428</v>
      </c>
      <c r="H129">
        <v>139.04999999993015</v>
      </c>
      <c r="I129">
        <v>155.20000000001164</v>
      </c>
      <c r="J129">
        <v>179.25</v>
      </c>
      <c r="K129">
        <v>202.74999999994179</v>
      </c>
    </row>
  </sheetData>
  <conditionalFormatting sqref="B1:X50 B52:X57 B59:X129">
    <cfRule type="expression" dxfId="12" priority="1">
      <formula>B1=MAX($B1:$X1)</formula>
    </cfRule>
  </conditionalFormatting>
  <conditionalFormatting sqref="B51:W51 B58:W58">
    <cfRule type="expression" dxfId="11" priority="8">
      <formula>B51=MAX($B51:$W51)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AB703-D1C4-4ED3-BD6D-239A023A8CBF}">
  <dimension ref="A1:X129"/>
  <sheetViews>
    <sheetView topLeftCell="A91" workbookViewId="0">
      <selection activeCell="B1" sqref="B1:X129"/>
    </sheetView>
  </sheetViews>
  <sheetFormatPr defaultRowHeight="15" x14ac:dyDescent="0.25"/>
  <sheetData>
    <row r="1" spans="1:12" x14ac:dyDescent="0.25">
      <c r="A1" t="s">
        <v>748</v>
      </c>
      <c r="B1">
        <v>1.43</v>
      </c>
      <c r="C1">
        <v>1.0900000000000001</v>
      </c>
      <c r="D1">
        <v>0.98199999999999998</v>
      </c>
      <c r="E1">
        <v>1.22</v>
      </c>
      <c r="F1">
        <v>1.26</v>
      </c>
      <c r="G1">
        <v>0.88600000000000001</v>
      </c>
      <c r="H1">
        <v>0.54100000000000004</v>
      </c>
    </row>
    <row r="2" spans="1:12" x14ac:dyDescent="0.25">
      <c r="A2" t="s">
        <v>749</v>
      </c>
      <c r="B2">
        <v>2.2000000000000002</v>
      </c>
      <c r="C2">
        <v>1.96</v>
      </c>
      <c r="D2">
        <v>1.67</v>
      </c>
      <c r="E2">
        <v>1.46</v>
      </c>
      <c r="F2">
        <v>1.27</v>
      </c>
      <c r="G2">
        <v>1.38</v>
      </c>
    </row>
    <row r="3" spans="1:12" x14ac:dyDescent="0.25">
      <c r="A3" t="s">
        <v>750</v>
      </c>
      <c r="B3">
        <v>17.79</v>
      </c>
      <c r="C3">
        <v>7.41</v>
      </c>
      <c r="D3">
        <v>2.0099999999999998</v>
      </c>
      <c r="E3">
        <v>1.1100000000000001</v>
      </c>
      <c r="F3">
        <v>1.27</v>
      </c>
      <c r="G3">
        <v>1.21</v>
      </c>
      <c r="H3">
        <v>0.94399999999999995</v>
      </c>
      <c r="I3">
        <v>0.59899999999999998</v>
      </c>
    </row>
    <row r="4" spans="1:12" x14ac:dyDescent="0.25">
      <c r="A4" t="s">
        <v>751</v>
      </c>
      <c r="B4">
        <v>0.44</v>
      </c>
      <c r="C4">
        <v>5.71</v>
      </c>
      <c r="D4">
        <v>5</v>
      </c>
      <c r="E4">
        <v>4.2</v>
      </c>
      <c r="F4">
        <v>3.6</v>
      </c>
      <c r="G4">
        <v>3.94</v>
      </c>
      <c r="H4">
        <v>4.04</v>
      </c>
      <c r="I4">
        <v>4.33</v>
      </c>
      <c r="J4">
        <v>4.08</v>
      </c>
      <c r="K4">
        <v>2.84</v>
      </c>
    </row>
    <row r="5" spans="1:12" x14ac:dyDescent="0.25">
      <c r="A5" t="s">
        <v>752</v>
      </c>
      <c r="B5">
        <v>0.70699999999999996</v>
      </c>
      <c r="C5">
        <v>1.19</v>
      </c>
      <c r="D5">
        <v>0.67300000000000004</v>
      </c>
      <c r="E5">
        <v>0.34200000000000003</v>
      </c>
      <c r="F5">
        <v>0.28000000000000003</v>
      </c>
      <c r="G5">
        <v>0.188</v>
      </c>
      <c r="H5">
        <v>0.193</v>
      </c>
      <c r="I5">
        <v>0.183</v>
      </c>
    </row>
    <row r="6" spans="1:12" x14ac:dyDescent="0.25">
      <c r="A6" t="s">
        <v>753</v>
      </c>
      <c r="B6">
        <v>1.83</v>
      </c>
      <c r="C6">
        <v>1.64</v>
      </c>
      <c r="D6">
        <v>1.42</v>
      </c>
      <c r="E6">
        <v>1.02</v>
      </c>
      <c r="F6">
        <v>1.1200000000000001</v>
      </c>
      <c r="G6">
        <v>1.03</v>
      </c>
      <c r="H6">
        <v>0.94799999999999995</v>
      </c>
      <c r="I6">
        <v>0.66100000000000003</v>
      </c>
    </row>
    <row r="7" spans="1:12" x14ac:dyDescent="0.25">
      <c r="A7" t="s">
        <v>754</v>
      </c>
      <c r="B7">
        <v>3.01</v>
      </c>
      <c r="C7">
        <v>6.3</v>
      </c>
      <c r="D7">
        <v>5.6</v>
      </c>
      <c r="E7">
        <v>2.72</v>
      </c>
      <c r="F7">
        <v>2.4</v>
      </c>
      <c r="G7">
        <v>2.63</v>
      </c>
      <c r="H7">
        <v>2.19</v>
      </c>
      <c r="I7">
        <v>2.4900000000000002</v>
      </c>
      <c r="J7">
        <v>2.0099999999999998</v>
      </c>
      <c r="K7">
        <v>1.41</v>
      </c>
    </row>
    <row r="8" spans="1:12" x14ac:dyDescent="0.25">
      <c r="A8" t="s">
        <v>755</v>
      </c>
      <c r="B8">
        <v>0.30299999999999999</v>
      </c>
      <c r="C8">
        <v>0.626</v>
      </c>
      <c r="D8">
        <v>0.56799999999999995</v>
      </c>
      <c r="E8">
        <v>0.35599999999999998</v>
      </c>
      <c r="F8">
        <v>0.317</v>
      </c>
      <c r="G8">
        <v>0.33600000000000002</v>
      </c>
      <c r="H8">
        <v>0.35899999999999999</v>
      </c>
      <c r="I8">
        <v>0.216</v>
      </c>
    </row>
    <row r="9" spans="1:12" x14ac:dyDescent="0.25">
      <c r="A9" t="s">
        <v>756</v>
      </c>
      <c r="B9">
        <v>5.9</v>
      </c>
      <c r="C9">
        <v>4.22</v>
      </c>
      <c r="D9">
        <v>4.13</v>
      </c>
      <c r="E9">
        <v>3.33</v>
      </c>
      <c r="F9">
        <v>2.75</v>
      </c>
      <c r="G9">
        <v>3.06</v>
      </c>
      <c r="H9">
        <v>2.74</v>
      </c>
      <c r="I9">
        <v>1.92</v>
      </c>
    </row>
    <row r="10" spans="1:12" x14ac:dyDescent="0.25">
      <c r="A10" t="s">
        <v>757</v>
      </c>
      <c r="B10">
        <v>6.68</v>
      </c>
      <c r="C10">
        <v>8.64</v>
      </c>
      <c r="D10">
        <v>4</v>
      </c>
      <c r="E10">
        <v>2.85</v>
      </c>
      <c r="F10">
        <v>2.46</v>
      </c>
      <c r="G10">
        <v>2.17</v>
      </c>
      <c r="H10">
        <v>1.5</v>
      </c>
      <c r="I10">
        <v>0.77400000000000002</v>
      </c>
    </row>
    <row r="11" spans="1:12" x14ac:dyDescent="0.25">
      <c r="A11" t="s">
        <v>758</v>
      </c>
      <c r="B11">
        <v>0.48199999999999998</v>
      </c>
      <c r="C11">
        <v>2.52</v>
      </c>
      <c r="D11">
        <v>1.34</v>
      </c>
      <c r="E11">
        <v>0.497</v>
      </c>
      <c r="F11">
        <v>0.67</v>
      </c>
      <c r="G11">
        <v>0.624</v>
      </c>
    </row>
    <row r="12" spans="1:12" x14ac:dyDescent="0.25">
      <c r="A12" t="s">
        <v>759</v>
      </c>
      <c r="B12">
        <v>3.81</v>
      </c>
      <c r="C12">
        <v>17.760000000000002</v>
      </c>
      <c r="D12">
        <v>11.07</v>
      </c>
      <c r="E12">
        <v>6.71</v>
      </c>
      <c r="F12">
        <v>4.97</v>
      </c>
      <c r="G12">
        <v>4.76</v>
      </c>
      <c r="H12">
        <v>4.68</v>
      </c>
      <c r="I12">
        <v>4.72</v>
      </c>
      <c r="J12">
        <v>3.77</v>
      </c>
      <c r="K12">
        <v>2.5</v>
      </c>
    </row>
    <row r="13" spans="1:12" x14ac:dyDescent="0.25">
      <c r="A13" t="s">
        <v>760</v>
      </c>
      <c r="B13">
        <v>10.83</v>
      </c>
      <c r="C13">
        <v>9.1199999999999992</v>
      </c>
      <c r="D13">
        <v>2.82</v>
      </c>
      <c r="E13">
        <v>2.27</v>
      </c>
      <c r="F13">
        <v>2.1800000000000002</v>
      </c>
      <c r="G13">
        <v>2.36</v>
      </c>
      <c r="H13">
        <v>2.5</v>
      </c>
      <c r="I13">
        <v>1.91</v>
      </c>
      <c r="J13">
        <v>1.7</v>
      </c>
      <c r="K13">
        <v>1.21</v>
      </c>
      <c r="L13">
        <v>0.84799999999999998</v>
      </c>
    </row>
    <row r="14" spans="1:12" x14ac:dyDescent="0.25">
      <c r="A14" t="s">
        <v>761</v>
      </c>
      <c r="B14">
        <v>0.37</v>
      </c>
      <c r="C14">
        <v>0.35599999999999998</v>
      </c>
      <c r="D14">
        <v>0.24299999999999999</v>
      </c>
      <c r="E14">
        <v>9.2999999999999999E-2</v>
      </c>
      <c r="F14">
        <v>7.5999999999999998E-2</v>
      </c>
      <c r="G14">
        <v>6.5000000000000002E-2</v>
      </c>
      <c r="H14">
        <v>4.8000000000000001E-2</v>
      </c>
      <c r="I14">
        <v>0.03</v>
      </c>
    </row>
    <row r="15" spans="1:12" x14ac:dyDescent="0.25">
      <c r="A15" t="s">
        <v>762</v>
      </c>
      <c r="B15">
        <v>1.86</v>
      </c>
      <c r="C15">
        <v>4.78</v>
      </c>
      <c r="D15">
        <v>3.06</v>
      </c>
      <c r="E15">
        <v>1.17</v>
      </c>
      <c r="F15">
        <v>1.5</v>
      </c>
      <c r="G15">
        <v>1.6</v>
      </c>
    </row>
    <row r="16" spans="1:12" x14ac:dyDescent="0.25">
      <c r="A16" t="s">
        <v>763</v>
      </c>
      <c r="B16">
        <v>0.85699999999999998</v>
      </c>
      <c r="C16">
        <v>0.55000000000000004</v>
      </c>
      <c r="D16">
        <v>0.54700000000000004</v>
      </c>
      <c r="E16">
        <v>0.52200000000000002</v>
      </c>
      <c r="F16">
        <v>0.36699999999999999</v>
      </c>
      <c r="G16">
        <v>0.27100000000000002</v>
      </c>
      <c r="H16">
        <v>0.17</v>
      </c>
    </row>
    <row r="17" spans="1:13" x14ac:dyDescent="0.25">
      <c r="A17" t="s">
        <v>764</v>
      </c>
      <c r="B17">
        <v>0.33300000000000002</v>
      </c>
      <c r="C17">
        <v>0.55000000000000004</v>
      </c>
      <c r="D17">
        <v>0.58799999999999997</v>
      </c>
      <c r="E17">
        <v>0.67900000000000005</v>
      </c>
      <c r="F17">
        <v>0.61599999999999999</v>
      </c>
      <c r="G17">
        <v>0.501</v>
      </c>
      <c r="H17">
        <v>0.39</v>
      </c>
    </row>
    <row r="18" spans="1:13" x14ac:dyDescent="0.25">
      <c r="A18" t="s">
        <v>765</v>
      </c>
      <c r="B18">
        <v>26.41</v>
      </c>
      <c r="C18">
        <v>35.32</v>
      </c>
      <c r="D18">
        <v>23.67</v>
      </c>
      <c r="E18">
        <v>11.87</v>
      </c>
      <c r="F18">
        <v>9.68</v>
      </c>
      <c r="G18">
        <v>9.18</v>
      </c>
      <c r="H18">
        <v>9.92</v>
      </c>
      <c r="I18">
        <v>7.2</v>
      </c>
      <c r="J18">
        <v>5.96</v>
      </c>
      <c r="K18">
        <v>4.96</v>
      </c>
      <c r="L18">
        <v>3.4</v>
      </c>
    </row>
    <row r="19" spans="1:13" x14ac:dyDescent="0.25">
      <c r="A19" t="s">
        <v>766</v>
      </c>
      <c r="B19">
        <v>0.77600000000000002</v>
      </c>
      <c r="C19">
        <v>11.43</v>
      </c>
      <c r="D19">
        <v>5.19</v>
      </c>
      <c r="E19">
        <v>4.41</v>
      </c>
      <c r="F19">
        <v>5.97</v>
      </c>
      <c r="G19">
        <v>5.49</v>
      </c>
      <c r="H19">
        <v>2.88</v>
      </c>
      <c r="I19">
        <v>0.52400000000000002</v>
      </c>
    </row>
    <row r="20" spans="1:13" x14ac:dyDescent="0.25">
      <c r="A20" t="s">
        <v>767</v>
      </c>
      <c r="B20">
        <v>14.74</v>
      </c>
      <c r="C20">
        <v>8.99</v>
      </c>
      <c r="D20">
        <v>3.06</v>
      </c>
    </row>
    <row r="21" spans="1:13" x14ac:dyDescent="0.25">
      <c r="A21" t="s">
        <v>768</v>
      </c>
      <c r="B21">
        <v>4.04</v>
      </c>
      <c r="C21">
        <v>5.27</v>
      </c>
      <c r="D21">
        <v>2.42</v>
      </c>
      <c r="E21">
        <v>5.97</v>
      </c>
      <c r="F21">
        <v>0.752</v>
      </c>
    </row>
    <row r="22" spans="1:13" x14ac:dyDescent="0.25">
      <c r="A22" t="s">
        <v>769</v>
      </c>
      <c r="B22">
        <v>1.34</v>
      </c>
      <c r="C22">
        <v>3.11</v>
      </c>
      <c r="D22">
        <v>2.67</v>
      </c>
      <c r="E22">
        <v>2.78</v>
      </c>
      <c r="F22">
        <v>2.9</v>
      </c>
      <c r="G22">
        <v>2.13</v>
      </c>
      <c r="H22">
        <v>0.96899999999999997</v>
      </c>
      <c r="I22">
        <v>0.65800000000000003</v>
      </c>
      <c r="J22">
        <v>0.48299999999999998</v>
      </c>
      <c r="K22">
        <v>0.26800000000000002</v>
      </c>
      <c r="L22">
        <v>0.189</v>
      </c>
      <c r="M22">
        <v>0.11799999999999999</v>
      </c>
    </row>
    <row r="23" spans="1:13" x14ac:dyDescent="0.25">
      <c r="A23" t="s">
        <v>770</v>
      </c>
      <c r="B23">
        <v>8.7999999999999995E-2</v>
      </c>
      <c r="C23">
        <v>6.9000000000000006E-2</v>
      </c>
      <c r="D23">
        <v>5.73</v>
      </c>
      <c r="E23">
        <v>6.9000000000000006E-2</v>
      </c>
      <c r="F23">
        <v>7.5999999999999998E-2</v>
      </c>
      <c r="G23">
        <v>6.6000000000000003E-2</v>
      </c>
      <c r="H23">
        <v>4.1000000000000002E-2</v>
      </c>
    </row>
    <row r="24" spans="1:13" x14ac:dyDescent="0.25">
      <c r="A24" t="s">
        <v>771</v>
      </c>
      <c r="B24">
        <v>0.69899999999999995</v>
      </c>
      <c r="C24">
        <v>6.34</v>
      </c>
      <c r="D24">
        <v>8.8000000000000007</v>
      </c>
      <c r="E24">
        <v>7.8</v>
      </c>
      <c r="F24">
        <v>10.31</v>
      </c>
      <c r="G24">
        <v>9.1</v>
      </c>
      <c r="H24">
        <v>9.3800000000000008</v>
      </c>
      <c r="I24">
        <v>8.51</v>
      </c>
    </row>
    <row r="25" spans="1:13" x14ac:dyDescent="0.25">
      <c r="A25" t="s">
        <v>772</v>
      </c>
      <c r="B25">
        <v>17.79</v>
      </c>
      <c r="C25">
        <v>7.41</v>
      </c>
      <c r="D25">
        <v>2.0099999999999998</v>
      </c>
      <c r="E25">
        <v>1.1100000000000001</v>
      </c>
      <c r="F25">
        <v>1.27</v>
      </c>
      <c r="G25">
        <v>1.21</v>
      </c>
      <c r="H25">
        <v>0.94399999999999995</v>
      </c>
      <c r="I25">
        <v>0.59899999999999998</v>
      </c>
    </row>
    <row r="26" spans="1:13" x14ac:dyDescent="0.25">
      <c r="A26" t="s">
        <v>773</v>
      </c>
      <c r="B26">
        <v>15.13</v>
      </c>
      <c r="C26">
        <v>24.39</v>
      </c>
      <c r="D26">
        <v>21.44</v>
      </c>
      <c r="E26">
        <v>10.59</v>
      </c>
      <c r="F26">
        <v>8.73</v>
      </c>
      <c r="G26">
        <v>7.28</v>
      </c>
      <c r="H26">
        <v>6.22</v>
      </c>
      <c r="I26">
        <v>5.88</v>
      </c>
      <c r="J26">
        <v>5.32</v>
      </c>
      <c r="K26">
        <v>4.01</v>
      </c>
    </row>
    <row r="27" spans="1:13" x14ac:dyDescent="0.25">
      <c r="A27" t="s">
        <v>774</v>
      </c>
      <c r="B27">
        <v>0.77600000000000002</v>
      </c>
      <c r="C27">
        <v>11.43</v>
      </c>
      <c r="D27">
        <v>5.19</v>
      </c>
      <c r="E27">
        <v>4.41</v>
      </c>
      <c r="F27">
        <v>5.97</v>
      </c>
      <c r="G27">
        <v>5.49</v>
      </c>
      <c r="H27">
        <v>2.88</v>
      </c>
      <c r="I27">
        <v>0.52400000000000002</v>
      </c>
    </row>
    <row r="28" spans="1:13" x14ac:dyDescent="0.25">
      <c r="A28" t="s">
        <v>775</v>
      </c>
      <c r="B28">
        <v>1.54</v>
      </c>
      <c r="C28">
        <v>2.4700000000000002</v>
      </c>
      <c r="D28">
        <v>2.5099999999999998</v>
      </c>
      <c r="E28">
        <v>1.37</v>
      </c>
      <c r="F28">
        <v>1.07</v>
      </c>
      <c r="G28">
        <v>1.08</v>
      </c>
      <c r="H28">
        <v>1.02</v>
      </c>
      <c r="I28">
        <v>1.21</v>
      </c>
    </row>
    <row r="29" spans="1:13" x14ac:dyDescent="0.25">
      <c r="A29" t="s">
        <v>776</v>
      </c>
      <c r="B29">
        <v>2.56</v>
      </c>
      <c r="C29">
        <v>2.5499999999999998</v>
      </c>
      <c r="D29">
        <v>2.2000000000000002</v>
      </c>
      <c r="E29">
        <v>1.74</v>
      </c>
      <c r="F29">
        <v>0.81200000000000006</v>
      </c>
    </row>
    <row r="30" spans="1:13" x14ac:dyDescent="0.25">
      <c r="A30" t="s">
        <v>777</v>
      </c>
      <c r="B30">
        <v>0.17599999999999999</v>
      </c>
      <c r="C30">
        <v>5.28</v>
      </c>
      <c r="D30">
        <v>4.97</v>
      </c>
      <c r="E30">
        <v>3.58</v>
      </c>
      <c r="F30">
        <v>4.2699999999999996</v>
      </c>
      <c r="G30">
        <v>4.0999999999999996</v>
      </c>
      <c r="H30">
        <v>2.76</v>
      </c>
      <c r="I30">
        <v>2.02</v>
      </c>
      <c r="J30">
        <v>1.44</v>
      </c>
    </row>
    <row r="31" spans="1:13" x14ac:dyDescent="0.25">
      <c r="A31" t="s">
        <v>778</v>
      </c>
      <c r="B31">
        <v>13</v>
      </c>
      <c r="C31">
        <v>2.42</v>
      </c>
      <c r="D31">
        <v>12.67</v>
      </c>
      <c r="E31">
        <v>8.94</v>
      </c>
      <c r="F31">
        <v>9.76</v>
      </c>
      <c r="G31">
        <v>8.2200000000000006</v>
      </c>
      <c r="H31">
        <v>8.2200000000000006</v>
      </c>
      <c r="I31">
        <v>6.66</v>
      </c>
      <c r="J31">
        <v>5.1100000000000003</v>
      </c>
      <c r="K31">
        <v>2.1</v>
      </c>
      <c r="L31">
        <v>0.75800000000000001</v>
      </c>
    </row>
    <row r="32" spans="1:13" x14ac:dyDescent="0.25">
      <c r="A32" t="s">
        <v>779</v>
      </c>
      <c r="B32">
        <v>0.14799999999999999</v>
      </c>
      <c r="C32">
        <v>0.36499999999999999</v>
      </c>
      <c r="D32">
        <v>0.188</v>
      </c>
      <c r="E32">
        <v>0.186</v>
      </c>
      <c r="F32">
        <v>0.23499999999999999</v>
      </c>
      <c r="G32">
        <v>0.24</v>
      </c>
      <c r="H32">
        <v>0.159</v>
      </c>
      <c r="I32">
        <v>0.08</v>
      </c>
    </row>
    <row r="33" spans="1:15" x14ac:dyDescent="0.25">
      <c r="A33" t="s">
        <v>780</v>
      </c>
      <c r="B33">
        <v>0.68300000000000005</v>
      </c>
      <c r="C33">
        <v>1.5</v>
      </c>
      <c r="D33">
        <v>1.62</v>
      </c>
      <c r="E33">
        <v>1.1299999999999999</v>
      </c>
      <c r="F33">
        <v>1.28</v>
      </c>
      <c r="G33">
        <v>1.29</v>
      </c>
      <c r="H33">
        <v>1.19</v>
      </c>
    </row>
    <row r="34" spans="1:15" x14ac:dyDescent="0.25">
      <c r="A34" t="s">
        <v>781</v>
      </c>
      <c r="B34">
        <v>0.93500000000000005</v>
      </c>
      <c r="C34">
        <v>0.95</v>
      </c>
      <c r="D34">
        <v>0.64800000000000002</v>
      </c>
      <c r="E34">
        <v>0.42899999999999999</v>
      </c>
      <c r="F34">
        <v>0.35199999999999998</v>
      </c>
      <c r="G34">
        <v>0.245</v>
      </c>
      <c r="H34">
        <v>0.16700000000000001</v>
      </c>
    </row>
    <row r="35" spans="1:15" x14ac:dyDescent="0.25">
      <c r="A35" t="s">
        <v>782</v>
      </c>
      <c r="B35">
        <v>0.158</v>
      </c>
      <c r="C35">
        <v>0.13800000000000001</v>
      </c>
      <c r="D35">
        <v>0.105</v>
      </c>
      <c r="E35">
        <v>7.8E-2</v>
      </c>
      <c r="F35">
        <v>5.5E-2</v>
      </c>
      <c r="G35">
        <v>4.1000000000000002E-2</v>
      </c>
      <c r="H35">
        <v>2.9000000000000001E-2</v>
      </c>
      <c r="I35">
        <v>3.2000000000000001E-2</v>
      </c>
    </row>
    <row r="36" spans="1:15" x14ac:dyDescent="0.25">
      <c r="A36" t="s">
        <v>783</v>
      </c>
      <c r="B36">
        <v>0.33100000000000002</v>
      </c>
      <c r="C36">
        <v>1.46</v>
      </c>
      <c r="D36">
        <v>1.44</v>
      </c>
      <c r="E36">
        <v>1.52</v>
      </c>
      <c r="F36">
        <v>1.98</v>
      </c>
      <c r="G36">
        <v>1.65</v>
      </c>
      <c r="H36">
        <v>1.02</v>
      </c>
    </row>
    <row r="37" spans="1:15" x14ac:dyDescent="0.25">
      <c r="A37" t="s">
        <v>784</v>
      </c>
      <c r="B37">
        <v>16.149999999999999</v>
      </c>
      <c r="C37">
        <v>15.7</v>
      </c>
      <c r="D37">
        <v>9.9</v>
      </c>
      <c r="E37">
        <v>5.51</v>
      </c>
      <c r="F37">
        <v>4.5199999999999996</v>
      </c>
      <c r="G37">
        <v>4.3499999999999996</v>
      </c>
      <c r="H37">
        <v>3.21</v>
      </c>
      <c r="I37">
        <v>2.12</v>
      </c>
    </row>
    <row r="38" spans="1:15" x14ac:dyDescent="0.25">
      <c r="A38" t="s">
        <v>785</v>
      </c>
      <c r="B38">
        <v>0.23899999999999999</v>
      </c>
      <c r="C38">
        <v>0.23400000000000001</v>
      </c>
      <c r="D38">
        <v>0.23599999999999999</v>
      </c>
      <c r="E38">
        <v>0.25</v>
      </c>
      <c r="F38">
        <v>0.221</v>
      </c>
      <c r="G38">
        <v>0.154</v>
      </c>
      <c r="H38">
        <v>0.151</v>
      </c>
      <c r="I38">
        <v>0.16800000000000001</v>
      </c>
      <c r="J38">
        <v>0.126</v>
      </c>
      <c r="K38">
        <v>7.8E-2</v>
      </c>
    </row>
    <row r="39" spans="1:15" x14ac:dyDescent="0.25">
      <c r="A39" t="s">
        <v>786</v>
      </c>
      <c r="B39">
        <v>0.20599999999999999</v>
      </c>
      <c r="C39">
        <v>0.80300000000000005</v>
      </c>
      <c r="D39">
        <v>1.05</v>
      </c>
      <c r="E39">
        <v>0.48799999999999999</v>
      </c>
      <c r="F39">
        <v>0.504</v>
      </c>
      <c r="G39">
        <v>0.62</v>
      </c>
      <c r="H39">
        <v>0.42799999999999999</v>
      </c>
    </row>
    <row r="40" spans="1:15" x14ac:dyDescent="0.25">
      <c r="A40" t="s">
        <v>787</v>
      </c>
      <c r="B40">
        <v>15.999000000000001</v>
      </c>
      <c r="C40">
        <v>26.15</v>
      </c>
      <c r="D40">
        <v>12.8</v>
      </c>
      <c r="E40">
        <v>17.510000000000002</v>
      </c>
      <c r="F40">
        <v>9.69</v>
      </c>
      <c r="G40">
        <v>18.579999999999998</v>
      </c>
      <c r="H40">
        <v>13.73</v>
      </c>
      <c r="I40">
        <v>9.4600000000000009</v>
      </c>
    </row>
    <row r="41" spans="1:15" x14ac:dyDescent="0.25">
      <c r="A41" t="s">
        <v>789</v>
      </c>
      <c r="B41">
        <v>1.21</v>
      </c>
      <c r="C41">
        <v>2.79</v>
      </c>
      <c r="D41">
        <v>1.25</v>
      </c>
      <c r="E41">
        <v>0.60299999999999998</v>
      </c>
      <c r="F41">
        <v>0.66500000000000004</v>
      </c>
      <c r="G41">
        <v>0.69199999999999995</v>
      </c>
      <c r="H41">
        <v>0.54100000000000004</v>
      </c>
      <c r="I41">
        <v>0.48299999999999998</v>
      </c>
      <c r="J41">
        <v>0.10199999999999999</v>
      </c>
      <c r="K41">
        <v>6.9000000000000006E-2</v>
      </c>
      <c r="L41">
        <v>5.0999999999999997E-2</v>
      </c>
      <c r="M41">
        <v>3.5000000000000003E-2</v>
      </c>
    </row>
    <row r="42" spans="1:15" x14ac:dyDescent="0.25">
      <c r="A42" t="s">
        <v>790</v>
      </c>
      <c r="B42">
        <v>16.63</v>
      </c>
      <c r="C42">
        <v>21.43</v>
      </c>
      <c r="D42">
        <v>13.57</v>
      </c>
      <c r="E42">
        <v>8.8000000000000007</v>
      </c>
      <c r="F42">
        <v>7.91</v>
      </c>
      <c r="G42">
        <v>7.22</v>
      </c>
      <c r="H42">
        <v>6.78</v>
      </c>
      <c r="I42">
        <v>5.47</v>
      </c>
      <c r="J42">
        <v>4.72</v>
      </c>
      <c r="K42">
        <v>3.83</v>
      </c>
      <c r="L42">
        <v>3.02</v>
      </c>
      <c r="M42">
        <v>2.35</v>
      </c>
      <c r="N42">
        <v>1.52</v>
      </c>
      <c r="O42">
        <v>1.1200000000000001</v>
      </c>
    </row>
    <row r="43" spans="1:15" x14ac:dyDescent="0.25">
      <c r="A43" t="s">
        <v>791</v>
      </c>
      <c r="B43">
        <v>1.08</v>
      </c>
      <c r="C43">
        <v>7.25</v>
      </c>
      <c r="D43">
        <v>11.13</v>
      </c>
      <c r="E43">
        <v>6.28</v>
      </c>
      <c r="F43">
        <v>6.41</v>
      </c>
      <c r="G43">
        <v>5.47</v>
      </c>
      <c r="H43">
        <v>4</v>
      </c>
      <c r="I43">
        <v>1.34</v>
      </c>
      <c r="J43">
        <v>0.82799999999999996</v>
      </c>
      <c r="K43">
        <v>0.47599999999999998</v>
      </c>
    </row>
    <row r="44" spans="1:15" x14ac:dyDescent="0.25">
      <c r="A44" t="s">
        <v>792</v>
      </c>
      <c r="B44">
        <v>5.8000000000000003E-2</v>
      </c>
      <c r="C44">
        <v>0.215</v>
      </c>
      <c r="D44">
        <v>0.33100000000000002</v>
      </c>
      <c r="E44">
        <v>0.29799999999999999</v>
      </c>
      <c r="F44">
        <v>0.33</v>
      </c>
      <c r="G44">
        <v>0.33300000000000002</v>
      </c>
      <c r="H44">
        <v>0.19600000000000001</v>
      </c>
      <c r="I44">
        <v>7.8E-2</v>
      </c>
      <c r="J44">
        <v>3.5000000000000003E-2</v>
      </c>
    </row>
    <row r="45" spans="1:15" x14ac:dyDescent="0.25">
      <c r="A45" t="s">
        <v>793</v>
      </c>
      <c r="B45">
        <v>0.53</v>
      </c>
      <c r="C45">
        <v>0.749</v>
      </c>
      <c r="D45">
        <v>0.91100000000000003</v>
      </c>
      <c r="E45">
        <v>0.67300000000000004</v>
      </c>
      <c r="F45">
        <v>0.47399999999999998</v>
      </c>
      <c r="G45">
        <v>0.438</v>
      </c>
      <c r="H45">
        <v>0.35399999999999998</v>
      </c>
      <c r="I45">
        <v>0.371</v>
      </c>
      <c r="J45">
        <v>0.28100000000000003</v>
      </c>
    </row>
    <row r="46" spans="1:15" x14ac:dyDescent="0.25">
      <c r="A46" t="s">
        <v>794</v>
      </c>
      <c r="B46">
        <v>1.68</v>
      </c>
      <c r="C46">
        <v>3.74</v>
      </c>
      <c r="D46">
        <v>6.42</v>
      </c>
      <c r="E46">
        <v>3.69</v>
      </c>
      <c r="F46">
        <v>3.05</v>
      </c>
      <c r="G46">
        <v>2.41</v>
      </c>
      <c r="H46">
        <v>2.14</v>
      </c>
      <c r="I46">
        <v>2.39</v>
      </c>
      <c r="J46">
        <v>1.48</v>
      </c>
      <c r="K46">
        <v>0.62</v>
      </c>
      <c r="L46">
        <v>0.31900000000000001</v>
      </c>
    </row>
    <row r="47" spans="1:15" x14ac:dyDescent="0.25">
      <c r="A47" t="s">
        <v>795</v>
      </c>
      <c r="B47">
        <v>1.71</v>
      </c>
      <c r="C47">
        <v>9.36</v>
      </c>
      <c r="D47">
        <v>8.43</v>
      </c>
      <c r="E47">
        <v>4.3</v>
      </c>
      <c r="F47">
        <v>4.74</v>
      </c>
      <c r="G47">
        <v>3.85</v>
      </c>
    </row>
    <row r="48" spans="1:15" x14ac:dyDescent="0.25">
      <c r="A48" t="s">
        <v>796</v>
      </c>
      <c r="B48">
        <v>0.31</v>
      </c>
      <c r="C48">
        <v>3.72</v>
      </c>
      <c r="D48">
        <v>4.18</v>
      </c>
      <c r="E48">
        <v>2.13</v>
      </c>
      <c r="F48">
        <v>2.67</v>
      </c>
      <c r="G48">
        <v>3.99</v>
      </c>
      <c r="H48">
        <v>3.16</v>
      </c>
      <c r="I48">
        <v>1.71</v>
      </c>
      <c r="J48">
        <v>0.76</v>
      </c>
      <c r="K48">
        <v>0.45500000000000002</v>
      </c>
      <c r="L48">
        <v>0.29299999999999998</v>
      </c>
      <c r="M48">
        <v>0.182</v>
      </c>
    </row>
    <row r="49" spans="1:15" x14ac:dyDescent="0.25">
      <c r="A49" t="s">
        <v>797</v>
      </c>
      <c r="B49">
        <v>1.57</v>
      </c>
      <c r="C49">
        <v>7.81</v>
      </c>
      <c r="D49">
        <v>7.46</v>
      </c>
      <c r="E49">
        <v>6.58</v>
      </c>
      <c r="F49">
        <v>5.93</v>
      </c>
      <c r="G49">
        <v>4.9800000000000004</v>
      </c>
      <c r="H49">
        <v>1.72</v>
      </c>
      <c r="I49">
        <v>0.43</v>
      </c>
      <c r="J49">
        <v>0.14399999999999999</v>
      </c>
      <c r="K49">
        <v>2.1800000000000002</v>
      </c>
      <c r="L49">
        <v>2.14</v>
      </c>
      <c r="M49">
        <v>2.16</v>
      </c>
      <c r="N49">
        <v>0.89600000000000002</v>
      </c>
      <c r="O49">
        <v>0.97299999999999998</v>
      </c>
    </row>
    <row r="50" spans="1:15" x14ac:dyDescent="0.25">
      <c r="A50" t="s">
        <v>798</v>
      </c>
      <c r="B50">
        <v>5.15</v>
      </c>
      <c r="C50">
        <v>3.82</v>
      </c>
      <c r="D50">
        <v>3.03</v>
      </c>
      <c r="E50">
        <v>2.81</v>
      </c>
      <c r="F50">
        <v>2.69</v>
      </c>
      <c r="G50">
        <v>2.13</v>
      </c>
      <c r="H50">
        <v>0.88900000000000001</v>
      </c>
      <c r="I50">
        <v>0.45800000000000002</v>
      </c>
      <c r="J50">
        <v>0.22800000000000001</v>
      </c>
      <c r="K50">
        <v>0.124</v>
      </c>
    </row>
    <row r="51" spans="1:15" x14ac:dyDescent="0.25">
      <c r="A51" s="4" t="s">
        <v>799</v>
      </c>
      <c r="B51">
        <v>5.65</v>
      </c>
      <c r="C51">
        <v>18.55</v>
      </c>
      <c r="D51">
        <v>9.43</v>
      </c>
      <c r="E51">
        <v>4.24</v>
      </c>
      <c r="F51">
        <v>3.51</v>
      </c>
      <c r="G51">
        <v>3.17</v>
      </c>
      <c r="H51">
        <v>2.36</v>
      </c>
      <c r="I51">
        <v>1.91</v>
      </c>
      <c r="J51">
        <v>1.56</v>
      </c>
    </row>
    <row r="52" spans="1:15" x14ac:dyDescent="0.25">
      <c r="A52" t="s">
        <v>800</v>
      </c>
      <c r="B52">
        <v>0.73299999999999998</v>
      </c>
      <c r="C52">
        <v>1.1100000000000001</v>
      </c>
      <c r="D52">
        <v>1.18</v>
      </c>
      <c r="E52">
        <v>0.96299999999999997</v>
      </c>
      <c r="F52">
        <v>0.96299999999999997</v>
      </c>
      <c r="G52">
        <v>1.0900000000000001</v>
      </c>
      <c r="H52">
        <v>1.87</v>
      </c>
      <c r="I52">
        <v>2.16</v>
      </c>
      <c r="J52">
        <v>1.92</v>
      </c>
      <c r="K52">
        <v>1.46</v>
      </c>
    </row>
    <row r="53" spans="1:15" x14ac:dyDescent="0.25">
      <c r="A53" t="s">
        <v>801</v>
      </c>
      <c r="B53">
        <v>0.20599999999999999</v>
      </c>
      <c r="C53">
        <v>0.80300000000000005</v>
      </c>
      <c r="D53">
        <v>1.05</v>
      </c>
      <c r="E53">
        <v>0.504</v>
      </c>
      <c r="F53">
        <v>0.753</v>
      </c>
      <c r="G53">
        <v>0.62</v>
      </c>
      <c r="H53">
        <v>0.42799999999999999</v>
      </c>
      <c r="I53">
        <v>0.247</v>
      </c>
    </row>
    <row r="54" spans="1:15" x14ac:dyDescent="0.25">
      <c r="A54" t="s">
        <v>802</v>
      </c>
      <c r="B54">
        <v>8.7999999999999995E-2</v>
      </c>
      <c r="C54">
        <v>6.9000000000000006E-2</v>
      </c>
      <c r="D54">
        <v>7.2999999999999995E-2</v>
      </c>
      <c r="E54">
        <v>6.9000000000000006E-2</v>
      </c>
      <c r="F54">
        <v>7.5999999999999998E-2</v>
      </c>
      <c r="G54">
        <v>6.6000000000000003E-2</v>
      </c>
      <c r="H54">
        <v>4.1000000000000002E-2</v>
      </c>
    </row>
    <row r="55" spans="1:15" x14ac:dyDescent="0.25">
      <c r="A55" t="s">
        <v>803</v>
      </c>
      <c r="B55">
        <v>15.13</v>
      </c>
      <c r="C55">
        <v>24.39</v>
      </c>
      <c r="D55">
        <v>21.44</v>
      </c>
      <c r="E55">
        <v>10.59</v>
      </c>
      <c r="F55">
        <v>8.73</v>
      </c>
      <c r="G55">
        <v>7.28</v>
      </c>
      <c r="H55">
        <v>6.22</v>
      </c>
      <c r="I55">
        <v>5.88</v>
      </c>
    </row>
    <row r="56" spans="1:15" x14ac:dyDescent="0.25">
      <c r="A56" t="s">
        <v>804</v>
      </c>
      <c r="B56">
        <v>1.54</v>
      </c>
      <c r="C56">
        <v>2.4700000000000002</v>
      </c>
      <c r="D56">
        <v>2.5099999999999998</v>
      </c>
      <c r="E56">
        <v>1.37</v>
      </c>
      <c r="F56">
        <v>1.07</v>
      </c>
      <c r="G56">
        <v>1.08</v>
      </c>
      <c r="H56">
        <v>1.21</v>
      </c>
      <c r="I56">
        <v>1.02</v>
      </c>
    </row>
    <row r="57" spans="1:15" x14ac:dyDescent="0.25">
      <c r="A57" t="s">
        <v>805</v>
      </c>
      <c r="B57">
        <v>2.56</v>
      </c>
      <c r="C57">
        <v>2.5499999999999998</v>
      </c>
      <c r="D57">
        <v>2.2000000000000002</v>
      </c>
      <c r="E57">
        <v>1.74</v>
      </c>
      <c r="F57">
        <v>0.81200000000000006</v>
      </c>
    </row>
    <row r="58" spans="1:15" x14ac:dyDescent="0.25">
      <c r="A58" s="4" t="s">
        <v>806</v>
      </c>
      <c r="B58">
        <v>2.42</v>
      </c>
      <c r="C58">
        <v>13</v>
      </c>
      <c r="D58">
        <v>12.67</v>
      </c>
      <c r="E58">
        <v>8.94</v>
      </c>
      <c r="F58">
        <v>8.2200000000000006</v>
      </c>
      <c r="G58">
        <v>6.66</v>
      </c>
      <c r="H58">
        <v>5.1100000000000003</v>
      </c>
      <c r="I58">
        <v>0.75800000000000001</v>
      </c>
    </row>
    <row r="59" spans="1:15" x14ac:dyDescent="0.25">
      <c r="A59" t="s">
        <v>807</v>
      </c>
      <c r="B59">
        <v>1.34</v>
      </c>
      <c r="C59">
        <v>3.11</v>
      </c>
      <c r="D59">
        <v>2.67</v>
      </c>
      <c r="E59">
        <v>2.78</v>
      </c>
      <c r="F59">
        <v>2.9</v>
      </c>
      <c r="G59">
        <v>2.13</v>
      </c>
      <c r="H59">
        <v>0.96899999999999997</v>
      </c>
      <c r="I59">
        <v>0.65800000000000003</v>
      </c>
      <c r="J59">
        <v>0.48299999999999998</v>
      </c>
      <c r="K59">
        <v>0.26800000000000002</v>
      </c>
      <c r="L59">
        <v>0.189</v>
      </c>
      <c r="M59">
        <v>0.11799999999999999</v>
      </c>
    </row>
    <row r="60" spans="1:15" x14ac:dyDescent="0.25">
      <c r="A60" t="s">
        <v>808</v>
      </c>
      <c r="B60">
        <v>5.27</v>
      </c>
      <c r="C60">
        <v>4.4000000000000004</v>
      </c>
      <c r="D60">
        <v>2.42</v>
      </c>
      <c r="E60">
        <v>1.08</v>
      </c>
      <c r="F60">
        <v>0.752</v>
      </c>
      <c r="G60">
        <v>0.66800000000000004</v>
      </c>
    </row>
    <row r="61" spans="1:15" x14ac:dyDescent="0.25">
      <c r="A61" t="s">
        <v>809</v>
      </c>
      <c r="B61">
        <v>20.85</v>
      </c>
      <c r="C61">
        <v>17.72</v>
      </c>
      <c r="D61">
        <v>9.85</v>
      </c>
      <c r="E61">
        <v>7.47</v>
      </c>
      <c r="F61">
        <v>6.16</v>
      </c>
      <c r="G61">
        <v>5.75</v>
      </c>
      <c r="H61">
        <v>4.5199999999999996</v>
      </c>
      <c r="I61">
        <v>2.95</v>
      </c>
      <c r="J61">
        <v>1.33</v>
      </c>
    </row>
    <row r="62" spans="1:15" x14ac:dyDescent="0.25">
      <c r="A62" t="s">
        <v>810</v>
      </c>
      <c r="B62">
        <v>2.82</v>
      </c>
      <c r="C62">
        <v>12.21</v>
      </c>
      <c r="D62">
        <v>7.8</v>
      </c>
      <c r="E62">
        <v>3.48</v>
      </c>
      <c r="F62">
        <v>3.66</v>
      </c>
      <c r="G62">
        <v>3.66</v>
      </c>
      <c r="H62">
        <v>2.2200000000000002</v>
      </c>
    </row>
    <row r="63" spans="1:15" x14ac:dyDescent="0.25">
      <c r="A63" t="s">
        <v>811</v>
      </c>
      <c r="B63">
        <v>4</v>
      </c>
      <c r="C63">
        <v>13.96</v>
      </c>
      <c r="D63">
        <v>12.05</v>
      </c>
      <c r="E63">
        <v>12.33</v>
      </c>
      <c r="F63">
        <v>11.89</v>
      </c>
      <c r="G63">
        <v>9.59</v>
      </c>
      <c r="H63">
        <v>8.9</v>
      </c>
      <c r="I63">
        <v>7.06</v>
      </c>
    </row>
    <row r="64" spans="1:15" x14ac:dyDescent="0.25">
      <c r="A64" t="s">
        <v>812</v>
      </c>
      <c r="B64">
        <v>1.02</v>
      </c>
      <c r="C64">
        <v>9.64</v>
      </c>
      <c r="D64">
        <v>5.76</v>
      </c>
      <c r="E64">
        <v>3.16</v>
      </c>
      <c r="F64">
        <v>2.68</v>
      </c>
      <c r="G64">
        <v>2.93</v>
      </c>
      <c r="H64">
        <v>2.9</v>
      </c>
      <c r="I64">
        <v>2.11</v>
      </c>
      <c r="J64">
        <v>1.34</v>
      </c>
      <c r="K64">
        <v>0.74399999999999999</v>
      </c>
    </row>
    <row r="65" spans="1:16" x14ac:dyDescent="0.25">
      <c r="A65" t="s">
        <v>813</v>
      </c>
      <c r="B65">
        <v>0.89900000000000002</v>
      </c>
      <c r="C65">
        <v>2.83</v>
      </c>
      <c r="D65">
        <v>3.11</v>
      </c>
      <c r="E65">
        <v>1.83</v>
      </c>
      <c r="F65">
        <v>1.91</v>
      </c>
      <c r="G65">
        <v>1.64</v>
      </c>
      <c r="H65">
        <v>1.44</v>
      </c>
      <c r="I65">
        <v>1.1399999999999999</v>
      </c>
      <c r="J65">
        <v>0.78200000000000003</v>
      </c>
    </row>
    <row r="66" spans="1:16" x14ac:dyDescent="0.25">
      <c r="A66" t="s">
        <v>816</v>
      </c>
      <c r="B66">
        <v>1.1140000000000001</v>
      </c>
      <c r="C66">
        <v>2.9350000000000001</v>
      </c>
      <c r="D66">
        <v>3.26</v>
      </c>
      <c r="E66">
        <v>2.2690000000000001</v>
      </c>
      <c r="F66">
        <v>1.9430000000000001</v>
      </c>
      <c r="G66">
        <v>1.0569999999999999</v>
      </c>
    </row>
    <row r="67" spans="1:16" x14ac:dyDescent="0.25">
      <c r="A67" t="s">
        <v>817</v>
      </c>
      <c r="B67">
        <v>0.159</v>
      </c>
      <c r="C67">
        <v>10.68</v>
      </c>
      <c r="D67">
        <v>3.57</v>
      </c>
      <c r="E67">
        <v>2.1</v>
      </c>
      <c r="F67">
        <v>1.62</v>
      </c>
      <c r="G67">
        <v>1.73</v>
      </c>
      <c r="H67">
        <v>1.19</v>
      </c>
    </row>
    <row r="68" spans="1:16" x14ac:dyDescent="0.25">
      <c r="A68" t="s">
        <v>818</v>
      </c>
      <c r="B68">
        <v>7.4999999999999997E-2</v>
      </c>
      <c r="C68">
        <v>0.188</v>
      </c>
      <c r="D68">
        <v>0.14599999999999999</v>
      </c>
      <c r="E68">
        <v>0.18099999999999999</v>
      </c>
      <c r="F68">
        <v>0.18099999999999999</v>
      </c>
      <c r="G68">
        <v>0.14599999999999999</v>
      </c>
    </row>
    <row r="69" spans="1:16" x14ac:dyDescent="0.25">
      <c r="A69" t="s">
        <v>819</v>
      </c>
      <c r="B69">
        <v>3.6</v>
      </c>
      <c r="C69">
        <v>7.33</v>
      </c>
      <c r="D69">
        <v>6.12</v>
      </c>
      <c r="E69">
        <v>4.84</v>
      </c>
      <c r="F69">
        <v>3.02</v>
      </c>
      <c r="G69">
        <v>2.42</v>
      </c>
      <c r="H69">
        <v>2.38</v>
      </c>
      <c r="I69">
        <v>1.62</v>
      </c>
      <c r="J69">
        <v>0.9</v>
      </c>
      <c r="K69">
        <v>0.77500000000000002</v>
      </c>
      <c r="L69">
        <v>0.48</v>
      </c>
    </row>
    <row r="70" spans="1:16" x14ac:dyDescent="0.25">
      <c r="A70" t="s">
        <v>820</v>
      </c>
      <c r="B70">
        <v>0.20169999999999999</v>
      </c>
      <c r="C70">
        <v>0.1749</v>
      </c>
      <c r="D70">
        <v>0.191</v>
      </c>
      <c r="E70">
        <v>0.15809999999999999</v>
      </c>
      <c r="F70">
        <v>7.5700000000000003E-2</v>
      </c>
      <c r="G70">
        <v>4.36E-2</v>
      </c>
      <c r="H70">
        <v>2.6699999999999998E-2</v>
      </c>
    </row>
    <row r="71" spans="1:16" x14ac:dyDescent="0.25">
      <c r="A71" t="s">
        <v>821</v>
      </c>
      <c r="B71">
        <v>5.04</v>
      </c>
      <c r="C71">
        <v>8.4280000000000008</v>
      </c>
      <c r="D71">
        <v>9.2690000000000001</v>
      </c>
      <c r="E71">
        <v>6.0010000000000003</v>
      </c>
      <c r="F71">
        <v>4.4989999999999997</v>
      </c>
      <c r="G71">
        <v>4.2069999999999999</v>
      </c>
      <c r="H71">
        <v>3.7469999999999999</v>
      </c>
      <c r="I71">
        <v>2.9620000000000002</v>
      </c>
      <c r="J71">
        <v>1.92</v>
      </c>
      <c r="K71">
        <v>1.2509999999999999</v>
      </c>
      <c r="L71">
        <v>0.85389999999999999</v>
      </c>
    </row>
    <row r="72" spans="1:16" x14ac:dyDescent="0.25">
      <c r="A72" t="s">
        <v>822</v>
      </c>
      <c r="B72">
        <v>1.1259999999999999</v>
      </c>
      <c r="C72">
        <v>2.2269999999999999</v>
      </c>
      <c r="D72">
        <v>1.323</v>
      </c>
      <c r="E72">
        <v>0.83279999999999998</v>
      </c>
      <c r="F72">
        <v>0.87220000000000009</v>
      </c>
      <c r="G72">
        <v>1.075</v>
      </c>
      <c r="H72">
        <v>0.64770000000000005</v>
      </c>
      <c r="I72">
        <v>0.33989999999999998</v>
      </c>
      <c r="J72">
        <v>0.15390000000000001</v>
      </c>
      <c r="K72">
        <v>0.1188</v>
      </c>
      <c r="L72">
        <v>9.6799999999999997E-2</v>
      </c>
      <c r="M72">
        <v>5.8299999999999998E-2</v>
      </c>
    </row>
    <row r="73" spans="1:16" x14ac:dyDescent="0.25">
      <c r="A73" t="s">
        <v>823</v>
      </c>
      <c r="B73">
        <v>6.57</v>
      </c>
      <c r="C73">
        <v>9.1</v>
      </c>
      <c r="D73">
        <v>8.85</v>
      </c>
      <c r="E73">
        <v>9.86</v>
      </c>
      <c r="F73">
        <v>6.1</v>
      </c>
      <c r="G73">
        <v>5.6</v>
      </c>
      <c r="H73">
        <v>4.99</v>
      </c>
      <c r="I73">
        <v>3.06</v>
      </c>
    </row>
    <row r="74" spans="1:16" x14ac:dyDescent="0.25">
      <c r="A74" t="s">
        <v>824</v>
      </c>
      <c r="B74">
        <v>16.63</v>
      </c>
      <c r="C74">
        <v>21.43</v>
      </c>
      <c r="D74">
        <v>13.57</v>
      </c>
      <c r="E74">
        <v>8.8000000000000007</v>
      </c>
      <c r="F74">
        <v>7.91</v>
      </c>
      <c r="G74">
        <v>7.22</v>
      </c>
      <c r="H74">
        <v>6.78</v>
      </c>
      <c r="I74">
        <v>5.47</v>
      </c>
      <c r="J74">
        <v>4.72</v>
      </c>
      <c r="K74">
        <v>3.83</v>
      </c>
      <c r="L74">
        <v>3.02</v>
      </c>
      <c r="M74">
        <v>2.35</v>
      </c>
      <c r="N74">
        <v>1.52</v>
      </c>
      <c r="O74">
        <v>1.1200000000000001</v>
      </c>
      <c r="P74">
        <v>0.86399999999999999</v>
      </c>
    </row>
    <row r="75" spans="1:16" x14ac:dyDescent="0.25">
      <c r="A75" t="s">
        <v>825</v>
      </c>
      <c r="B75">
        <v>0.42599999999999999</v>
      </c>
      <c r="C75">
        <v>2.38</v>
      </c>
      <c r="D75">
        <v>1.88</v>
      </c>
      <c r="E75">
        <v>2.37</v>
      </c>
      <c r="F75">
        <v>2.4500000000000002</v>
      </c>
      <c r="G75">
        <v>1.69</v>
      </c>
      <c r="H75">
        <v>0.71</v>
      </c>
      <c r="I75">
        <v>0.27300000000000002</v>
      </c>
      <c r="J75">
        <v>0.14699999999999999</v>
      </c>
      <c r="K75">
        <v>4.7E-2</v>
      </c>
    </row>
    <row r="76" spans="1:16" x14ac:dyDescent="0.25">
      <c r="A76" t="s">
        <v>826</v>
      </c>
      <c r="B76">
        <v>0.65200000000000002</v>
      </c>
      <c r="C76">
        <v>1.42</v>
      </c>
      <c r="D76">
        <v>0.58799999999999997</v>
      </c>
      <c r="E76">
        <v>0.56299999999999994</v>
      </c>
      <c r="F76">
        <v>0.61399999999999999</v>
      </c>
      <c r="G76">
        <v>0.36499999999999999</v>
      </c>
    </row>
    <row r="77" spans="1:16" x14ac:dyDescent="0.25">
      <c r="A77" t="s">
        <v>827</v>
      </c>
      <c r="B77">
        <v>0.64400000000000002</v>
      </c>
      <c r="C77">
        <v>2.5499999999999998</v>
      </c>
      <c r="D77">
        <v>2.16</v>
      </c>
      <c r="E77">
        <v>1.38</v>
      </c>
      <c r="F77">
        <v>1.54</v>
      </c>
      <c r="G77">
        <v>1.1100000000000001</v>
      </c>
      <c r="H77">
        <v>0.52700000000000002</v>
      </c>
      <c r="I77">
        <v>0.74</v>
      </c>
      <c r="J77">
        <v>0.443</v>
      </c>
    </row>
    <row r="78" spans="1:16" x14ac:dyDescent="0.25">
      <c r="A78" t="s">
        <v>828</v>
      </c>
      <c r="B78">
        <v>0.14099999999999999</v>
      </c>
      <c r="C78">
        <v>0.30399999999999999</v>
      </c>
      <c r="D78">
        <v>0.23699999999999999</v>
      </c>
      <c r="E78">
        <v>0.19700000000000001</v>
      </c>
      <c r="F78">
        <v>0.16800000000000001</v>
      </c>
      <c r="G78">
        <v>0.16200000000000001</v>
      </c>
      <c r="H78">
        <v>0.157</v>
      </c>
    </row>
    <row r="79" spans="1:16" x14ac:dyDescent="0.25">
      <c r="A79" t="s">
        <v>829</v>
      </c>
      <c r="B79">
        <v>6.07</v>
      </c>
      <c r="C79">
        <v>13.87</v>
      </c>
      <c r="D79">
        <v>6.21</v>
      </c>
      <c r="E79">
        <v>3.84</v>
      </c>
      <c r="F79">
        <v>4.84</v>
      </c>
      <c r="G79">
        <v>4.72</v>
      </c>
      <c r="H79">
        <v>3.57</v>
      </c>
      <c r="I79">
        <v>2.29</v>
      </c>
    </row>
    <row r="80" spans="1:16" x14ac:dyDescent="0.25">
      <c r="A80" t="s">
        <v>830</v>
      </c>
      <c r="B80">
        <v>4.016</v>
      </c>
      <c r="C80">
        <v>9.6969999999999992</v>
      </c>
      <c r="D80">
        <v>7.5279999999999996</v>
      </c>
      <c r="E80">
        <v>3.415</v>
      </c>
      <c r="F80">
        <v>2.7730000000000001</v>
      </c>
      <c r="G80">
        <v>2.5649999999999999</v>
      </c>
      <c r="H80">
        <v>2.7549999999999999</v>
      </c>
      <c r="I80">
        <v>2.032</v>
      </c>
    </row>
    <row r="81" spans="1:24" x14ac:dyDescent="0.25">
      <c r="A81" t="s">
        <v>831</v>
      </c>
      <c r="B81">
        <v>0.93470000000000009</v>
      </c>
      <c r="C81">
        <v>2.552</v>
      </c>
      <c r="D81">
        <v>1.661</v>
      </c>
      <c r="E81">
        <v>0.80970000000000009</v>
      </c>
      <c r="F81">
        <v>1.1950000000000001</v>
      </c>
      <c r="G81">
        <v>0.93689999999999996</v>
      </c>
    </row>
    <row r="82" spans="1:24" x14ac:dyDescent="0.25">
      <c r="A82" t="s">
        <v>832</v>
      </c>
      <c r="B82">
        <v>0.50649999999999995</v>
      </c>
      <c r="C82">
        <v>1.165</v>
      </c>
      <c r="D82">
        <v>0.72310000000000008</v>
      </c>
      <c r="E82">
        <v>1.1930000000000001</v>
      </c>
      <c r="F82">
        <v>0.98799999999999999</v>
      </c>
      <c r="G82">
        <v>0.52139999999999997</v>
      </c>
      <c r="H82">
        <v>0.47749999999999998</v>
      </c>
      <c r="I82">
        <v>0.41220000000000001</v>
      </c>
    </row>
    <row r="83" spans="1:24" x14ac:dyDescent="0.25">
      <c r="A83" t="s">
        <v>833</v>
      </c>
      <c r="B83">
        <v>8.5289999999999999</v>
      </c>
      <c r="C83">
        <v>21.414999999999999</v>
      </c>
      <c r="D83">
        <v>9.2899999999999991</v>
      </c>
      <c r="E83">
        <v>6.7140000000000004</v>
      </c>
      <c r="F83">
        <v>9.9260000000000002</v>
      </c>
      <c r="G83">
        <v>8.2070000000000007</v>
      </c>
      <c r="H83">
        <v>6.7830000000000004</v>
      </c>
      <c r="I83">
        <v>4.2359999999999998</v>
      </c>
      <c r="J83">
        <v>2.2229999999999999</v>
      </c>
      <c r="K83">
        <v>1.1539999999999999</v>
      </c>
      <c r="L83">
        <v>0.57779999999999998</v>
      </c>
    </row>
    <row r="84" spans="1:24" x14ac:dyDescent="0.25">
      <c r="A84" t="s">
        <v>834</v>
      </c>
      <c r="B84">
        <v>3.3580000000000001</v>
      </c>
      <c r="C84">
        <v>3.8610000000000002</v>
      </c>
      <c r="D84">
        <v>2.665</v>
      </c>
      <c r="E84">
        <v>1.913</v>
      </c>
      <c r="F84">
        <v>1.319</v>
      </c>
      <c r="G84">
        <v>0.84410000000000007</v>
      </c>
      <c r="H84">
        <v>0.44739999999999996</v>
      </c>
      <c r="I84">
        <v>0.25800000000000001</v>
      </c>
    </row>
    <row r="85" spans="1:24" x14ac:dyDescent="0.25">
      <c r="A85" t="s">
        <v>835</v>
      </c>
      <c r="B85">
        <v>0.27300000000000002</v>
      </c>
      <c r="C85">
        <v>1.03</v>
      </c>
      <c r="D85">
        <v>2.4900000000000002</v>
      </c>
      <c r="E85">
        <v>1.0900000000000001</v>
      </c>
      <c r="F85">
        <v>0.995</v>
      </c>
      <c r="G85">
        <v>1.22</v>
      </c>
      <c r="H85">
        <v>1.1299999999999999</v>
      </c>
      <c r="I85">
        <v>1.47</v>
      </c>
      <c r="J85">
        <v>0.91800000000000004</v>
      </c>
      <c r="K85">
        <v>0.504</v>
      </c>
      <c r="L85">
        <v>0.34200000000000003</v>
      </c>
      <c r="M85">
        <v>7.0000000000000001E-3</v>
      </c>
      <c r="N85">
        <v>8.0000000000000002E-3</v>
      </c>
    </row>
    <row r="86" spans="1:24" x14ac:dyDescent="0.25">
      <c r="A86" t="s">
        <v>836</v>
      </c>
      <c r="B86">
        <v>0.52360000000000007</v>
      </c>
      <c r="C86">
        <v>0.83160000000000001</v>
      </c>
      <c r="D86">
        <v>0.69479999999999997</v>
      </c>
      <c r="E86">
        <v>0.58340000000000003</v>
      </c>
      <c r="F86">
        <v>0.62370000000000003</v>
      </c>
      <c r="G86">
        <v>0.46689999999999998</v>
      </c>
      <c r="H86">
        <v>0.28570000000000001</v>
      </c>
      <c r="I86">
        <v>5.8200000000000002E-2</v>
      </c>
      <c r="J86">
        <v>3.15E-2</v>
      </c>
      <c r="K86">
        <v>3.1399999999999997E-2</v>
      </c>
      <c r="L86">
        <v>3.15E-2</v>
      </c>
    </row>
    <row r="87" spans="1:24" x14ac:dyDescent="0.25">
      <c r="A87" t="s">
        <v>837</v>
      </c>
      <c r="B87">
        <v>0.59599999999999997</v>
      </c>
      <c r="C87">
        <v>5.22</v>
      </c>
      <c r="D87">
        <v>11.77</v>
      </c>
      <c r="E87">
        <v>9.26</v>
      </c>
      <c r="F87">
        <v>7.76</v>
      </c>
      <c r="G87">
        <v>6.64</v>
      </c>
      <c r="H87">
        <v>4.0199999999999996</v>
      </c>
      <c r="I87">
        <v>1.1599999999999999</v>
      </c>
      <c r="J87">
        <v>0.56899999999999995</v>
      </c>
      <c r="K87">
        <v>0.32500000000000001</v>
      </c>
      <c r="L87">
        <v>0.14299999999999999</v>
      </c>
    </row>
    <row r="88" spans="1:24" x14ac:dyDescent="0.25">
      <c r="A88" t="s">
        <v>838</v>
      </c>
      <c r="B88">
        <v>7.6619999999999999</v>
      </c>
      <c r="C88">
        <v>11.834</v>
      </c>
      <c r="D88">
        <v>5.907</v>
      </c>
      <c r="E88">
        <v>3.8010000000000002</v>
      </c>
      <c r="F88">
        <v>3.09</v>
      </c>
      <c r="G88">
        <v>2.7349999999999999</v>
      </c>
      <c r="H88">
        <v>2.105</v>
      </c>
      <c r="I88">
        <v>1.5029999999999999</v>
      </c>
      <c r="J88">
        <v>1.08</v>
      </c>
    </row>
    <row r="89" spans="1:24" x14ac:dyDescent="0.25">
      <c r="A89" t="s">
        <v>839</v>
      </c>
      <c r="B89">
        <v>5.0490000000000004</v>
      </c>
      <c r="C89">
        <v>18.513000000000002</v>
      </c>
      <c r="D89">
        <v>13.888999999999999</v>
      </c>
      <c r="E89">
        <v>5.8490000000000002</v>
      </c>
      <c r="F89">
        <v>7.09</v>
      </c>
      <c r="G89">
        <v>7.0830000000000002</v>
      </c>
      <c r="H89">
        <v>4.766</v>
      </c>
      <c r="I89">
        <v>2.1429999999999998</v>
      </c>
      <c r="J89">
        <v>1.026</v>
      </c>
      <c r="K89">
        <v>0.50239999999999996</v>
      </c>
      <c r="L89">
        <v>0.44869999999999999</v>
      </c>
      <c r="M89">
        <v>0.31850000000000001</v>
      </c>
    </row>
    <row r="90" spans="1:24" x14ac:dyDescent="0.25">
      <c r="A90" t="s">
        <v>840</v>
      </c>
      <c r="B90">
        <v>4.9000000000000002E-2</v>
      </c>
      <c r="C90">
        <v>4.6459999999999999</v>
      </c>
      <c r="D90">
        <v>3.8660000000000001</v>
      </c>
      <c r="E90">
        <v>3.7450000000000001</v>
      </c>
      <c r="F90">
        <v>4.24</v>
      </c>
      <c r="G90">
        <v>3.9580000000000002</v>
      </c>
      <c r="H90">
        <v>1.337</v>
      </c>
      <c r="I90">
        <v>0.76279999999999992</v>
      </c>
      <c r="J90">
        <v>0.50670000000000004</v>
      </c>
      <c r="K90">
        <v>0.30410000000000004</v>
      </c>
    </row>
    <row r="91" spans="1:24" x14ac:dyDescent="0.25">
      <c r="A91" t="s">
        <v>841</v>
      </c>
      <c r="B91">
        <v>0.1113</v>
      </c>
      <c r="C91">
        <v>0.38889999999999997</v>
      </c>
      <c r="D91">
        <v>0.57940000000000003</v>
      </c>
      <c r="E91">
        <v>0.52390000000000003</v>
      </c>
      <c r="F91">
        <v>0.51870000000000005</v>
      </c>
      <c r="G91">
        <v>0.37519999999999998</v>
      </c>
      <c r="H91">
        <v>0.19490000000000002</v>
      </c>
      <c r="I91">
        <v>8.7800000000000003E-2</v>
      </c>
      <c r="J91">
        <v>4.0500000000000001E-2</v>
      </c>
      <c r="K91">
        <v>2.0500000000000001E-2</v>
      </c>
      <c r="L91">
        <v>1.3599999999999999E-2</v>
      </c>
      <c r="M91">
        <v>8.0999999999999996E-3</v>
      </c>
      <c r="N91">
        <v>6.7000000000000002E-3</v>
      </c>
      <c r="O91">
        <v>6.7000000000000002E-3</v>
      </c>
      <c r="P91">
        <v>5.9000000000000007E-3</v>
      </c>
      <c r="Q91">
        <v>5.9000000000000007E-3</v>
      </c>
      <c r="R91">
        <v>7.1999999999999998E-3</v>
      </c>
    </row>
    <row r="92" spans="1:24" x14ac:dyDescent="0.25">
      <c r="A92" t="s">
        <v>842</v>
      </c>
      <c r="B92">
        <v>1.016</v>
      </c>
      <c r="C92">
        <v>1.111</v>
      </c>
      <c r="D92">
        <v>0.69029999999999991</v>
      </c>
      <c r="E92">
        <v>0.51149999999999995</v>
      </c>
      <c r="F92">
        <v>0.53910000000000002</v>
      </c>
      <c r="G92">
        <v>0.58120000000000005</v>
      </c>
      <c r="H92">
        <v>0.40810000000000002</v>
      </c>
      <c r="I92">
        <v>0.25209999999999999</v>
      </c>
    </row>
    <row r="93" spans="1:24" x14ac:dyDescent="0.25">
      <c r="A93" t="s">
        <v>843</v>
      </c>
      <c r="B93">
        <v>0.11899999999999999</v>
      </c>
      <c r="C93">
        <v>24.481999999999999</v>
      </c>
      <c r="D93">
        <v>20.134</v>
      </c>
      <c r="E93">
        <v>10.571</v>
      </c>
      <c r="F93">
        <v>3.9540000000000002</v>
      </c>
      <c r="G93">
        <v>3.3519999999999999</v>
      </c>
      <c r="H93">
        <v>3.9950000000000001</v>
      </c>
      <c r="I93">
        <v>3.51</v>
      </c>
      <c r="J93">
        <v>2.7730000000000001</v>
      </c>
      <c r="K93">
        <v>2.2869999999999999</v>
      </c>
      <c r="L93">
        <v>1.4319999999999999</v>
      </c>
      <c r="M93">
        <v>0.96789999999999998</v>
      </c>
      <c r="N93">
        <v>0.55489999999999995</v>
      </c>
      <c r="O93">
        <v>0.34789999999999999</v>
      </c>
      <c r="P93">
        <v>0.20330000000000001</v>
      </c>
      <c r="Q93">
        <v>0.12969999999999998</v>
      </c>
      <c r="R93">
        <v>7.1199999999999999E-2</v>
      </c>
      <c r="S93">
        <v>5.4600000000000003E-2</v>
      </c>
      <c r="T93">
        <v>4.07E-2</v>
      </c>
      <c r="U93">
        <v>3.1699999999999999E-2</v>
      </c>
      <c r="V93">
        <v>2.8899999999999999E-2</v>
      </c>
      <c r="W93">
        <v>2.41E-2</v>
      </c>
      <c r="X93">
        <v>2.2100000000000002E-2</v>
      </c>
    </row>
    <row r="94" spans="1:24" x14ac:dyDescent="0.25">
      <c r="A94" t="s">
        <v>844</v>
      </c>
      <c r="B94">
        <v>3.3849999999999998</v>
      </c>
      <c r="C94">
        <v>1.736</v>
      </c>
      <c r="D94">
        <v>0.96</v>
      </c>
      <c r="E94">
        <v>0.57989999999999997</v>
      </c>
      <c r="F94">
        <v>0.53979999999999995</v>
      </c>
      <c r="G94">
        <v>0.44110000000000005</v>
      </c>
      <c r="H94">
        <v>0.28079999999999999</v>
      </c>
      <c r="I94">
        <v>0.1681</v>
      </c>
      <c r="J94">
        <v>0.13440000000000002</v>
      </c>
      <c r="K94">
        <v>0.10290000000000001</v>
      </c>
    </row>
    <row r="95" spans="1:24" x14ac:dyDescent="0.25">
      <c r="A95" t="s">
        <v>845</v>
      </c>
      <c r="B95">
        <v>0.88690000000000002</v>
      </c>
      <c r="C95">
        <v>1.5720000000000001</v>
      </c>
      <c r="D95">
        <v>0.48669999999999997</v>
      </c>
      <c r="E95">
        <v>0.40899999999999997</v>
      </c>
      <c r="F95">
        <v>0.3775</v>
      </c>
      <c r="G95">
        <v>0.29480000000000001</v>
      </c>
      <c r="H95">
        <v>0.19400000000000001</v>
      </c>
      <c r="I95">
        <v>0.15580000000000002</v>
      </c>
      <c r="J95">
        <v>8.9700000000000002E-2</v>
      </c>
    </row>
    <row r="96" spans="1:24" x14ac:dyDescent="0.25">
      <c r="A96" t="s">
        <v>846</v>
      </c>
      <c r="B96">
        <v>1.3</v>
      </c>
      <c r="C96">
        <v>12.04</v>
      </c>
      <c r="D96">
        <v>11.773</v>
      </c>
      <c r="E96">
        <v>8.2460000000000004</v>
      </c>
      <c r="F96">
        <v>6.476</v>
      </c>
      <c r="G96">
        <v>7.5469999999999997</v>
      </c>
      <c r="H96">
        <v>6.67</v>
      </c>
      <c r="I96">
        <v>4.484</v>
      </c>
      <c r="J96">
        <v>1.7070000000000001</v>
      </c>
      <c r="K96">
        <v>0.94450000000000001</v>
      </c>
    </row>
    <row r="97" spans="1:19" x14ac:dyDescent="0.25">
      <c r="A97" t="s">
        <v>847</v>
      </c>
      <c r="B97">
        <v>0.52900000000000003</v>
      </c>
      <c r="C97">
        <v>1.94</v>
      </c>
      <c r="D97">
        <v>2.11</v>
      </c>
      <c r="E97">
        <v>1.29</v>
      </c>
      <c r="F97">
        <v>1.1599999999999999</v>
      </c>
      <c r="G97">
        <v>0.78700000000000003</v>
      </c>
      <c r="H97">
        <v>0.312</v>
      </c>
    </row>
    <row r="98" spans="1:19" x14ac:dyDescent="0.25">
      <c r="A98" t="s">
        <v>848</v>
      </c>
      <c r="B98">
        <v>2.09</v>
      </c>
      <c r="C98">
        <v>6.96</v>
      </c>
      <c r="D98">
        <v>5.99</v>
      </c>
      <c r="E98">
        <v>7.67</v>
      </c>
      <c r="F98">
        <v>9.27</v>
      </c>
      <c r="G98">
        <v>7.56</v>
      </c>
      <c r="H98">
        <v>3.29</v>
      </c>
      <c r="I98">
        <v>1.71</v>
      </c>
      <c r="J98">
        <v>0.65700000000000003</v>
      </c>
    </row>
    <row r="99" spans="1:19" x14ac:dyDescent="0.25">
      <c r="A99" t="s">
        <v>849</v>
      </c>
      <c r="B99">
        <v>2.536</v>
      </c>
      <c r="C99">
        <v>4.4800000000000004</v>
      </c>
      <c r="D99">
        <v>3.879</v>
      </c>
      <c r="E99">
        <v>2.552</v>
      </c>
      <c r="F99">
        <v>3.5009999999999999</v>
      </c>
      <c r="G99">
        <v>4.6900000000000004</v>
      </c>
      <c r="H99">
        <v>4.72</v>
      </c>
      <c r="I99">
        <v>3.1459999999999999</v>
      </c>
      <c r="J99">
        <v>1.7649999999999999</v>
      </c>
      <c r="K99">
        <v>0.90539999999999998</v>
      </c>
      <c r="L99">
        <v>0.48380000000000001</v>
      </c>
      <c r="M99">
        <v>0.25939999999999996</v>
      </c>
      <c r="N99">
        <v>0.13119999999999998</v>
      </c>
      <c r="O99">
        <v>7.2900000000000006E-2</v>
      </c>
      <c r="P99">
        <v>4.2299999999999997E-2</v>
      </c>
      <c r="Q99">
        <v>2.9399999999999999E-2</v>
      </c>
      <c r="R99">
        <v>2.1700000000000001E-2</v>
      </c>
      <c r="S99">
        <v>1.8200000000000001E-2</v>
      </c>
    </row>
    <row r="100" spans="1:19" x14ac:dyDescent="0.25">
      <c r="A100" t="s">
        <v>850</v>
      </c>
      <c r="B100">
        <v>0.23769999999999999</v>
      </c>
      <c r="C100">
        <v>0.18619999999999998</v>
      </c>
      <c r="D100">
        <v>0.109</v>
      </c>
      <c r="E100">
        <v>7.17E-2</v>
      </c>
      <c r="F100">
        <v>5.9200000000000003E-2</v>
      </c>
      <c r="G100">
        <v>4.1599999999999998E-2</v>
      </c>
      <c r="H100">
        <v>2.1899999999999999E-2</v>
      </c>
      <c r="I100">
        <v>9.4000000000000004E-3</v>
      </c>
      <c r="J100">
        <v>7.4000000000000003E-3</v>
      </c>
    </row>
    <row r="101" spans="1:19" x14ac:dyDescent="0.25">
      <c r="A101" t="s">
        <v>851</v>
      </c>
      <c r="B101">
        <v>0.31030000000000002</v>
      </c>
      <c r="C101">
        <v>1.752</v>
      </c>
      <c r="D101">
        <v>1.4690000000000001</v>
      </c>
      <c r="E101">
        <v>2.0379999999999998</v>
      </c>
      <c r="F101">
        <v>2.2010000000000001</v>
      </c>
      <c r="G101">
        <v>2.9630000000000001</v>
      </c>
      <c r="H101">
        <v>2.72</v>
      </c>
      <c r="I101">
        <v>2.0430000000000001</v>
      </c>
      <c r="J101">
        <v>1.3420000000000001</v>
      </c>
      <c r="K101">
        <v>0.38650000000000001</v>
      </c>
      <c r="L101">
        <v>9.9099999999999994E-2</v>
      </c>
    </row>
    <row r="102" spans="1:19" x14ac:dyDescent="0.25">
      <c r="A102" t="s">
        <v>852</v>
      </c>
      <c r="B102">
        <v>4.5919999999999996</v>
      </c>
      <c r="C102">
        <v>7.5940000000000003</v>
      </c>
      <c r="D102">
        <v>3.8119999999999998</v>
      </c>
      <c r="E102">
        <v>3.5190000000000001</v>
      </c>
      <c r="F102">
        <v>4.0780000000000003</v>
      </c>
      <c r="G102">
        <v>2.7240000000000002</v>
      </c>
      <c r="H102">
        <v>1.635</v>
      </c>
      <c r="I102">
        <v>0.86170000000000002</v>
      </c>
      <c r="J102">
        <v>0.52370000000000005</v>
      </c>
      <c r="K102">
        <v>0.50349999999999995</v>
      </c>
      <c r="L102">
        <v>0.6762999999999999</v>
      </c>
      <c r="M102">
        <v>0.4093</v>
      </c>
    </row>
    <row r="103" spans="1:19" x14ac:dyDescent="0.25">
      <c r="A103" t="s">
        <v>853</v>
      </c>
      <c r="B103">
        <v>1.1060000000000001</v>
      </c>
      <c r="C103">
        <v>1.861</v>
      </c>
      <c r="D103">
        <v>2.766</v>
      </c>
      <c r="E103">
        <v>0.94320000000000004</v>
      </c>
      <c r="F103">
        <v>0.89249999999999996</v>
      </c>
      <c r="G103">
        <v>0.97089999999999999</v>
      </c>
      <c r="H103">
        <v>0.73970000000000002</v>
      </c>
      <c r="I103">
        <v>0.43819999999999998</v>
      </c>
    </row>
    <row r="104" spans="1:19" x14ac:dyDescent="0.25">
      <c r="A104" t="s">
        <v>854</v>
      </c>
      <c r="B104">
        <v>0.2339</v>
      </c>
      <c r="C104">
        <v>0.53060000000000007</v>
      </c>
      <c r="D104">
        <v>2.2069999999999999</v>
      </c>
      <c r="E104">
        <v>1.4239999999999999</v>
      </c>
      <c r="F104">
        <v>1.111</v>
      </c>
      <c r="G104">
        <v>1.294</v>
      </c>
      <c r="H104">
        <v>1.516</v>
      </c>
      <c r="I104">
        <v>1.1579999999999999</v>
      </c>
    </row>
    <row r="105" spans="1:19" x14ac:dyDescent="0.25">
      <c r="A105" t="s">
        <v>855</v>
      </c>
      <c r="B105">
        <v>0.13009999999999999</v>
      </c>
      <c r="C105">
        <v>0.16700000000000001</v>
      </c>
      <c r="D105">
        <v>0.25080000000000002</v>
      </c>
      <c r="E105">
        <v>0.19590000000000002</v>
      </c>
      <c r="F105">
        <v>0.21049999999999999</v>
      </c>
      <c r="G105">
        <v>0.223</v>
      </c>
      <c r="H105">
        <v>0.1666</v>
      </c>
      <c r="I105">
        <v>9.240000000000001E-2</v>
      </c>
    </row>
    <row r="106" spans="1:19" x14ac:dyDescent="0.25">
      <c r="A106" t="s">
        <v>856</v>
      </c>
      <c r="B106">
        <v>1.155</v>
      </c>
      <c r="C106">
        <v>2.4510000000000001</v>
      </c>
      <c r="D106">
        <v>1.7949999999999999</v>
      </c>
      <c r="E106">
        <v>1.101</v>
      </c>
      <c r="F106">
        <v>0.8627999999999999</v>
      </c>
      <c r="G106">
        <v>0.63149999999999995</v>
      </c>
      <c r="H106">
        <v>0.44930000000000003</v>
      </c>
      <c r="I106">
        <v>0.2802</v>
      </c>
    </row>
    <row r="107" spans="1:19" x14ac:dyDescent="0.25">
      <c r="A107" t="s">
        <v>857</v>
      </c>
      <c r="B107">
        <v>1.54</v>
      </c>
      <c r="C107">
        <v>3.16</v>
      </c>
      <c r="D107">
        <v>2.41</v>
      </c>
      <c r="E107">
        <v>3.38</v>
      </c>
      <c r="F107">
        <v>3.09</v>
      </c>
      <c r="G107">
        <v>2</v>
      </c>
      <c r="H107">
        <v>0.63700000000000001</v>
      </c>
      <c r="I107">
        <v>0.22500000000000001</v>
      </c>
      <c r="J107">
        <v>0.115</v>
      </c>
      <c r="K107">
        <v>7.0999999999999994E-2</v>
      </c>
      <c r="L107">
        <v>5.0999999999999997E-2</v>
      </c>
      <c r="M107">
        <v>3.6999999999999998E-2</v>
      </c>
    </row>
    <row r="108" spans="1:19" x14ac:dyDescent="0.25">
      <c r="A108" t="s">
        <v>858</v>
      </c>
      <c r="B108">
        <v>0.28399999999999997</v>
      </c>
      <c r="C108">
        <v>0.76400000000000001</v>
      </c>
      <c r="D108">
        <v>0.73899999999999999</v>
      </c>
      <c r="E108">
        <v>0.495</v>
      </c>
      <c r="F108">
        <v>0.48899999999999999</v>
      </c>
      <c r="G108">
        <v>0.46700000000000003</v>
      </c>
      <c r="H108">
        <v>0.183</v>
      </c>
    </row>
    <row r="109" spans="1:19" x14ac:dyDescent="0.25">
      <c r="A109" t="s">
        <v>859</v>
      </c>
      <c r="B109">
        <v>0.26300000000000001</v>
      </c>
      <c r="C109">
        <v>0.36599999999999999</v>
      </c>
      <c r="D109">
        <v>0.93</v>
      </c>
      <c r="E109">
        <v>1.28</v>
      </c>
      <c r="F109">
        <v>1.01</v>
      </c>
      <c r="G109">
        <v>0.78400000000000003</v>
      </c>
      <c r="H109">
        <v>0.41299999999999998</v>
      </c>
      <c r="I109">
        <v>0.23699999999999999</v>
      </c>
      <c r="J109">
        <v>0.18099999999999999</v>
      </c>
      <c r="K109">
        <v>0.13900000000000001</v>
      </c>
    </row>
    <row r="110" spans="1:19" x14ac:dyDescent="0.25">
      <c r="A110" t="s">
        <v>860</v>
      </c>
      <c r="B110">
        <v>0.21199999999999999</v>
      </c>
      <c r="C110">
        <v>0.27600000000000002</v>
      </c>
      <c r="D110">
        <v>0.61199999999999999</v>
      </c>
      <c r="E110">
        <v>0.75700000000000001</v>
      </c>
      <c r="F110">
        <v>0.47899999999999998</v>
      </c>
      <c r="G110">
        <v>0.43</v>
      </c>
      <c r="H110">
        <v>0.39400000000000002</v>
      </c>
      <c r="I110">
        <v>0.22800000000000001</v>
      </c>
      <c r="J110">
        <v>0.125</v>
      </c>
    </row>
    <row r="111" spans="1:19" x14ac:dyDescent="0.25">
      <c r="A111" t="s">
        <v>861</v>
      </c>
      <c r="B111">
        <v>3.6</v>
      </c>
      <c r="C111">
        <v>14.44</v>
      </c>
      <c r="D111">
        <v>6.84</v>
      </c>
      <c r="E111">
        <v>7.14</v>
      </c>
      <c r="F111">
        <v>6.84</v>
      </c>
      <c r="G111">
        <v>5.49</v>
      </c>
      <c r="H111">
        <v>3.87</v>
      </c>
      <c r="I111">
        <v>2.2999999999999998</v>
      </c>
      <c r="J111">
        <v>1.54</v>
      </c>
      <c r="K111">
        <v>1.1499999999999999</v>
      </c>
      <c r="L111">
        <v>0.72699999999999998</v>
      </c>
      <c r="M111">
        <v>0.48199999999999998</v>
      </c>
      <c r="N111">
        <v>0.36399999999999999</v>
      </c>
      <c r="O111">
        <v>0.26700000000000002</v>
      </c>
      <c r="P111">
        <v>0.217</v>
      </c>
      <c r="Q111">
        <v>0.16</v>
      </c>
      <c r="R111">
        <v>0.14699999999999999</v>
      </c>
      <c r="S111">
        <v>0.14299999999999999</v>
      </c>
    </row>
    <row r="112" spans="1:19" x14ac:dyDescent="0.25">
      <c r="A112" t="s">
        <v>1578</v>
      </c>
      <c r="B112">
        <v>12.9</v>
      </c>
      <c r="C112">
        <v>6.94</v>
      </c>
      <c r="D112">
        <v>4.58</v>
      </c>
      <c r="E112">
        <v>2.93</v>
      </c>
      <c r="F112">
        <v>4.08</v>
      </c>
      <c r="G112">
        <v>3.72</v>
      </c>
      <c r="H112">
        <v>2.41</v>
      </c>
      <c r="I112">
        <v>0.67400000000000004</v>
      </c>
    </row>
    <row r="113" spans="1:15" x14ac:dyDescent="0.25">
      <c r="A113" t="s">
        <v>1579</v>
      </c>
      <c r="B113">
        <v>0.189</v>
      </c>
      <c r="C113">
        <v>0.46800000000000003</v>
      </c>
      <c r="D113">
        <v>0.32200000000000001</v>
      </c>
      <c r="E113">
        <v>0.23200000000000001</v>
      </c>
      <c r="F113">
        <v>0.24</v>
      </c>
      <c r="G113">
        <v>0.23100000000000001</v>
      </c>
      <c r="H113">
        <v>0.19900000000000001</v>
      </c>
      <c r="I113">
        <v>0.14599999999999999</v>
      </c>
      <c r="J113">
        <v>0.11</v>
      </c>
    </row>
    <row r="114" spans="1:15" x14ac:dyDescent="0.25">
      <c r="A114" t="s">
        <v>1580</v>
      </c>
      <c r="B114">
        <v>2.2400000000000002</v>
      </c>
      <c r="C114">
        <v>6.93</v>
      </c>
      <c r="D114">
        <v>7.01</v>
      </c>
      <c r="E114">
        <v>2.4900000000000002</v>
      </c>
      <c r="F114">
        <v>3.16</v>
      </c>
      <c r="G114">
        <v>3.82</v>
      </c>
      <c r="H114">
        <v>3.4</v>
      </c>
    </row>
    <row r="115" spans="1:15" x14ac:dyDescent="0.25">
      <c r="A115" t="s">
        <v>1581</v>
      </c>
      <c r="B115">
        <v>0.34499999999999997</v>
      </c>
      <c r="C115">
        <v>1.3</v>
      </c>
      <c r="D115">
        <v>0.89300000000000002</v>
      </c>
      <c r="E115">
        <v>0.75900000000000001</v>
      </c>
      <c r="F115">
        <v>1.02</v>
      </c>
    </row>
    <row r="116" spans="1:15" x14ac:dyDescent="0.25">
      <c r="A116" t="s">
        <v>1582</v>
      </c>
      <c r="B116">
        <v>9.6000000000000002E-2</v>
      </c>
      <c r="C116">
        <v>0.245</v>
      </c>
      <c r="D116">
        <v>0.63600000000000001</v>
      </c>
      <c r="E116">
        <v>0.47399999999999998</v>
      </c>
      <c r="F116">
        <v>0.61399999999999999</v>
      </c>
      <c r="G116">
        <v>0.628</v>
      </c>
      <c r="H116">
        <v>0.39</v>
      </c>
    </row>
    <row r="117" spans="1:15" x14ac:dyDescent="0.25">
      <c r="A117" t="s">
        <v>1583</v>
      </c>
      <c r="B117">
        <v>0.153</v>
      </c>
      <c r="C117">
        <v>0.155</v>
      </c>
      <c r="D117">
        <v>0.17399999999999999</v>
      </c>
      <c r="E117">
        <v>0.113</v>
      </c>
      <c r="F117">
        <v>0.114</v>
      </c>
      <c r="G117">
        <v>0.14199999999999999</v>
      </c>
      <c r="H117">
        <v>7.0000000000000007E-2</v>
      </c>
    </row>
    <row r="118" spans="1:15" x14ac:dyDescent="0.25">
      <c r="A118" t="s">
        <v>1584</v>
      </c>
      <c r="B118">
        <v>2.9000000000000001E-2</v>
      </c>
      <c r="C118">
        <v>3.1E-2</v>
      </c>
      <c r="D118">
        <v>3.5999999999999997E-2</v>
      </c>
    </row>
    <row r="119" spans="1:15" x14ac:dyDescent="0.25">
      <c r="A119" t="s">
        <v>1585</v>
      </c>
      <c r="B119">
        <v>1.78</v>
      </c>
      <c r="C119">
        <v>2.06</v>
      </c>
      <c r="D119">
        <v>2.17</v>
      </c>
      <c r="E119">
        <v>1.96</v>
      </c>
      <c r="F119">
        <v>1.67</v>
      </c>
      <c r="G119">
        <v>1.06</v>
      </c>
    </row>
    <row r="120" spans="1:15" x14ac:dyDescent="0.25">
      <c r="A120" t="s">
        <v>1586</v>
      </c>
      <c r="B120">
        <v>9.6000000000000002E-2</v>
      </c>
      <c r="C120">
        <v>0.38900000000000001</v>
      </c>
      <c r="D120">
        <v>0.79600000000000004</v>
      </c>
      <c r="E120">
        <v>0.436</v>
      </c>
      <c r="F120">
        <v>0.48699999999999999</v>
      </c>
      <c r="G120">
        <v>0.52100000000000002</v>
      </c>
    </row>
    <row r="121" spans="1:15" x14ac:dyDescent="0.25">
      <c r="A121" t="s">
        <v>1587</v>
      </c>
      <c r="B121">
        <v>18.239999999999998</v>
      </c>
      <c r="C121">
        <v>11.91</v>
      </c>
      <c r="D121">
        <v>8.33</v>
      </c>
      <c r="E121">
        <v>6.01</v>
      </c>
      <c r="F121">
        <v>5.64</v>
      </c>
      <c r="G121">
        <v>5.68</v>
      </c>
      <c r="H121">
        <v>5.45</v>
      </c>
      <c r="I121">
        <v>2.0699999999999998</v>
      </c>
    </row>
    <row r="122" spans="1:15" x14ac:dyDescent="0.25">
      <c r="A122" t="s">
        <v>1588</v>
      </c>
      <c r="B122">
        <v>3.87</v>
      </c>
      <c r="C122">
        <v>3.87</v>
      </c>
      <c r="D122">
        <v>2.9</v>
      </c>
      <c r="E122">
        <v>3.1</v>
      </c>
      <c r="F122">
        <v>2.38</v>
      </c>
      <c r="G122">
        <v>2.64</v>
      </c>
      <c r="H122">
        <v>2.4900000000000002</v>
      </c>
      <c r="I122">
        <v>0.01</v>
      </c>
      <c r="J122">
        <v>2.0299999999999998</v>
      </c>
    </row>
    <row r="123" spans="1:15" x14ac:dyDescent="0.25">
      <c r="A123" t="s">
        <v>1589</v>
      </c>
      <c r="B123">
        <v>2.83</v>
      </c>
      <c r="C123">
        <v>4.0999999999999996</v>
      </c>
      <c r="D123">
        <v>2.44</v>
      </c>
      <c r="E123">
        <v>1.68</v>
      </c>
      <c r="F123">
        <v>2.16</v>
      </c>
      <c r="G123">
        <v>2.87</v>
      </c>
      <c r="H123">
        <v>2.09</v>
      </c>
      <c r="I123">
        <v>0.99199999999999999</v>
      </c>
      <c r="J123">
        <v>0.45100000000000001</v>
      </c>
      <c r="K123">
        <v>0.20499999999999999</v>
      </c>
    </row>
    <row r="124" spans="1:15" x14ac:dyDescent="0.25">
      <c r="A124" t="s">
        <v>1590</v>
      </c>
      <c r="B124">
        <v>1.44</v>
      </c>
      <c r="C124">
        <v>2.0099999999999998</v>
      </c>
      <c r="D124">
        <v>1.7</v>
      </c>
      <c r="E124">
        <v>1.89</v>
      </c>
      <c r="F124">
        <v>1.72</v>
      </c>
      <c r="G124">
        <v>1.69</v>
      </c>
      <c r="H124">
        <v>0.73099999999999998</v>
      </c>
    </row>
    <row r="125" spans="1:15" x14ac:dyDescent="0.25">
      <c r="A125" t="s">
        <v>1591</v>
      </c>
      <c r="B125">
        <v>3.94</v>
      </c>
      <c r="C125">
        <v>10</v>
      </c>
      <c r="D125">
        <v>10.68</v>
      </c>
      <c r="E125">
        <v>7.18</v>
      </c>
      <c r="F125">
        <v>4.9800000000000004</v>
      </c>
      <c r="G125">
        <v>5.0999999999999996</v>
      </c>
      <c r="H125">
        <v>4.45</v>
      </c>
      <c r="I125">
        <v>3.22</v>
      </c>
      <c r="J125">
        <v>1.25</v>
      </c>
      <c r="K125">
        <v>0.74399999999999999</v>
      </c>
    </row>
    <row r="126" spans="1:15" x14ac:dyDescent="0.25">
      <c r="A126" t="s">
        <v>1592</v>
      </c>
      <c r="B126">
        <v>7.01</v>
      </c>
      <c r="C126">
        <v>5.27</v>
      </c>
      <c r="D126">
        <v>4.95</v>
      </c>
      <c r="E126">
        <v>3.43</v>
      </c>
      <c r="F126">
        <v>4.01</v>
      </c>
      <c r="G126">
        <v>4.7</v>
      </c>
      <c r="H126">
        <v>3.72</v>
      </c>
      <c r="I126">
        <v>3.06</v>
      </c>
    </row>
    <row r="127" spans="1:15" x14ac:dyDescent="0.25">
      <c r="A127" t="s">
        <v>1593</v>
      </c>
      <c r="B127">
        <v>11.24</v>
      </c>
      <c r="C127">
        <v>7.79</v>
      </c>
      <c r="D127">
        <v>5.03</v>
      </c>
      <c r="E127">
        <v>2.84</v>
      </c>
      <c r="F127">
        <v>3.69</v>
      </c>
      <c r="G127">
        <v>4.5599999999999996</v>
      </c>
      <c r="H127">
        <v>3.98</v>
      </c>
      <c r="I127">
        <v>2.27</v>
      </c>
      <c r="J127">
        <v>1.65</v>
      </c>
      <c r="K127">
        <v>1.5</v>
      </c>
      <c r="L127">
        <v>1.3</v>
      </c>
      <c r="M127">
        <v>1.1599999999999999</v>
      </c>
      <c r="N127">
        <v>0.71099999999999997</v>
      </c>
      <c r="O127">
        <v>0.54</v>
      </c>
    </row>
    <row r="128" spans="1:15" x14ac:dyDescent="0.25">
      <c r="A128" t="s">
        <v>1594</v>
      </c>
      <c r="B128">
        <v>28.39</v>
      </c>
      <c r="C128">
        <v>15.65</v>
      </c>
      <c r="D128">
        <v>9.9700000000000006</v>
      </c>
      <c r="E128">
        <v>2.66</v>
      </c>
      <c r="F128">
        <v>2.27</v>
      </c>
      <c r="G128">
        <v>1.76</v>
      </c>
      <c r="H128">
        <v>1.46</v>
      </c>
    </row>
    <row r="129" spans="1:11" x14ac:dyDescent="0.25">
      <c r="A129" t="s">
        <v>1595</v>
      </c>
      <c r="B129">
        <v>5.74</v>
      </c>
      <c r="C129">
        <v>8.74</v>
      </c>
      <c r="D129">
        <v>3.3</v>
      </c>
      <c r="E129">
        <v>3.26</v>
      </c>
      <c r="F129">
        <v>3.36</v>
      </c>
      <c r="G129">
        <v>3.01</v>
      </c>
      <c r="H129">
        <v>2.57</v>
      </c>
      <c r="I129">
        <v>1.29</v>
      </c>
      <c r="J129">
        <v>0.57899999999999996</v>
      </c>
      <c r="K129">
        <v>0.30499999999999999</v>
      </c>
    </row>
  </sheetData>
  <conditionalFormatting sqref="B1:X50 B52:X57 B59:X129">
    <cfRule type="expression" dxfId="10" priority="2">
      <formula>B1=MAX($B1:$X1)</formula>
    </cfRule>
  </conditionalFormatting>
  <conditionalFormatting sqref="B51:W51 B58:W58">
    <cfRule type="expression" dxfId="9" priority="7">
      <formula>B51=MAX($B51:$W51)</formula>
    </cfRule>
  </conditionalFormatting>
  <conditionalFormatting sqref="B1:X129">
    <cfRule type="expression" dxfId="8" priority="1">
      <formula>B1&gt;100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518B8-EFF0-48A5-A6DF-BB3DA6B834E9}">
  <dimension ref="A1:P102"/>
  <sheetViews>
    <sheetView tabSelected="1" topLeftCell="A76" workbookViewId="0">
      <selection activeCell="A82" sqref="A82:XFD82"/>
    </sheetView>
  </sheetViews>
  <sheetFormatPr defaultRowHeight="15" x14ac:dyDescent="0.25"/>
  <sheetData>
    <row r="1" spans="1:11" x14ac:dyDescent="0.25">
      <c r="A1" t="s">
        <v>8</v>
      </c>
      <c r="B1">
        <v>14.02</v>
      </c>
      <c r="C1">
        <v>32.72</v>
      </c>
      <c r="D1">
        <v>40.35</v>
      </c>
      <c r="E1">
        <v>57.8</v>
      </c>
      <c r="F1">
        <v>68.22</v>
      </c>
      <c r="G1">
        <v>82.07</v>
      </c>
      <c r="H1">
        <v>105.12</v>
      </c>
      <c r="I1">
        <v>130.03</v>
      </c>
    </row>
    <row r="2" spans="1:11" x14ac:dyDescent="0.25">
      <c r="A2" t="s">
        <v>9</v>
      </c>
      <c r="B2">
        <v>10.08</v>
      </c>
      <c r="C2">
        <v>15.55</v>
      </c>
      <c r="D2">
        <v>18.75</v>
      </c>
      <c r="E2">
        <v>34.07</v>
      </c>
      <c r="F2">
        <v>35.78</v>
      </c>
      <c r="G2">
        <v>46.78</v>
      </c>
      <c r="H2">
        <v>58.62</v>
      </c>
      <c r="I2">
        <v>81.25</v>
      </c>
    </row>
    <row r="3" spans="1:11" s="4" customFormat="1" x14ac:dyDescent="0.25">
      <c r="A3" s="4" t="s">
        <v>10</v>
      </c>
      <c r="B3" s="4">
        <v>7.75</v>
      </c>
      <c r="C3" s="4">
        <v>21.47</v>
      </c>
      <c r="D3" s="4">
        <v>34.25</v>
      </c>
      <c r="E3" s="4">
        <v>48.57</v>
      </c>
      <c r="F3" s="4">
        <v>71.62</v>
      </c>
      <c r="G3" s="4">
        <v>84.83</v>
      </c>
      <c r="H3" s="4">
        <v>95.75</v>
      </c>
    </row>
    <row r="4" spans="1:11" x14ac:dyDescent="0.25">
      <c r="A4" t="s">
        <v>11</v>
      </c>
      <c r="B4">
        <v>108.65</v>
      </c>
      <c r="C4">
        <v>119.45</v>
      </c>
      <c r="D4">
        <v>130.08000000000001</v>
      </c>
    </row>
    <row r="5" spans="1:11" x14ac:dyDescent="0.25">
      <c r="A5" t="s">
        <v>12</v>
      </c>
      <c r="B5">
        <v>18.28</v>
      </c>
      <c r="C5">
        <v>35.03</v>
      </c>
      <c r="D5">
        <v>58.37</v>
      </c>
      <c r="E5">
        <v>83.5</v>
      </c>
      <c r="F5">
        <v>105.38</v>
      </c>
      <c r="G5">
        <v>129.55000000000001</v>
      </c>
      <c r="H5">
        <v>153.97999999999999</v>
      </c>
      <c r="I5">
        <v>179.67</v>
      </c>
    </row>
    <row r="6" spans="1:11" x14ac:dyDescent="0.25">
      <c r="A6" t="s">
        <v>13</v>
      </c>
      <c r="B6">
        <v>9.92</v>
      </c>
      <c r="C6">
        <v>12.85</v>
      </c>
      <c r="D6">
        <v>21.2</v>
      </c>
      <c r="E6">
        <v>33.72</v>
      </c>
      <c r="F6">
        <v>58.48</v>
      </c>
      <c r="G6">
        <v>81.87</v>
      </c>
      <c r="H6">
        <v>106.55</v>
      </c>
    </row>
    <row r="7" spans="1:11" x14ac:dyDescent="0.25">
      <c r="A7" t="s">
        <v>14</v>
      </c>
      <c r="B7">
        <v>0.9</v>
      </c>
      <c r="C7">
        <v>8.7799999999999994</v>
      </c>
      <c r="D7">
        <v>17.12</v>
      </c>
      <c r="E7">
        <v>32.83</v>
      </c>
      <c r="F7">
        <v>56.5</v>
      </c>
      <c r="G7">
        <v>70.849999999999994</v>
      </c>
      <c r="H7">
        <v>80.319999999999993</v>
      </c>
    </row>
    <row r="8" spans="1:11" s="13" customFormat="1" x14ac:dyDescent="0.25">
      <c r="A8" s="13" t="s">
        <v>15</v>
      </c>
      <c r="B8" s="13">
        <v>54.08</v>
      </c>
      <c r="C8" s="13">
        <v>56.78</v>
      </c>
      <c r="D8" s="13">
        <v>65.12</v>
      </c>
      <c r="E8" s="13">
        <v>81.75</v>
      </c>
    </row>
    <row r="9" spans="1:11" x14ac:dyDescent="0.25">
      <c r="A9" t="s">
        <v>16</v>
      </c>
      <c r="B9">
        <v>109.3</v>
      </c>
      <c r="C9">
        <v>117.35</v>
      </c>
      <c r="D9">
        <v>129.28</v>
      </c>
      <c r="E9">
        <v>141.16999999999999</v>
      </c>
      <c r="F9">
        <v>153.02000000000001</v>
      </c>
      <c r="G9">
        <v>177.4</v>
      </c>
      <c r="H9">
        <v>201.87</v>
      </c>
    </row>
    <row r="10" spans="1:11" x14ac:dyDescent="0.25">
      <c r="A10" t="s">
        <v>17</v>
      </c>
      <c r="B10">
        <v>42.32</v>
      </c>
      <c r="C10">
        <v>57.48</v>
      </c>
      <c r="D10">
        <v>84.33</v>
      </c>
      <c r="E10">
        <v>89.78</v>
      </c>
      <c r="F10">
        <v>105.02</v>
      </c>
      <c r="G10">
        <v>129.5</v>
      </c>
      <c r="H10">
        <v>154.30000000000001</v>
      </c>
      <c r="I10">
        <v>177.15</v>
      </c>
      <c r="J10">
        <v>202.85</v>
      </c>
      <c r="K10">
        <v>226.48</v>
      </c>
    </row>
    <row r="11" spans="1:11" x14ac:dyDescent="0.25">
      <c r="A11" t="s">
        <v>18</v>
      </c>
      <c r="B11">
        <v>89.15</v>
      </c>
      <c r="C11">
        <v>106.3</v>
      </c>
      <c r="D11">
        <v>106.93</v>
      </c>
      <c r="E11">
        <v>129.91999999999999</v>
      </c>
    </row>
    <row r="12" spans="1:11" x14ac:dyDescent="0.25">
      <c r="A12" t="s">
        <v>19</v>
      </c>
      <c r="B12">
        <v>109.35</v>
      </c>
      <c r="C12">
        <v>129.52000000000001</v>
      </c>
      <c r="D12">
        <v>153.53</v>
      </c>
    </row>
    <row r="13" spans="1:11" x14ac:dyDescent="0.25">
      <c r="A13" t="s">
        <v>20</v>
      </c>
      <c r="B13">
        <v>10.35</v>
      </c>
      <c r="C13">
        <v>41.25</v>
      </c>
      <c r="D13">
        <v>57.15</v>
      </c>
      <c r="E13">
        <v>82.05</v>
      </c>
      <c r="F13">
        <v>106.48</v>
      </c>
      <c r="G13">
        <v>130.75</v>
      </c>
      <c r="H13">
        <v>153.28</v>
      </c>
      <c r="I13">
        <v>178.48</v>
      </c>
      <c r="J13">
        <v>201.88</v>
      </c>
    </row>
    <row r="14" spans="1:11" s="14" customFormat="1" x14ac:dyDescent="0.25">
      <c r="A14" s="14" t="s">
        <v>21</v>
      </c>
      <c r="B14" s="14">
        <v>17.57</v>
      </c>
      <c r="C14" s="14">
        <v>33.700000000000003</v>
      </c>
      <c r="D14" s="14">
        <v>58.83</v>
      </c>
      <c r="E14" s="14">
        <v>81.38</v>
      </c>
      <c r="F14" s="14">
        <v>105.87</v>
      </c>
      <c r="G14" s="14">
        <v>116.9</v>
      </c>
      <c r="H14" s="14">
        <v>130.12</v>
      </c>
    </row>
    <row r="15" spans="1:11" x14ac:dyDescent="0.25">
      <c r="A15" t="s">
        <v>22</v>
      </c>
      <c r="B15">
        <v>23.45</v>
      </c>
      <c r="C15">
        <v>34.1</v>
      </c>
      <c r="D15">
        <v>58.28</v>
      </c>
      <c r="E15">
        <v>66.52</v>
      </c>
      <c r="F15">
        <v>80.78</v>
      </c>
      <c r="G15">
        <v>105.88</v>
      </c>
      <c r="H15">
        <v>128.52000000000001</v>
      </c>
      <c r="I15">
        <v>138.19999999999999</v>
      </c>
      <c r="J15">
        <v>152.72999999999999</v>
      </c>
      <c r="K15">
        <v>179.1</v>
      </c>
    </row>
    <row r="16" spans="1:11" s="15" customFormat="1" x14ac:dyDescent="0.25">
      <c r="A16" s="15" t="s">
        <v>23</v>
      </c>
      <c r="B16" s="15">
        <v>114.22</v>
      </c>
      <c r="C16" s="15">
        <v>129.72</v>
      </c>
      <c r="D16" s="15">
        <v>129.94999999999999</v>
      </c>
      <c r="E16" s="15">
        <v>153.87</v>
      </c>
      <c r="F16" s="15">
        <v>178.28</v>
      </c>
    </row>
    <row r="17" spans="1:9" x14ac:dyDescent="0.25">
      <c r="A17" t="s">
        <v>24</v>
      </c>
      <c r="B17">
        <v>26.63</v>
      </c>
      <c r="C17">
        <v>34.520000000000003</v>
      </c>
      <c r="D17">
        <v>40.28</v>
      </c>
      <c r="E17">
        <v>60.4</v>
      </c>
      <c r="F17">
        <v>81.5</v>
      </c>
      <c r="G17">
        <v>106.45</v>
      </c>
      <c r="H17">
        <v>113.57</v>
      </c>
    </row>
    <row r="18" spans="1:9" x14ac:dyDescent="0.25">
      <c r="A18" t="s">
        <v>25</v>
      </c>
      <c r="B18">
        <v>107.67</v>
      </c>
      <c r="C18">
        <v>118.62</v>
      </c>
      <c r="D18">
        <v>129.47999999999999</v>
      </c>
      <c r="E18">
        <v>155.58000000000001</v>
      </c>
    </row>
    <row r="19" spans="1:9" x14ac:dyDescent="0.25">
      <c r="A19" t="s">
        <v>26</v>
      </c>
      <c r="B19">
        <v>17.77</v>
      </c>
      <c r="C19">
        <v>33.83</v>
      </c>
      <c r="D19">
        <v>56.72</v>
      </c>
      <c r="E19">
        <v>81.599999999999994</v>
      </c>
      <c r="F19">
        <v>105.43</v>
      </c>
      <c r="G19">
        <v>128.43</v>
      </c>
    </row>
    <row r="20" spans="1:9" s="16" customFormat="1" x14ac:dyDescent="0.25">
      <c r="A20" s="16" t="s">
        <v>27</v>
      </c>
      <c r="B20" s="16">
        <v>18.5</v>
      </c>
      <c r="C20" s="16">
        <v>33</v>
      </c>
      <c r="D20" s="16">
        <v>57.15</v>
      </c>
      <c r="E20" s="16">
        <v>81.5</v>
      </c>
      <c r="F20" s="16">
        <v>106.27</v>
      </c>
    </row>
    <row r="21" spans="1:9" x14ac:dyDescent="0.25">
      <c r="A21" t="s">
        <v>28</v>
      </c>
      <c r="B21">
        <v>38.53</v>
      </c>
      <c r="C21">
        <v>43.82</v>
      </c>
      <c r="D21">
        <v>57.87</v>
      </c>
      <c r="E21">
        <v>82.85</v>
      </c>
      <c r="F21">
        <v>106.47</v>
      </c>
    </row>
    <row r="22" spans="1:9" x14ac:dyDescent="0.25">
      <c r="A22" t="s">
        <v>29</v>
      </c>
      <c r="B22">
        <v>14.77</v>
      </c>
      <c r="C22">
        <v>17.649999999999999</v>
      </c>
      <c r="D22">
        <v>34.049999999999997</v>
      </c>
      <c r="E22">
        <v>58.5</v>
      </c>
      <c r="F22">
        <v>82.13</v>
      </c>
      <c r="G22">
        <v>105.25</v>
      </c>
      <c r="H22">
        <v>129.78</v>
      </c>
      <c r="I22">
        <v>154.47</v>
      </c>
    </row>
    <row r="23" spans="1:9" x14ac:dyDescent="0.25">
      <c r="A23" t="s">
        <v>30</v>
      </c>
      <c r="B23">
        <v>85.97</v>
      </c>
      <c r="C23">
        <v>105.75</v>
      </c>
      <c r="D23">
        <v>130.02000000000001</v>
      </c>
      <c r="E23">
        <v>154.18</v>
      </c>
    </row>
    <row r="24" spans="1:9" x14ac:dyDescent="0.25">
      <c r="A24" t="s">
        <v>31</v>
      </c>
      <c r="B24">
        <v>36.07</v>
      </c>
      <c r="C24">
        <v>57.92</v>
      </c>
      <c r="D24">
        <v>67.819999999999993</v>
      </c>
      <c r="E24">
        <v>81.680000000000007</v>
      </c>
      <c r="F24">
        <v>106.42</v>
      </c>
    </row>
    <row r="25" spans="1:9" x14ac:dyDescent="0.25">
      <c r="A25" t="s">
        <v>33</v>
      </c>
      <c r="B25">
        <v>17.02</v>
      </c>
      <c r="C25">
        <v>23.48</v>
      </c>
      <c r="D25">
        <v>35.08</v>
      </c>
      <c r="E25">
        <v>57.8</v>
      </c>
      <c r="F25">
        <v>84.37</v>
      </c>
      <c r="G25">
        <v>106.42</v>
      </c>
    </row>
    <row r="26" spans="1:9" x14ac:dyDescent="0.25">
      <c r="A26" t="s">
        <v>34</v>
      </c>
      <c r="B26">
        <v>23.63</v>
      </c>
      <c r="C26">
        <v>31.87</v>
      </c>
      <c r="D26">
        <v>37.35</v>
      </c>
      <c r="E26">
        <v>58.88</v>
      </c>
      <c r="F26">
        <v>66.62</v>
      </c>
      <c r="G26">
        <v>81.48</v>
      </c>
      <c r="H26">
        <v>105.77</v>
      </c>
      <c r="I26">
        <v>129.57</v>
      </c>
    </row>
    <row r="27" spans="1:9" x14ac:dyDescent="0.25">
      <c r="A27" t="s">
        <v>35</v>
      </c>
      <c r="B27">
        <v>37.380000000000003</v>
      </c>
      <c r="C27">
        <v>41.35</v>
      </c>
      <c r="D27">
        <v>59.72</v>
      </c>
      <c r="E27">
        <v>82.47</v>
      </c>
      <c r="F27">
        <v>108.37</v>
      </c>
      <c r="G27">
        <v>129.80000000000001</v>
      </c>
      <c r="H27">
        <v>154.08000000000001</v>
      </c>
      <c r="I27">
        <v>177.8</v>
      </c>
    </row>
    <row r="28" spans="1:9" x14ac:dyDescent="0.25">
      <c r="A28" t="s">
        <v>36</v>
      </c>
      <c r="B28">
        <v>65.55</v>
      </c>
      <c r="C28">
        <v>85.38</v>
      </c>
      <c r="D28">
        <v>88.65</v>
      </c>
      <c r="E28">
        <v>105.88</v>
      </c>
      <c r="F28">
        <v>130.4</v>
      </c>
      <c r="G28">
        <v>154.18</v>
      </c>
      <c r="H28">
        <v>202.42</v>
      </c>
    </row>
    <row r="29" spans="1:9" x14ac:dyDescent="0.25">
      <c r="A29" t="s">
        <v>38</v>
      </c>
      <c r="B29">
        <v>3.37</v>
      </c>
      <c r="C29">
        <v>8.2799999999999994</v>
      </c>
      <c r="D29">
        <v>20.75</v>
      </c>
      <c r="E29">
        <v>44.6</v>
      </c>
      <c r="F29">
        <v>67.400000000000006</v>
      </c>
      <c r="G29">
        <v>91.07</v>
      </c>
      <c r="H29">
        <v>116.55</v>
      </c>
    </row>
    <row r="30" spans="1:9" x14ac:dyDescent="0.25">
      <c r="A30" t="s">
        <v>39</v>
      </c>
      <c r="B30">
        <v>134.22999999999999</v>
      </c>
      <c r="C30">
        <v>137.83000000000001</v>
      </c>
      <c r="D30">
        <v>143.33000000000001</v>
      </c>
      <c r="E30">
        <v>154.35</v>
      </c>
      <c r="F30">
        <v>177.37</v>
      </c>
      <c r="G30">
        <v>203.28</v>
      </c>
      <c r="H30">
        <v>225.68</v>
      </c>
    </row>
    <row r="31" spans="1:9" x14ac:dyDescent="0.25">
      <c r="A31" t="s">
        <v>41</v>
      </c>
      <c r="B31">
        <v>87.02</v>
      </c>
      <c r="C31">
        <v>93.83</v>
      </c>
      <c r="D31">
        <v>105.33</v>
      </c>
      <c r="E31">
        <v>129.5</v>
      </c>
      <c r="F31">
        <v>137.83000000000001</v>
      </c>
      <c r="G31">
        <v>153.88</v>
      </c>
      <c r="H31">
        <v>177.37</v>
      </c>
      <c r="I31">
        <v>202.1</v>
      </c>
    </row>
    <row r="32" spans="1:9" x14ac:dyDescent="0.25">
      <c r="A32" t="s">
        <v>43</v>
      </c>
      <c r="B32">
        <v>31.65</v>
      </c>
      <c r="C32">
        <v>36.450000000000003</v>
      </c>
      <c r="D32">
        <v>49.52</v>
      </c>
      <c r="E32">
        <v>71.7</v>
      </c>
      <c r="F32">
        <v>73.05</v>
      </c>
    </row>
    <row r="33" spans="1:13" x14ac:dyDescent="0.25">
      <c r="A33" t="s">
        <v>44</v>
      </c>
      <c r="B33">
        <v>43.95</v>
      </c>
      <c r="C33">
        <v>58.08</v>
      </c>
      <c r="D33">
        <v>64.77</v>
      </c>
      <c r="E33">
        <v>81.069999999999993</v>
      </c>
      <c r="F33">
        <v>106.9</v>
      </c>
    </row>
    <row r="34" spans="1:13" x14ac:dyDescent="0.25">
      <c r="A34" t="s">
        <v>45</v>
      </c>
      <c r="B34">
        <v>18.02</v>
      </c>
      <c r="C34">
        <v>23.05</v>
      </c>
      <c r="D34">
        <v>35.049999999999997</v>
      </c>
      <c r="E34">
        <v>57.35</v>
      </c>
    </row>
    <row r="35" spans="1:13" x14ac:dyDescent="0.25">
      <c r="A35" t="s">
        <v>46</v>
      </c>
      <c r="B35">
        <v>35.75</v>
      </c>
      <c r="C35">
        <v>43.27</v>
      </c>
      <c r="D35">
        <v>57.92</v>
      </c>
      <c r="E35">
        <v>82.18</v>
      </c>
      <c r="F35">
        <v>105.33</v>
      </c>
    </row>
    <row r="36" spans="1:13" x14ac:dyDescent="0.25">
      <c r="A36" t="s">
        <v>63</v>
      </c>
      <c r="B36">
        <v>4.3333333333139308</v>
      </c>
      <c r="C36">
        <v>9.933333333407063</v>
      </c>
      <c r="D36">
        <v>19.650000000139698</v>
      </c>
      <c r="E36">
        <v>29.283333333441988</v>
      </c>
      <c r="F36">
        <v>43.599999999976717</v>
      </c>
      <c r="G36">
        <v>67.933333333348855</v>
      </c>
      <c r="L36" s="1"/>
    </row>
    <row r="37" spans="1:13" x14ac:dyDescent="0.25">
      <c r="A37" t="s">
        <v>64</v>
      </c>
      <c r="B37">
        <v>47.566666666651145</v>
      </c>
      <c r="C37">
        <v>57.083333333255723</v>
      </c>
      <c r="D37">
        <v>66.883333333244082</v>
      </c>
      <c r="E37">
        <v>92.183333333290648</v>
      </c>
      <c r="L37" s="1"/>
    </row>
    <row r="38" spans="1:13" x14ac:dyDescent="0.25">
      <c r="A38" t="s">
        <v>65</v>
      </c>
      <c r="B38">
        <v>96.316666666651145</v>
      </c>
      <c r="C38">
        <v>106.81666666665114</v>
      </c>
      <c r="D38">
        <v>118.56666666670935</v>
      </c>
      <c r="E38">
        <v>142.3666666665813</v>
      </c>
      <c r="F38">
        <v>165.81666666670935</v>
      </c>
      <c r="L38" s="1"/>
    </row>
    <row r="39" spans="1:13" x14ac:dyDescent="0.25">
      <c r="A39" t="s">
        <v>66</v>
      </c>
      <c r="B39">
        <v>4.4000000000232831</v>
      </c>
      <c r="C39">
        <v>21.75</v>
      </c>
      <c r="D39">
        <v>34.983333333337214</v>
      </c>
      <c r="E39">
        <v>45.233333333395422</v>
      </c>
      <c r="F39">
        <v>69.566666666592937</v>
      </c>
      <c r="G39">
        <v>94.749999999941792</v>
      </c>
      <c r="L39" s="1"/>
    </row>
    <row r="40" spans="1:13" x14ac:dyDescent="0.25">
      <c r="A40" t="s">
        <v>67</v>
      </c>
      <c r="B40">
        <v>10.983333333337214</v>
      </c>
      <c r="C40">
        <v>22.716666666674428</v>
      </c>
      <c r="D40">
        <v>35.750000000058208</v>
      </c>
      <c r="E40">
        <v>45.116666666697711</v>
      </c>
      <c r="F40">
        <v>70.166666666627862</v>
      </c>
      <c r="G40">
        <v>75.766666666720994</v>
      </c>
      <c r="H40">
        <v>94.083333333372138</v>
      </c>
      <c r="I40">
        <v>100.5</v>
      </c>
      <c r="J40">
        <v>118.93333333334886</v>
      </c>
      <c r="L40" s="1"/>
    </row>
    <row r="41" spans="1:13" x14ac:dyDescent="0.25">
      <c r="A41" t="s">
        <v>68</v>
      </c>
      <c r="B41">
        <v>6.2999999999301508</v>
      </c>
      <c r="C41">
        <v>22.383333333302289</v>
      </c>
      <c r="D41">
        <v>29.050000000046566</v>
      </c>
      <c r="E41">
        <v>44.916666666744277</v>
      </c>
      <c r="F41">
        <v>69.733333333279006</v>
      </c>
      <c r="G41">
        <v>92.499999999941792</v>
      </c>
      <c r="H41">
        <v>116.58333333337214</v>
      </c>
      <c r="I41">
        <v>142.35000000003492</v>
      </c>
      <c r="L41" s="1"/>
    </row>
    <row r="42" spans="1:13" x14ac:dyDescent="0.25">
      <c r="A42" t="s">
        <v>69</v>
      </c>
      <c r="B42">
        <v>0.16666666668606922</v>
      </c>
      <c r="C42">
        <v>12.600000000034925</v>
      </c>
      <c r="D42">
        <v>21.849999999976717</v>
      </c>
      <c r="E42">
        <v>46.083333333372138</v>
      </c>
      <c r="F42">
        <v>52.5</v>
      </c>
      <c r="G42">
        <v>71.083333333313931</v>
      </c>
      <c r="L42" s="1"/>
    </row>
    <row r="43" spans="1:13" x14ac:dyDescent="0.25">
      <c r="A43" t="s">
        <v>70</v>
      </c>
      <c r="B43">
        <v>2.8833333333022892</v>
      </c>
      <c r="C43">
        <v>766.98333333333721</v>
      </c>
      <c r="D43">
        <v>778.26666666660458</v>
      </c>
      <c r="E43">
        <v>790.74999999994179</v>
      </c>
      <c r="F43">
        <v>814.40000000002328</v>
      </c>
      <c r="G43">
        <v>837.51666666660458</v>
      </c>
      <c r="L43" s="1"/>
    </row>
    <row r="44" spans="1:13" x14ac:dyDescent="0.25">
      <c r="A44" t="s">
        <v>71</v>
      </c>
      <c r="B44">
        <v>3.7999999999883585</v>
      </c>
      <c r="C44">
        <v>10.350000000034925</v>
      </c>
      <c r="D44">
        <v>21.75</v>
      </c>
      <c r="E44">
        <v>44.599999999918509</v>
      </c>
      <c r="F44">
        <v>70.049999999930151</v>
      </c>
      <c r="L44" s="1"/>
    </row>
    <row r="45" spans="1:13" x14ac:dyDescent="0.25">
      <c r="A45" t="s">
        <v>72</v>
      </c>
      <c r="B45">
        <v>48.28333333338378</v>
      </c>
      <c r="C45">
        <v>70.483333333279006</v>
      </c>
      <c r="D45">
        <v>81.799999999988358</v>
      </c>
      <c r="E45">
        <v>94.03333333338378</v>
      </c>
      <c r="F45">
        <v>118.43333333329065</v>
      </c>
      <c r="G45">
        <v>127.96666666661622</v>
      </c>
      <c r="H45">
        <v>142.25000000005821</v>
      </c>
      <c r="I45">
        <v>165.23333333339542</v>
      </c>
      <c r="J45">
        <v>189.86666666669771</v>
      </c>
      <c r="K45">
        <v>214.31666666659294</v>
      </c>
      <c r="L45" s="1">
        <v>239.58333333337214</v>
      </c>
      <c r="M45">
        <v>262.18333333334886</v>
      </c>
    </row>
    <row r="46" spans="1:13" x14ac:dyDescent="0.25">
      <c r="A46" t="s">
        <v>73</v>
      </c>
      <c r="B46">
        <v>47.733333333337214</v>
      </c>
      <c r="C46">
        <v>69.583333333313931</v>
      </c>
      <c r="D46">
        <v>94.483333333279006</v>
      </c>
      <c r="E46">
        <v>101.46666666667443</v>
      </c>
      <c r="F46">
        <v>118.64999999996508</v>
      </c>
      <c r="G46">
        <v>142.76666666666279</v>
      </c>
      <c r="H46">
        <v>167.25</v>
      </c>
      <c r="I46">
        <v>214.38333333330229</v>
      </c>
      <c r="J46">
        <v>239.88333333330229</v>
      </c>
      <c r="K46">
        <v>262.21666666661622</v>
      </c>
      <c r="L46" s="1"/>
    </row>
    <row r="47" spans="1:13" x14ac:dyDescent="0.25">
      <c r="A47" t="s">
        <v>74</v>
      </c>
      <c r="B47">
        <v>26.133333333302289</v>
      </c>
      <c r="C47">
        <v>32.316666666709352</v>
      </c>
      <c r="D47">
        <v>42.46666666661622</v>
      </c>
      <c r="E47">
        <v>65.966666666732635</v>
      </c>
      <c r="F47">
        <v>90.366666666639503</v>
      </c>
      <c r="G47">
        <v>98.983333333279006</v>
      </c>
      <c r="H47">
        <v>115.08333333337214</v>
      </c>
      <c r="I47">
        <v>139.48333333327901</v>
      </c>
      <c r="J47">
        <v>164.29999999998836</v>
      </c>
      <c r="K47">
        <v>187.78333333338378</v>
      </c>
      <c r="L47" s="1"/>
    </row>
    <row r="48" spans="1:13" x14ac:dyDescent="0.25">
      <c r="A48" t="s">
        <v>75</v>
      </c>
      <c r="B48">
        <v>217.56666666670935</v>
      </c>
      <c r="C48">
        <v>222.18333333340706</v>
      </c>
      <c r="D48">
        <v>237.99999999994179</v>
      </c>
      <c r="E48">
        <v>262.31666666659294</v>
      </c>
      <c r="F48">
        <v>285.33333333337214</v>
      </c>
      <c r="G48">
        <v>298.1333333333605</v>
      </c>
      <c r="H48">
        <v>309.51666666660458</v>
      </c>
      <c r="I48">
        <v>334.96666666661622</v>
      </c>
      <c r="L48" s="1"/>
    </row>
    <row r="49" spans="1:13" x14ac:dyDescent="0.25">
      <c r="A49" t="s">
        <v>76</v>
      </c>
      <c r="B49">
        <v>28.566666666709352</v>
      </c>
      <c r="C49">
        <v>45.383333333360497</v>
      </c>
      <c r="D49">
        <v>54.116666666697711</v>
      </c>
      <c r="E49">
        <v>46.5</v>
      </c>
      <c r="F49">
        <v>70.583333333255723</v>
      </c>
      <c r="G49">
        <v>93.116666666697711</v>
      </c>
      <c r="H49">
        <v>117.28333333338378</v>
      </c>
      <c r="I49">
        <v>142.04999999993015</v>
      </c>
      <c r="L49" s="1"/>
    </row>
    <row r="50" spans="1:13" x14ac:dyDescent="0.25">
      <c r="A50" t="s">
        <v>77</v>
      </c>
      <c r="B50">
        <v>147.89999999996508</v>
      </c>
      <c r="C50">
        <v>154.04999999993015</v>
      </c>
      <c r="D50">
        <v>166.8833333333605</v>
      </c>
      <c r="E50">
        <v>189.68333333329065</v>
      </c>
      <c r="F50">
        <v>213.8833333334187</v>
      </c>
      <c r="G50">
        <v>238.03333333338378</v>
      </c>
      <c r="H50">
        <v>264.93333333340706</v>
      </c>
      <c r="I50">
        <v>287.25</v>
      </c>
      <c r="L50" s="1"/>
    </row>
    <row r="51" spans="1:13" x14ac:dyDescent="0.25">
      <c r="A51" t="s">
        <v>78</v>
      </c>
      <c r="B51">
        <v>33.433333333348855</v>
      </c>
      <c r="C51">
        <v>45.516666666604578</v>
      </c>
      <c r="D51">
        <v>53.883333333302289</v>
      </c>
      <c r="E51">
        <v>70.150000000081491</v>
      </c>
      <c r="F51">
        <v>77.416666666686069</v>
      </c>
      <c r="G51">
        <v>93.533333333325572</v>
      </c>
      <c r="H51">
        <v>118.1166666666395</v>
      </c>
      <c r="I51">
        <v>127.40000000002328</v>
      </c>
      <c r="J51">
        <v>142.23333333333721</v>
      </c>
      <c r="K51">
        <v>149.80000000004657</v>
      </c>
      <c r="L51" s="1">
        <v>166.1166666666395</v>
      </c>
      <c r="M51">
        <v>191.39999999996508</v>
      </c>
    </row>
    <row r="52" spans="1:13" x14ac:dyDescent="0.25">
      <c r="A52" t="s">
        <v>79</v>
      </c>
      <c r="B52">
        <v>2.6333333333604969</v>
      </c>
      <c r="C52">
        <v>18.75</v>
      </c>
      <c r="D52">
        <v>23.566666666651145</v>
      </c>
      <c r="E52">
        <v>41.650000000081491</v>
      </c>
      <c r="F52">
        <v>65.883333333302289</v>
      </c>
      <c r="G52">
        <v>90.183333333407063</v>
      </c>
      <c r="H52">
        <v>115.08333333337214</v>
      </c>
      <c r="L52" s="1"/>
    </row>
    <row r="53" spans="1:13" x14ac:dyDescent="0.25">
      <c r="A53" t="s">
        <v>80</v>
      </c>
      <c r="B53">
        <v>174.1333333334187</v>
      </c>
      <c r="C53">
        <v>169.53333333326736</v>
      </c>
      <c r="D53">
        <v>191.25</v>
      </c>
      <c r="E53">
        <v>213.23333333339542</v>
      </c>
      <c r="F53">
        <v>222.18333333340706</v>
      </c>
      <c r="G53">
        <v>237.86666666669771</v>
      </c>
      <c r="H53">
        <v>262.31666666659294</v>
      </c>
      <c r="I53">
        <v>285.76666666672099</v>
      </c>
      <c r="L53" s="1"/>
    </row>
    <row r="54" spans="1:13" x14ac:dyDescent="0.25">
      <c r="A54" t="s">
        <v>81</v>
      </c>
      <c r="B54">
        <v>14.699999999895226</v>
      </c>
      <c r="C54">
        <v>31.249999999883585</v>
      </c>
      <c r="D54">
        <v>41.71666666661622</v>
      </c>
      <c r="E54">
        <v>56.083333333313931</v>
      </c>
      <c r="F54">
        <v>80.866666666581295</v>
      </c>
      <c r="G54">
        <v>103.83333333319752</v>
      </c>
      <c r="H54">
        <v>129.21666666667443</v>
      </c>
      <c r="L54" s="1"/>
    </row>
    <row r="55" spans="1:13" x14ac:dyDescent="0.25">
      <c r="A55" t="s">
        <v>82</v>
      </c>
      <c r="B55">
        <v>4.0666666666511446</v>
      </c>
      <c r="C55">
        <v>5.4666666666744277</v>
      </c>
      <c r="D55">
        <v>31.316666666592937</v>
      </c>
      <c r="E55">
        <v>54.083333333255723</v>
      </c>
      <c r="F55">
        <v>79.533333333267365</v>
      </c>
      <c r="G55">
        <v>102.33333333337214</v>
      </c>
      <c r="H55">
        <v>116.8666666665813</v>
      </c>
      <c r="I55">
        <v>126.56666666659294</v>
      </c>
      <c r="J55">
        <v>151.69999999995343</v>
      </c>
      <c r="K55">
        <v>175.09999999991851</v>
      </c>
      <c r="L55" s="1"/>
    </row>
    <row r="56" spans="1:13" x14ac:dyDescent="0.25">
      <c r="A56" t="s">
        <v>83</v>
      </c>
      <c r="B56">
        <v>57.383333333360497</v>
      </c>
      <c r="C56">
        <v>78.333333333372138</v>
      </c>
      <c r="D56">
        <v>92.866666666581295</v>
      </c>
      <c r="E56">
        <v>102.60000000003492</v>
      </c>
      <c r="F56">
        <v>126.75</v>
      </c>
      <c r="G56">
        <v>151.90000000008149</v>
      </c>
      <c r="L56" s="1"/>
    </row>
    <row r="57" spans="1:13" x14ac:dyDescent="0.25">
      <c r="A57" t="s">
        <v>84</v>
      </c>
      <c r="B57">
        <v>1.8333333333721384</v>
      </c>
      <c r="C57">
        <v>11.466666666674428</v>
      </c>
      <c r="D57">
        <v>22.233333333337214</v>
      </c>
      <c r="E57">
        <v>29.766666666604578</v>
      </c>
      <c r="F57">
        <v>46.950000000069849</v>
      </c>
      <c r="G57">
        <v>71.516666666662786</v>
      </c>
      <c r="H57">
        <v>77.616666666639503</v>
      </c>
      <c r="I57">
        <v>83.599999999918509</v>
      </c>
      <c r="J57">
        <v>92.700000000069849</v>
      </c>
      <c r="K57">
        <v>116.54999999993015</v>
      </c>
      <c r="L57" s="1">
        <v>140.49999999994179</v>
      </c>
    </row>
    <row r="58" spans="1:13" x14ac:dyDescent="0.25">
      <c r="A58" t="s">
        <v>85</v>
      </c>
      <c r="B58">
        <v>7.5</v>
      </c>
      <c r="C58">
        <v>18.033333333441988</v>
      </c>
      <c r="D58">
        <v>25.416666666744277</v>
      </c>
      <c r="E58">
        <v>41.53333333338378</v>
      </c>
      <c r="F58">
        <v>66.116666666697711</v>
      </c>
      <c r="G58">
        <v>90.700000000011642</v>
      </c>
      <c r="H58">
        <v>114.1500000001397</v>
      </c>
      <c r="L58" s="1"/>
    </row>
    <row r="59" spans="1:13" x14ac:dyDescent="0.25">
      <c r="A59" t="s">
        <v>86</v>
      </c>
      <c r="B59">
        <v>29.633333333360497</v>
      </c>
      <c r="C59">
        <v>46.250000000058208</v>
      </c>
      <c r="D59">
        <v>53.783333333325572</v>
      </c>
      <c r="E59">
        <v>69.233333333395422</v>
      </c>
      <c r="F59">
        <v>78.233333333395422</v>
      </c>
      <c r="G59">
        <v>94.383333333302289</v>
      </c>
      <c r="H59">
        <v>118.31666666659294</v>
      </c>
      <c r="I59">
        <v>143.6166666666395</v>
      </c>
      <c r="L59" s="1"/>
    </row>
    <row r="60" spans="1:13" x14ac:dyDescent="0.25">
      <c r="A60" t="s">
        <v>87</v>
      </c>
      <c r="B60">
        <v>21.983333333395422</v>
      </c>
      <c r="C60">
        <v>26.399999999965075</v>
      </c>
      <c r="D60">
        <v>42.533333333325572</v>
      </c>
      <c r="E60">
        <v>67.116666666639503</v>
      </c>
      <c r="F60">
        <v>91.849999999918509</v>
      </c>
      <c r="G60">
        <v>115.15000000008149</v>
      </c>
      <c r="L60" s="1"/>
    </row>
    <row r="61" spans="1:13" x14ac:dyDescent="0.25">
      <c r="A61" t="s">
        <v>139</v>
      </c>
      <c r="B61">
        <v>12.166666666686069</v>
      </c>
      <c r="C61">
        <v>16.816666666651145</v>
      </c>
      <c r="D61">
        <v>24.766666666720994</v>
      </c>
      <c r="E61">
        <v>48.149999999965075</v>
      </c>
      <c r="F61">
        <v>63.883333333418705</v>
      </c>
      <c r="G61">
        <v>72.166666666686069</v>
      </c>
      <c r="H61">
        <v>96.266666666662786</v>
      </c>
      <c r="I61">
        <v>125.71666666661622</v>
      </c>
    </row>
    <row r="62" spans="1:13" x14ac:dyDescent="0.25">
      <c r="A62" t="s">
        <v>140</v>
      </c>
      <c r="B62">
        <v>22.416666666744277</v>
      </c>
      <c r="C62">
        <v>24.249999999941792</v>
      </c>
      <c r="D62">
        <v>48.149999999965075</v>
      </c>
      <c r="E62">
        <v>72.299999999930151</v>
      </c>
      <c r="F62">
        <v>89.283333333267365</v>
      </c>
      <c r="G62">
        <v>96.333333333372138</v>
      </c>
      <c r="H62">
        <v>120.03333333326736</v>
      </c>
    </row>
    <row r="63" spans="1:13" x14ac:dyDescent="0.25">
      <c r="A63" t="s">
        <v>141</v>
      </c>
      <c r="B63">
        <v>16.383333333302289</v>
      </c>
      <c r="C63">
        <v>24.033333333267365</v>
      </c>
      <c r="D63">
        <v>41.499999999941792</v>
      </c>
      <c r="E63">
        <v>48.199999999953434</v>
      </c>
      <c r="F63">
        <v>72.299999999930151</v>
      </c>
      <c r="G63">
        <v>101.71666666661622</v>
      </c>
    </row>
    <row r="64" spans="1:13" x14ac:dyDescent="0.25">
      <c r="A64" t="s">
        <v>142</v>
      </c>
      <c r="B64">
        <v>17.133333333302289</v>
      </c>
      <c r="C64">
        <v>24.266666666662786</v>
      </c>
      <c r="D64">
        <v>40.78333333338378</v>
      </c>
      <c r="E64">
        <v>48.216666666674428</v>
      </c>
      <c r="F64">
        <v>72.183333333407063</v>
      </c>
      <c r="G64">
        <v>96.049999999988358</v>
      </c>
    </row>
    <row r="65" spans="1:16" x14ac:dyDescent="0.25">
      <c r="A65" t="s">
        <v>143</v>
      </c>
      <c r="B65">
        <v>23.53333333338378</v>
      </c>
      <c r="C65">
        <v>24.299999999930151</v>
      </c>
      <c r="D65">
        <v>48.383333333360497</v>
      </c>
      <c r="E65">
        <v>64.733333333395422</v>
      </c>
      <c r="F65">
        <v>72.550000000046566</v>
      </c>
      <c r="G65">
        <v>96.149999999965075</v>
      </c>
    </row>
    <row r="66" spans="1:16" x14ac:dyDescent="0.25">
      <c r="A66" t="s">
        <v>144</v>
      </c>
      <c r="B66">
        <v>22.350000000034925</v>
      </c>
      <c r="C66">
        <v>24.199999999953434</v>
      </c>
      <c r="D66">
        <v>41.833333333313931</v>
      </c>
      <c r="E66">
        <v>48.083333333255723</v>
      </c>
      <c r="F66">
        <v>72.716666666732635</v>
      </c>
      <c r="G66">
        <v>96.083333333255723</v>
      </c>
    </row>
    <row r="67" spans="1:16" x14ac:dyDescent="0.25">
      <c r="A67" t="s">
        <v>145</v>
      </c>
      <c r="B67">
        <v>11.53333333338378</v>
      </c>
      <c r="C67">
        <v>16.066666666651145</v>
      </c>
      <c r="D67">
        <v>21.116666666697711</v>
      </c>
      <c r="E67">
        <v>24.199999999953434</v>
      </c>
      <c r="F67">
        <v>48.149999999965075</v>
      </c>
      <c r="G67">
        <v>64.583333333255723</v>
      </c>
      <c r="H67">
        <v>72.433333333348855</v>
      </c>
      <c r="I67">
        <v>96.166666666686069</v>
      </c>
      <c r="J67">
        <v>120.33333333337214</v>
      </c>
      <c r="K67">
        <v>144.08333333325572</v>
      </c>
      <c r="L67">
        <v>168.70000000001164</v>
      </c>
      <c r="M67">
        <v>192.08333333325572</v>
      </c>
      <c r="N67">
        <v>240.21666666667443</v>
      </c>
      <c r="O67">
        <v>264.18333333340706</v>
      </c>
      <c r="P67">
        <v>288.04999999998836</v>
      </c>
    </row>
    <row r="68" spans="1:16" x14ac:dyDescent="0.25">
      <c r="A68" t="s">
        <v>146</v>
      </c>
      <c r="B68">
        <v>11.200000000011642</v>
      </c>
      <c r="C68">
        <v>21.616666666581295</v>
      </c>
      <c r="D68">
        <v>24.550000000046566</v>
      </c>
      <c r="E68">
        <v>48.066666666709352</v>
      </c>
      <c r="F68">
        <v>77.700000000069849</v>
      </c>
      <c r="G68">
        <v>96.216666666674428</v>
      </c>
      <c r="H68">
        <v>111.46666666661622</v>
      </c>
      <c r="I68">
        <v>120.06666666670935</v>
      </c>
      <c r="J68">
        <v>144.1333333334187</v>
      </c>
    </row>
    <row r="69" spans="1:16" x14ac:dyDescent="0.25">
      <c r="A69" t="s">
        <v>148</v>
      </c>
      <c r="B69">
        <v>23.583333333372138</v>
      </c>
      <c r="C69">
        <v>24.433333333348855</v>
      </c>
      <c r="D69">
        <v>39.966666666674428</v>
      </c>
      <c r="E69">
        <v>48.400000000081491</v>
      </c>
      <c r="F69">
        <v>72.400000000081491</v>
      </c>
      <c r="G69">
        <v>96.28333333338378</v>
      </c>
      <c r="H69">
        <v>120.55000000004657</v>
      </c>
      <c r="I69">
        <v>144.09999999997672</v>
      </c>
    </row>
    <row r="70" spans="1:16" x14ac:dyDescent="0.25">
      <c r="A70" t="s">
        <v>149</v>
      </c>
      <c r="B70">
        <v>16.400000000023283</v>
      </c>
      <c r="C70">
        <v>24.316666666651145</v>
      </c>
      <c r="D70">
        <v>44.133333333302289</v>
      </c>
      <c r="E70">
        <v>48.516666666604578</v>
      </c>
      <c r="F70">
        <v>73.016666666662786</v>
      </c>
      <c r="G70">
        <v>96.066666666709352</v>
      </c>
      <c r="H70">
        <v>120.04999999998836</v>
      </c>
    </row>
    <row r="71" spans="1:16" x14ac:dyDescent="0.25">
      <c r="A71" t="s">
        <v>150</v>
      </c>
      <c r="B71">
        <v>16.21666666661622</v>
      </c>
      <c r="C71">
        <v>21.633333333302289</v>
      </c>
      <c r="D71">
        <v>24.199999999953434</v>
      </c>
      <c r="E71">
        <v>48.383333333360497</v>
      </c>
      <c r="F71">
        <v>65.399999999965075</v>
      </c>
      <c r="G71">
        <v>72.266666666662786</v>
      </c>
      <c r="H71">
        <v>96.216666666674428</v>
      </c>
      <c r="I71">
        <v>112.06666666665114</v>
      </c>
      <c r="J71">
        <v>120.08333333325572</v>
      </c>
      <c r="K71">
        <v>144.03333333326736</v>
      </c>
      <c r="L71">
        <v>168.04999999998836</v>
      </c>
      <c r="M71">
        <v>192.65000000002328</v>
      </c>
    </row>
    <row r="72" spans="1:16" x14ac:dyDescent="0.25">
      <c r="A72" t="s">
        <v>151</v>
      </c>
      <c r="B72">
        <v>17.916666666744277</v>
      </c>
      <c r="C72">
        <v>24.500000000058208</v>
      </c>
      <c r="D72">
        <v>24.583333333313931</v>
      </c>
      <c r="E72">
        <v>48.199999999953434</v>
      </c>
      <c r="F72">
        <v>72.166666666686069</v>
      </c>
      <c r="G72">
        <v>96.066666666709352</v>
      </c>
      <c r="H72">
        <v>114.58333333331393</v>
      </c>
      <c r="I72">
        <v>120.31666666665114</v>
      </c>
      <c r="J72">
        <v>144.18333333340706</v>
      </c>
      <c r="K72">
        <v>173.78333333332557</v>
      </c>
    </row>
    <row r="73" spans="1:16" x14ac:dyDescent="0.25">
      <c r="A73" t="s">
        <v>152</v>
      </c>
      <c r="B73">
        <v>2.4833333333954215</v>
      </c>
      <c r="C73">
        <v>3.3499999999185093</v>
      </c>
      <c r="D73">
        <v>17.083333333313931</v>
      </c>
      <c r="E73">
        <v>24.033333333267365</v>
      </c>
      <c r="F73">
        <v>48.099999999976717</v>
      </c>
    </row>
    <row r="74" spans="1:16" x14ac:dyDescent="0.25">
      <c r="A74" t="s">
        <v>153</v>
      </c>
      <c r="B74">
        <v>16.699999999953434</v>
      </c>
      <c r="C74">
        <v>21.500000000058208</v>
      </c>
      <c r="D74">
        <v>24.550000000046566</v>
      </c>
      <c r="E74">
        <v>48.249999999941792</v>
      </c>
      <c r="F74">
        <v>72.016666666720994</v>
      </c>
    </row>
    <row r="75" spans="1:16" x14ac:dyDescent="0.25">
      <c r="A75" t="s">
        <v>154</v>
      </c>
      <c r="B75">
        <v>3.3666666666395031</v>
      </c>
      <c r="C75">
        <v>3.3833333333604969</v>
      </c>
      <c r="D75">
        <v>16.78333333338378</v>
      </c>
      <c r="E75">
        <v>24.316666666651145</v>
      </c>
      <c r="F75">
        <v>48.249999999941792</v>
      </c>
      <c r="G75">
        <v>77.566666666651145</v>
      </c>
      <c r="H75">
        <v>96.333333333372138</v>
      </c>
    </row>
    <row r="76" spans="1:16" x14ac:dyDescent="0.25">
      <c r="A76" t="s">
        <v>155</v>
      </c>
      <c r="B76">
        <v>7.03333333338378</v>
      </c>
      <c r="C76">
        <v>7.0499999999301508</v>
      </c>
      <c r="D76">
        <v>15.783333333267365</v>
      </c>
      <c r="E76">
        <v>24.333333333372138</v>
      </c>
      <c r="F76">
        <v>48.183333333407063</v>
      </c>
    </row>
    <row r="77" spans="1:16" x14ac:dyDescent="0.25">
      <c r="A77" t="s">
        <v>156</v>
      </c>
      <c r="B77">
        <v>11.000000000058208</v>
      </c>
      <c r="C77">
        <v>21.899999999965075</v>
      </c>
      <c r="D77">
        <v>24.550000000046566</v>
      </c>
      <c r="E77">
        <v>48.099999999976717</v>
      </c>
      <c r="F77">
        <v>72.816666666709352</v>
      </c>
      <c r="G77">
        <v>90.116666666697711</v>
      </c>
      <c r="H77">
        <v>96.216666666674428</v>
      </c>
      <c r="I77">
        <v>120.66666666674428</v>
      </c>
      <c r="J77">
        <v>144.09999999997672</v>
      </c>
      <c r="K77">
        <v>168.14999999996508</v>
      </c>
      <c r="L77">
        <v>192.1333333334187</v>
      </c>
    </row>
    <row r="78" spans="1:16" x14ac:dyDescent="0.25">
      <c r="A78" t="s">
        <v>157</v>
      </c>
      <c r="B78">
        <v>17.866666666581295</v>
      </c>
      <c r="C78">
        <v>24.866666666697711</v>
      </c>
      <c r="D78">
        <v>39.866666666697711</v>
      </c>
      <c r="E78">
        <v>48.633333333302289</v>
      </c>
      <c r="F78">
        <v>72.349999999918509</v>
      </c>
      <c r="G78">
        <v>89.166666666744277</v>
      </c>
      <c r="H78">
        <v>101.83333333331393</v>
      </c>
      <c r="I78">
        <v>107.53333333338378</v>
      </c>
      <c r="J78">
        <v>120.03333333326736</v>
      </c>
      <c r="K78">
        <v>144.09999999997672</v>
      </c>
      <c r="L78">
        <v>168.04999999998836</v>
      </c>
    </row>
    <row r="79" spans="1:16" x14ac:dyDescent="0.25">
      <c r="A79" t="s">
        <v>158</v>
      </c>
      <c r="B79">
        <v>16.116666666639503</v>
      </c>
      <c r="C79">
        <v>21.883333333418705</v>
      </c>
      <c r="D79">
        <v>24.450000000069849</v>
      </c>
      <c r="E79">
        <v>48.116666666697711</v>
      </c>
      <c r="F79">
        <v>78</v>
      </c>
      <c r="G79">
        <v>96.049999999988358</v>
      </c>
    </row>
    <row r="80" spans="1:16" x14ac:dyDescent="0.25">
      <c r="A80" t="s">
        <v>159</v>
      </c>
      <c r="B80">
        <v>12.016666666720994</v>
      </c>
      <c r="C80">
        <v>21.133333333418705</v>
      </c>
      <c r="D80">
        <v>24.016666666720994</v>
      </c>
      <c r="E80">
        <v>48.133333333418705</v>
      </c>
    </row>
    <row r="81" spans="1:13" x14ac:dyDescent="0.25">
      <c r="A81" t="s">
        <v>160</v>
      </c>
      <c r="B81">
        <v>8.7500000000582077</v>
      </c>
      <c r="C81">
        <v>48.083333333255723</v>
      </c>
      <c r="D81">
        <v>72.383333333360497</v>
      </c>
      <c r="E81">
        <v>96.133333333418705</v>
      </c>
      <c r="F81">
        <v>113.56666666665114</v>
      </c>
      <c r="G81">
        <v>120.09999999997672</v>
      </c>
      <c r="H81">
        <v>144.11666666669771</v>
      </c>
      <c r="I81">
        <v>168.03333333326736</v>
      </c>
    </row>
    <row r="82" spans="1:13" x14ac:dyDescent="0.25">
      <c r="A82" t="s">
        <v>162</v>
      </c>
      <c r="B82">
        <v>11.100000000034925</v>
      </c>
      <c r="C82">
        <v>17.150000000023283</v>
      </c>
      <c r="D82">
        <v>24.266666666662786</v>
      </c>
      <c r="E82">
        <v>48.866666666697711</v>
      </c>
      <c r="F82">
        <v>72.066666666709352</v>
      </c>
    </row>
    <row r="83" spans="1:13" x14ac:dyDescent="0.25">
      <c r="A83" t="s">
        <v>163</v>
      </c>
      <c r="B83">
        <v>7.0999999999185093</v>
      </c>
      <c r="C83">
        <v>7.1333333333604969</v>
      </c>
      <c r="D83">
        <v>17.733333333337214</v>
      </c>
      <c r="E83">
        <v>24.149999999965075</v>
      </c>
      <c r="F83">
        <v>48.083333333255723</v>
      </c>
      <c r="G83">
        <v>72.266666666662786</v>
      </c>
      <c r="H83">
        <v>96.566666666592937</v>
      </c>
      <c r="I83">
        <v>120.46666666661622</v>
      </c>
      <c r="J83">
        <v>144.98333333339542</v>
      </c>
      <c r="K83">
        <v>145.1166666666395</v>
      </c>
      <c r="L83">
        <v>168.08333333325572</v>
      </c>
      <c r="M83">
        <v>192.03333333326736</v>
      </c>
    </row>
    <row r="84" spans="1:13" x14ac:dyDescent="0.25">
      <c r="A84" t="s">
        <v>164</v>
      </c>
      <c r="B84">
        <v>6.3833333333604969</v>
      </c>
      <c r="C84">
        <v>6.4000000000814907</v>
      </c>
      <c r="D84">
        <v>15.500000000058208</v>
      </c>
      <c r="E84">
        <v>24.266666666662786</v>
      </c>
      <c r="F84">
        <v>48.099999999976717</v>
      </c>
      <c r="G84">
        <v>73.066666666651145</v>
      </c>
      <c r="H84">
        <v>96.166666666686069</v>
      </c>
    </row>
    <row r="85" spans="1:13" x14ac:dyDescent="0.25">
      <c r="A85" t="s">
        <v>165</v>
      </c>
      <c r="B85">
        <v>17.633333333360497</v>
      </c>
      <c r="C85">
        <v>24.183333333407063</v>
      </c>
      <c r="D85">
        <v>38.866666666581295</v>
      </c>
      <c r="E85">
        <v>48.133333333418705</v>
      </c>
      <c r="F85">
        <v>72.216666666674428</v>
      </c>
      <c r="G85">
        <v>96.066666666709352</v>
      </c>
      <c r="H85">
        <v>120.01666666672099</v>
      </c>
    </row>
    <row r="86" spans="1:13" x14ac:dyDescent="0.25">
      <c r="A86" t="s">
        <v>166</v>
      </c>
      <c r="B86">
        <v>4.7499999999417923</v>
      </c>
      <c r="C86">
        <v>10.133333333360497</v>
      </c>
      <c r="D86">
        <v>17.733333333337214</v>
      </c>
      <c r="E86">
        <v>24.566666666592937</v>
      </c>
      <c r="F86">
        <v>48.566666666592937</v>
      </c>
      <c r="G86">
        <v>78.299999999930151</v>
      </c>
      <c r="H86">
        <v>102.28333333338378</v>
      </c>
      <c r="I86">
        <v>120.03333333326736</v>
      </c>
      <c r="J86">
        <v>144.06666666670935</v>
      </c>
      <c r="K86">
        <v>173.88333333330229</v>
      </c>
      <c r="L86">
        <v>192.04999999998836</v>
      </c>
      <c r="M86">
        <v>216</v>
      </c>
    </row>
    <row r="87" spans="1:13" x14ac:dyDescent="0.25">
      <c r="A87" t="s">
        <v>168</v>
      </c>
      <c r="B87">
        <v>5.9833333332790062</v>
      </c>
      <c r="C87">
        <v>18.199999999953434</v>
      </c>
      <c r="D87">
        <v>24.149999999965075</v>
      </c>
      <c r="E87">
        <v>48.033333333267365</v>
      </c>
      <c r="F87">
        <v>72.28333333338378</v>
      </c>
      <c r="G87">
        <v>90.199999999953434</v>
      </c>
      <c r="H87">
        <v>96.316666666651145</v>
      </c>
      <c r="I87">
        <v>125.81666666659294</v>
      </c>
    </row>
    <row r="88" spans="1:13" x14ac:dyDescent="0.25">
      <c r="A88" t="s">
        <v>169</v>
      </c>
      <c r="B88">
        <v>13.21666666661622</v>
      </c>
      <c r="C88">
        <v>21.849999999976717</v>
      </c>
      <c r="D88">
        <v>24.083333333255723</v>
      </c>
      <c r="E88">
        <v>48.183333333407063</v>
      </c>
      <c r="F88">
        <v>64.666666666686069</v>
      </c>
      <c r="G88">
        <v>72.133333333418705</v>
      </c>
      <c r="H88">
        <v>96.566666666592937</v>
      </c>
    </row>
    <row r="89" spans="1:13" x14ac:dyDescent="0.25">
      <c r="A89" t="s">
        <v>170</v>
      </c>
      <c r="B89">
        <v>17.800000000046566</v>
      </c>
      <c r="C89">
        <v>24.400000000081491</v>
      </c>
      <c r="D89">
        <v>41.53333333338378</v>
      </c>
      <c r="E89">
        <v>48.366666666639503</v>
      </c>
      <c r="F89">
        <v>72.566666666592937</v>
      </c>
      <c r="G89">
        <v>96.450000000069849</v>
      </c>
      <c r="H89">
        <v>113.33333333325572</v>
      </c>
      <c r="I89">
        <v>120.01666666672099</v>
      </c>
      <c r="J89">
        <v>144.04999999998836</v>
      </c>
      <c r="K89">
        <v>173.59999999991851</v>
      </c>
    </row>
    <row r="90" spans="1:13" x14ac:dyDescent="0.25">
      <c r="A90" t="s">
        <v>171</v>
      </c>
      <c r="B90">
        <v>11.549999999930151</v>
      </c>
      <c r="C90">
        <v>21.716666666732635</v>
      </c>
      <c r="D90">
        <v>24.400000000081491</v>
      </c>
      <c r="E90">
        <v>48.216666666674428</v>
      </c>
      <c r="F90">
        <v>72.433333333348855</v>
      </c>
    </row>
    <row r="91" spans="1:13" x14ac:dyDescent="0.25">
      <c r="A91" t="s">
        <v>172</v>
      </c>
      <c r="B91">
        <v>23.066666666592937</v>
      </c>
      <c r="C91">
        <v>24.366666666639503</v>
      </c>
      <c r="D91">
        <v>41.349999999976717</v>
      </c>
      <c r="E91">
        <v>48.566666666592937</v>
      </c>
      <c r="F91">
        <v>72.450000000069849</v>
      </c>
      <c r="G91">
        <v>96.016666666720994</v>
      </c>
      <c r="H91">
        <v>120.04999999998836</v>
      </c>
    </row>
    <row r="92" spans="1:13" x14ac:dyDescent="0.25">
      <c r="A92" t="s">
        <v>173</v>
      </c>
      <c r="B92">
        <v>20.366666666697711</v>
      </c>
      <c r="C92">
        <v>29.966666666732635</v>
      </c>
      <c r="D92">
        <v>35.933333333290648</v>
      </c>
      <c r="E92">
        <v>48.233333333395422</v>
      </c>
      <c r="F92">
        <v>72.400000000081491</v>
      </c>
      <c r="G92">
        <v>96</v>
      </c>
      <c r="H92">
        <v>120.03333333326736</v>
      </c>
    </row>
    <row r="93" spans="1:13" x14ac:dyDescent="0.25">
      <c r="A93" t="s">
        <v>174</v>
      </c>
      <c r="B93">
        <v>11.000000000058208</v>
      </c>
      <c r="C93">
        <v>24.28333333338378</v>
      </c>
      <c r="D93">
        <v>43.233333333337214</v>
      </c>
      <c r="E93">
        <v>48.166666666686069</v>
      </c>
      <c r="F93">
        <v>72.349999999918509</v>
      </c>
      <c r="G93">
        <v>96.216666666674428</v>
      </c>
      <c r="H93">
        <v>120.18333333340706</v>
      </c>
      <c r="I93">
        <v>144.08333333325572</v>
      </c>
    </row>
    <row r="94" spans="1:13" x14ac:dyDescent="0.25">
      <c r="A94" t="s">
        <v>175</v>
      </c>
      <c r="B94">
        <v>20.133333333302289</v>
      </c>
      <c r="C94">
        <v>27.216666666674428</v>
      </c>
      <c r="D94">
        <v>27.533333333325572</v>
      </c>
      <c r="E94">
        <v>39.366666666639503</v>
      </c>
      <c r="F94">
        <v>49.099999999918509</v>
      </c>
      <c r="G94">
        <v>72.299999999930151</v>
      </c>
      <c r="H94">
        <v>96.566666666592937</v>
      </c>
      <c r="I94">
        <v>120.04999999998836</v>
      </c>
      <c r="J94">
        <v>144.18333333340706</v>
      </c>
    </row>
    <row r="95" spans="1:13" x14ac:dyDescent="0.25">
      <c r="A95" t="s">
        <v>176</v>
      </c>
      <c r="B95">
        <v>13.833333333372138</v>
      </c>
      <c r="C95">
        <v>24.733333333279006</v>
      </c>
      <c r="D95">
        <v>48.149999999965075</v>
      </c>
      <c r="E95">
        <v>64.166666666627862</v>
      </c>
      <c r="F95">
        <v>72.183333333407063</v>
      </c>
    </row>
    <row r="96" spans="1:13" x14ac:dyDescent="0.25">
      <c r="A96" t="s">
        <v>177</v>
      </c>
      <c r="B96">
        <v>20.53333333338378</v>
      </c>
      <c r="C96">
        <v>23.816666666592937</v>
      </c>
      <c r="D96">
        <v>24.500000000058208</v>
      </c>
      <c r="E96">
        <v>48.333333333372138</v>
      </c>
      <c r="F96">
        <v>72.183333333407063</v>
      </c>
    </row>
    <row r="97" spans="1:13" x14ac:dyDescent="0.25">
      <c r="A97" t="s">
        <v>178</v>
      </c>
      <c r="B97">
        <v>21.166666666686069</v>
      </c>
      <c r="C97">
        <v>24.583333333313931</v>
      </c>
      <c r="D97">
        <v>39.983333333395422</v>
      </c>
      <c r="E97">
        <v>48.083333333255723</v>
      </c>
      <c r="F97">
        <v>72.049999999988358</v>
      </c>
      <c r="G97">
        <v>96.333333333372138</v>
      </c>
      <c r="H97">
        <v>120.06666666670935</v>
      </c>
    </row>
    <row r="98" spans="1:13" x14ac:dyDescent="0.25">
      <c r="A98" t="s">
        <v>179</v>
      </c>
      <c r="B98">
        <v>16.03333333338378</v>
      </c>
      <c r="C98">
        <v>24.516666666604578</v>
      </c>
      <c r="D98">
        <v>40.350000000034925</v>
      </c>
      <c r="E98">
        <v>48.650000000023283</v>
      </c>
      <c r="F98">
        <v>72.083333333255723</v>
      </c>
    </row>
    <row r="99" spans="1:13" x14ac:dyDescent="0.25">
      <c r="A99" t="s">
        <v>180</v>
      </c>
      <c r="B99">
        <v>14.833333333313931</v>
      </c>
      <c r="C99">
        <v>21.416666666627862</v>
      </c>
      <c r="D99">
        <v>24.949999999953434</v>
      </c>
      <c r="E99">
        <v>48.083333333255723</v>
      </c>
      <c r="F99">
        <v>66.783333333267365</v>
      </c>
      <c r="G99">
        <v>72.400000000081491</v>
      </c>
      <c r="H99">
        <v>96.149999999965075</v>
      </c>
      <c r="I99">
        <v>120.04999999998836</v>
      </c>
    </row>
    <row r="100" spans="1:13" x14ac:dyDescent="0.25">
      <c r="A100" t="s">
        <v>181</v>
      </c>
      <c r="B100">
        <v>12.166666666686069</v>
      </c>
      <c r="C100">
        <v>16.733333333395422</v>
      </c>
      <c r="D100">
        <v>24.249999999941792</v>
      </c>
      <c r="E100">
        <v>48.149999999965075</v>
      </c>
      <c r="F100">
        <v>72.299999999930151</v>
      </c>
    </row>
    <row r="101" spans="1:13" x14ac:dyDescent="0.25">
      <c r="A101" t="s">
        <v>182</v>
      </c>
      <c r="B101">
        <v>12.916666666686069</v>
      </c>
      <c r="C101">
        <v>30.299999999930151</v>
      </c>
      <c r="D101">
        <v>48.083333333255723</v>
      </c>
      <c r="E101">
        <v>78.349999999918509</v>
      </c>
      <c r="F101">
        <v>83.616666666639503</v>
      </c>
      <c r="G101">
        <v>101.90000000002328</v>
      </c>
      <c r="H101">
        <v>120.1333333334187</v>
      </c>
      <c r="I101">
        <v>150.14999999996508</v>
      </c>
      <c r="J101">
        <v>168.1333333334187</v>
      </c>
      <c r="K101">
        <v>185.81666666659294</v>
      </c>
      <c r="L101">
        <v>197.44999999995343</v>
      </c>
      <c r="M101">
        <v>216.16666666668607</v>
      </c>
    </row>
    <row r="102" spans="1:13" x14ac:dyDescent="0.25">
      <c r="A102" t="s">
        <v>183</v>
      </c>
      <c r="B102">
        <v>8.1000000000349246</v>
      </c>
      <c r="C102">
        <v>24.400000000081491</v>
      </c>
      <c r="D102">
        <v>64.950000000069849</v>
      </c>
      <c r="E102">
        <v>77.650000000081491</v>
      </c>
      <c r="F102">
        <v>101.59999999991851</v>
      </c>
      <c r="G102">
        <v>121.18333333334886</v>
      </c>
      <c r="H102">
        <v>144.70000000001164</v>
      </c>
    </row>
  </sheetData>
  <conditionalFormatting sqref="B67:M67">
    <cfRule type="expression" dxfId="7" priority="4">
      <formula>COUNTIF($A67:$P67,A67)&gt;1</formula>
    </cfRule>
  </conditionalFormatting>
  <conditionalFormatting sqref="B1:Q66 B68:Q102">
    <cfRule type="expression" dxfId="6" priority="1">
      <formula>COUNTIF($A1:$Q1,A1)&gt;1</formula>
    </cfRule>
  </conditionalFormatting>
  <conditionalFormatting sqref="N67:P67">
    <cfRule type="expression" dxfId="5" priority="3">
      <formula>COUNTIF($A67:$P67,#REF!)&gt;1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894F-0966-4544-8672-D238E9402846}">
  <dimension ref="A1:P102"/>
  <sheetViews>
    <sheetView topLeftCell="A70" workbookViewId="0">
      <selection activeCell="A82" sqref="A82:XFD82"/>
    </sheetView>
  </sheetViews>
  <sheetFormatPr defaultRowHeight="15" x14ac:dyDescent="0.25"/>
  <sheetData>
    <row r="1" spans="1:11" x14ac:dyDescent="0.25">
      <c r="A1" t="s">
        <v>8</v>
      </c>
      <c r="B1">
        <v>8.3000000000000004E-2</v>
      </c>
      <c r="C1">
        <v>0.04</v>
      </c>
      <c r="D1">
        <v>3.9E-2</v>
      </c>
      <c r="E1">
        <v>0.21099999999999999</v>
      </c>
      <c r="F1">
        <v>0.30399999999999999</v>
      </c>
      <c r="G1">
        <v>0.28699999999999998</v>
      </c>
      <c r="H1">
        <v>0.28899999999999998</v>
      </c>
      <c r="I1">
        <v>0.26800000000000002</v>
      </c>
    </row>
    <row r="2" spans="1:11" x14ac:dyDescent="0.25">
      <c r="A2" t="s">
        <v>9</v>
      </c>
      <c r="B2">
        <v>4.2000000000000003E-2</v>
      </c>
      <c r="C2">
        <v>7.2999999999999995E-2</v>
      </c>
      <c r="D2">
        <v>0.13300000000000001</v>
      </c>
      <c r="E2">
        <v>0.26600000000000001</v>
      </c>
      <c r="F2">
        <v>0.252</v>
      </c>
      <c r="G2">
        <v>0.308</v>
      </c>
      <c r="H2">
        <v>0.318</v>
      </c>
      <c r="I2">
        <v>0.377</v>
      </c>
    </row>
    <row r="3" spans="1:11" x14ac:dyDescent="0.25">
      <c r="A3" t="s">
        <v>10</v>
      </c>
      <c r="B3">
        <v>0.89500000000000002</v>
      </c>
      <c r="C3">
        <v>2.27</v>
      </c>
      <c r="D3">
        <v>1.6</v>
      </c>
      <c r="E3">
        <v>1.53</v>
      </c>
      <c r="F3">
        <v>1.77</v>
      </c>
      <c r="G3">
        <v>1.84</v>
      </c>
      <c r="H3">
        <v>1.74</v>
      </c>
    </row>
    <row r="4" spans="1:11" x14ac:dyDescent="0.25">
      <c r="A4" t="s">
        <v>11</v>
      </c>
      <c r="B4">
        <v>8.4000000000000005E-2</v>
      </c>
      <c r="C4">
        <v>0.16</v>
      </c>
      <c r="D4">
        <v>0.158</v>
      </c>
    </row>
    <row r="5" spans="1:11" x14ac:dyDescent="0.25">
      <c r="A5" t="s">
        <v>12</v>
      </c>
      <c r="B5">
        <v>0.97</v>
      </c>
      <c r="C5">
        <v>0.68200000000000005</v>
      </c>
      <c r="D5">
        <v>1.55</v>
      </c>
      <c r="E5">
        <v>2.15</v>
      </c>
      <c r="F5">
        <v>2.13</v>
      </c>
      <c r="G5">
        <v>1.51</v>
      </c>
      <c r="H5">
        <v>0.79800000000000004</v>
      </c>
      <c r="I5">
        <v>0.372</v>
      </c>
    </row>
    <row r="6" spans="1:11" x14ac:dyDescent="0.25">
      <c r="A6" t="s">
        <v>13</v>
      </c>
      <c r="B6">
        <v>4.29</v>
      </c>
      <c r="C6">
        <v>9.67</v>
      </c>
      <c r="D6">
        <v>5.69</v>
      </c>
      <c r="E6">
        <v>3.9</v>
      </c>
      <c r="F6">
        <v>3.35</v>
      </c>
      <c r="G6">
        <v>2.98</v>
      </c>
      <c r="H6">
        <v>2.64</v>
      </c>
    </row>
    <row r="7" spans="1:11" x14ac:dyDescent="0.25">
      <c r="A7" t="s">
        <v>14</v>
      </c>
      <c r="B7">
        <v>1.44</v>
      </c>
      <c r="C7">
        <v>1.59</v>
      </c>
      <c r="D7">
        <v>1.84</v>
      </c>
      <c r="E7">
        <v>1.86</v>
      </c>
      <c r="F7">
        <v>1.57</v>
      </c>
      <c r="G7">
        <v>1.21</v>
      </c>
      <c r="H7">
        <v>0.96</v>
      </c>
    </row>
    <row r="8" spans="1:11" x14ac:dyDescent="0.25">
      <c r="A8" t="s">
        <v>15</v>
      </c>
      <c r="B8">
        <v>1.4E-2</v>
      </c>
      <c r="C8">
        <v>1.2999999999999999E-2</v>
      </c>
      <c r="D8">
        <v>1.4999999999999999E-2</v>
      </c>
      <c r="E8">
        <v>1.6E-2</v>
      </c>
    </row>
    <row r="9" spans="1:11" x14ac:dyDescent="0.25">
      <c r="A9" t="s">
        <v>16</v>
      </c>
      <c r="B9">
        <v>0.189</v>
      </c>
      <c r="C9">
        <v>0.26300000000000001</v>
      </c>
      <c r="D9">
        <v>0.21</v>
      </c>
      <c r="E9">
        <v>0.25</v>
      </c>
      <c r="F9">
        <v>0.23799999999999999</v>
      </c>
      <c r="G9">
        <v>0.186</v>
      </c>
      <c r="H9">
        <v>0.13300000000000001</v>
      </c>
    </row>
    <row r="10" spans="1:11" x14ac:dyDescent="0.25">
      <c r="A10" t="s">
        <v>17</v>
      </c>
      <c r="B10">
        <v>2.91</v>
      </c>
      <c r="C10">
        <v>2.69</v>
      </c>
      <c r="D10">
        <v>2.04</v>
      </c>
      <c r="E10">
        <v>2.34</v>
      </c>
      <c r="F10">
        <v>2.5499999999999998</v>
      </c>
      <c r="G10">
        <v>2.75</v>
      </c>
      <c r="H10">
        <v>2.76</v>
      </c>
      <c r="I10">
        <v>2.4500000000000002</v>
      </c>
      <c r="J10">
        <v>1.79</v>
      </c>
      <c r="K10">
        <v>1.8</v>
      </c>
    </row>
    <row r="11" spans="1:11" x14ac:dyDescent="0.25">
      <c r="A11" t="s">
        <v>18</v>
      </c>
      <c r="B11">
        <v>0.19800000000000001</v>
      </c>
      <c r="C11">
        <v>0.14499999999999999</v>
      </c>
      <c r="D11">
        <v>8.2000000000000003E-2</v>
      </c>
      <c r="E11">
        <v>4.5999999999999999E-2</v>
      </c>
    </row>
    <row r="12" spans="1:11" x14ac:dyDescent="0.25">
      <c r="A12" t="s">
        <v>19</v>
      </c>
      <c r="B12">
        <v>0.157</v>
      </c>
      <c r="C12">
        <v>0.11700000000000001</v>
      </c>
      <c r="D12">
        <v>9.9000000000000005E-2</v>
      </c>
    </row>
    <row r="13" spans="1:11" x14ac:dyDescent="0.25">
      <c r="A13" t="s">
        <v>20</v>
      </c>
      <c r="B13">
        <v>2.2599999999999998</v>
      </c>
      <c r="C13">
        <v>2.2000000000000002</v>
      </c>
      <c r="D13">
        <v>1.6</v>
      </c>
      <c r="E13">
        <v>1.79</v>
      </c>
      <c r="F13">
        <v>2.97</v>
      </c>
      <c r="G13">
        <v>2.82</v>
      </c>
      <c r="H13">
        <v>1.93</v>
      </c>
      <c r="I13">
        <v>0.98699999999999999</v>
      </c>
      <c r="J13">
        <v>0.19900000000000001</v>
      </c>
    </row>
    <row r="14" spans="1:11" x14ac:dyDescent="0.25">
      <c r="A14" t="s">
        <v>21</v>
      </c>
      <c r="B14">
        <v>0.39</v>
      </c>
      <c r="C14">
        <v>0.68899999999999995</v>
      </c>
      <c r="D14">
        <v>0.73</v>
      </c>
      <c r="E14">
        <v>0.85299999999999998</v>
      </c>
      <c r="F14">
        <v>1.29</v>
      </c>
      <c r="G14">
        <v>1.2</v>
      </c>
      <c r="H14">
        <v>1.46</v>
      </c>
    </row>
    <row r="15" spans="1:11" x14ac:dyDescent="0.25">
      <c r="A15" t="s">
        <v>22</v>
      </c>
      <c r="B15">
        <v>0.185</v>
      </c>
      <c r="C15">
        <v>0.20799999999999999</v>
      </c>
      <c r="D15">
        <v>0.12</v>
      </c>
      <c r="E15">
        <v>1.2E-2</v>
      </c>
      <c r="F15">
        <v>0.127</v>
      </c>
      <c r="G15">
        <v>0.15</v>
      </c>
      <c r="H15">
        <v>0.17699999999999999</v>
      </c>
      <c r="I15">
        <v>0.13200000000000001</v>
      </c>
      <c r="J15">
        <v>0.19400000000000001</v>
      </c>
      <c r="K15">
        <v>0.156</v>
      </c>
    </row>
    <row r="16" spans="1:11" x14ac:dyDescent="0.25">
      <c r="A16" t="s">
        <v>23</v>
      </c>
      <c r="B16">
        <v>0.32600000000000001</v>
      </c>
      <c r="C16">
        <v>0.29499999999999998</v>
      </c>
      <c r="D16">
        <v>0.16300000000000001</v>
      </c>
      <c r="E16">
        <v>8.3000000000000004E-2</v>
      </c>
      <c r="F16">
        <v>5.8000000000000003E-2</v>
      </c>
    </row>
    <row r="17" spans="1:9" x14ac:dyDescent="0.25">
      <c r="A17" t="s">
        <v>24</v>
      </c>
      <c r="B17">
        <v>0.21</v>
      </c>
      <c r="C17">
        <v>0.45200000000000001</v>
      </c>
      <c r="D17">
        <v>1.36</v>
      </c>
      <c r="E17">
        <v>0.92300000000000004</v>
      </c>
      <c r="F17">
        <v>0.78600000000000003</v>
      </c>
      <c r="G17">
        <v>0.7</v>
      </c>
      <c r="H17">
        <v>0.77300000000000002</v>
      </c>
    </row>
    <row r="18" spans="1:9" x14ac:dyDescent="0.25">
      <c r="A18" t="s">
        <v>25</v>
      </c>
      <c r="B18">
        <v>6.0000000000000001E-3</v>
      </c>
      <c r="C18">
        <v>2.1999999999999999E-2</v>
      </c>
      <c r="D18">
        <v>2.8000000000000001E-2</v>
      </c>
      <c r="E18">
        <v>2.4E-2</v>
      </c>
    </row>
    <row r="19" spans="1:9" x14ac:dyDescent="0.25">
      <c r="A19" t="s">
        <v>26</v>
      </c>
      <c r="B19">
        <v>0.35899999999999999</v>
      </c>
      <c r="C19">
        <v>0.32600000000000001</v>
      </c>
      <c r="D19">
        <v>0.32700000000000001</v>
      </c>
      <c r="E19">
        <v>0.379</v>
      </c>
      <c r="F19">
        <v>0.26200000000000001</v>
      </c>
      <c r="G19">
        <v>0.16300000000000001</v>
      </c>
    </row>
    <row r="20" spans="1:9" x14ac:dyDescent="0.25">
      <c r="A20" t="s">
        <v>27</v>
      </c>
      <c r="B20">
        <v>0.10100000000000001</v>
      </c>
      <c r="C20">
        <v>9.5000000000000001E-2</v>
      </c>
      <c r="D20">
        <v>0.14399999999999999</v>
      </c>
      <c r="E20">
        <v>0.18</v>
      </c>
      <c r="F20">
        <v>0.161</v>
      </c>
    </row>
    <row r="21" spans="1:9" x14ac:dyDescent="0.25">
      <c r="A21" t="s">
        <v>28</v>
      </c>
      <c r="B21">
        <v>6.7000000000000004E-2</v>
      </c>
      <c r="C21">
        <v>0.06</v>
      </c>
      <c r="D21">
        <v>5.1999999999999998E-2</v>
      </c>
      <c r="E21">
        <v>3.4000000000000002E-2</v>
      </c>
      <c r="F21">
        <v>2.8000000000000001E-2</v>
      </c>
    </row>
    <row r="22" spans="1:9" x14ac:dyDescent="0.25">
      <c r="A22" t="s">
        <v>29</v>
      </c>
      <c r="B22">
        <v>0.34300000000000003</v>
      </c>
      <c r="C22">
        <v>0.43</v>
      </c>
      <c r="D22">
        <v>0.48099999999999998</v>
      </c>
      <c r="E22">
        <v>0.47199999999999998</v>
      </c>
      <c r="F22">
        <v>0.35599999999999998</v>
      </c>
      <c r="G22">
        <v>0.27900000000000003</v>
      </c>
      <c r="H22">
        <v>0.20300000000000001</v>
      </c>
      <c r="I22">
        <v>0.11700000000000001</v>
      </c>
    </row>
    <row r="23" spans="1:9" x14ac:dyDescent="0.25">
      <c r="A23" t="s">
        <v>30</v>
      </c>
      <c r="B23">
        <v>0.10199999999999999</v>
      </c>
      <c r="C23">
        <v>9.9000000000000005E-2</v>
      </c>
      <c r="D23">
        <v>5.8999999999999997E-2</v>
      </c>
      <c r="E23">
        <v>4.5999999999999999E-2</v>
      </c>
    </row>
    <row r="24" spans="1:9" x14ac:dyDescent="0.25">
      <c r="A24" t="s">
        <v>31</v>
      </c>
      <c r="B24">
        <v>3.53</v>
      </c>
      <c r="C24">
        <v>3.9</v>
      </c>
      <c r="D24">
        <v>3.86</v>
      </c>
      <c r="E24">
        <v>4.12</v>
      </c>
      <c r="F24">
        <v>3.91</v>
      </c>
    </row>
    <row r="25" spans="1:9" x14ac:dyDescent="0.25">
      <c r="A25" t="s">
        <v>33</v>
      </c>
      <c r="B25">
        <v>0.24299999999999999</v>
      </c>
      <c r="C25">
        <v>0.66</v>
      </c>
      <c r="D25">
        <v>0.56699999999999995</v>
      </c>
      <c r="E25">
        <v>0.68700000000000006</v>
      </c>
      <c r="F25">
        <v>0.56599999999999995</v>
      </c>
      <c r="G25">
        <v>0.53900000000000003</v>
      </c>
    </row>
    <row r="26" spans="1:9" x14ac:dyDescent="0.25">
      <c r="A26" t="s">
        <v>34</v>
      </c>
      <c r="B26">
        <v>0.499</v>
      </c>
      <c r="C26">
        <v>1.06</v>
      </c>
      <c r="D26">
        <v>1.23</v>
      </c>
      <c r="E26">
        <v>1.01</v>
      </c>
      <c r="F26">
        <v>6.23</v>
      </c>
      <c r="G26">
        <v>1.1299999999999999</v>
      </c>
      <c r="H26">
        <v>1.38</v>
      </c>
      <c r="I26">
        <v>0.63600000000000001</v>
      </c>
    </row>
    <row r="27" spans="1:9" x14ac:dyDescent="0.25">
      <c r="A27" t="s">
        <v>35</v>
      </c>
      <c r="B27">
        <v>9.92</v>
      </c>
      <c r="C27">
        <v>8.82</v>
      </c>
      <c r="D27">
        <v>2.95</v>
      </c>
      <c r="E27">
        <v>2.93</v>
      </c>
      <c r="F27">
        <v>3.02</v>
      </c>
      <c r="G27">
        <v>2.9</v>
      </c>
      <c r="H27">
        <v>2.14</v>
      </c>
      <c r="I27">
        <v>1.68</v>
      </c>
    </row>
    <row r="28" spans="1:9" x14ac:dyDescent="0.25">
      <c r="A28" t="s">
        <v>36</v>
      </c>
      <c r="B28">
        <v>0.79500000000000004</v>
      </c>
      <c r="C28">
        <v>0.72399999999999998</v>
      </c>
      <c r="D28">
        <v>0.753</v>
      </c>
      <c r="E28">
        <v>0.91200000000000003</v>
      </c>
      <c r="F28">
        <v>1.08</v>
      </c>
      <c r="G28">
        <v>0.88400000000000001</v>
      </c>
      <c r="H28">
        <v>1.0900000000000001</v>
      </c>
    </row>
    <row r="29" spans="1:9" x14ac:dyDescent="0.25">
      <c r="A29" t="s">
        <v>38</v>
      </c>
      <c r="B29">
        <v>0.46400000000000002</v>
      </c>
      <c r="C29">
        <v>2.0299999999999998</v>
      </c>
      <c r="D29">
        <v>2.7</v>
      </c>
      <c r="E29">
        <v>2.2799999999999998</v>
      </c>
      <c r="F29">
        <v>2.39</v>
      </c>
      <c r="G29">
        <v>2.23</v>
      </c>
      <c r="H29">
        <v>1.47</v>
      </c>
    </row>
    <row r="30" spans="1:9" x14ac:dyDescent="0.25">
      <c r="A30" t="s">
        <v>39</v>
      </c>
      <c r="B30">
        <v>8.3000000000000004E-2</v>
      </c>
      <c r="C30">
        <v>0.13200000000000001</v>
      </c>
      <c r="D30">
        <v>0.45700000000000002</v>
      </c>
      <c r="E30">
        <v>0.82299999999999995</v>
      </c>
      <c r="F30">
        <v>0.68200000000000005</v>
      </c>
      <c r="G30">
        <v>0.74</v>
      </c>
      <c r="H30">
        <v>0.84099999999999997</v>
      </c>
    </row>
    <row r="31" spans="1:9" x14ac:dyDescent="0.25">
      <c r="A31" t="s">
        <v>41</v>
      </c>
      <c r="B31">
        <v>0.188</v>
      </c>
      <c r="C31">
        <v>0.246</v>
      </c>
      <c r="D31">
        <v>0.23699999999999999</v>
      </c>
      <c r="E31">
        <v>0.23699999999999999</v>
      </c>
      <c r="F31">
        <v>0.19</v>
      </c>
      <c r="G31">
        <v>0.34799999999999998</v>
      </c>
      <c r="H31">
        <v>0.36099999999999999</v>
      </c>
      <c r="I31">
        <v>0.33500000000000002</v>
      </c>
    </row>
    <row r="32" spans="1:9" x14ac:dyDescent="0.25">
      <c r="A32" t="s">
        <v>43</v>
      </c>
      <c r="B32">
        <v>2.56</v>
      </c>
      <c r="C32">
        <v>2.5499999999999998</v>
      </c>
      <c r="D32">
        <v>2.2000000000000002</v>
      </c>
      <c r="E32">
        <v>1.74</v>
      </c>
      <c r="F32">
        <v>0.81200000000000006</v>
      </c>
    </row>
    <row r="33" spans="1:13" x14ac:dyDescent="0.25">
      <c r="A33" t="s">
        <v>44</v>
      </c>
      <c r="B33">
        <v>0.28899999999999998</v>
      </c>
      <c r="C33">
        <v>0.58599999999999997</v>
      </c>
      <c r="D33">
        <v>1.03</v>
      </c>
      <c r="E33">
        <v>0.75600000000000001</v>
      </c>
      <c r="F33">
        <v>0.878</v>
      </c>
    </row>
    <row r="34" spans="1:13" x14ac:dyDescent="0.25">
      <c r="A34" t="s">
        <v>45</v>
      </c>
      <c r="B34">
        <v>8.49</v>
      </c>
      <c r="C34">
        <v>2.2999999999999998</v>
      </c>
      <c r="D34">
        <v>1.4</v>
      </c>
      <c r="E34">
        <v>1.47</v>
      </c>
    </row>
    <row r="35" spans="1:13" x14ac:dyDescent="0.25">
      <c r="A35" t="s">
        <v>46</v>
      </c>
      <c r="B35">
        <v>0.318</v>
      </c>
      <c r="C35">
        <v>1.52</v>
      </c>
      <c r="D35">
        <v>1.75</v>
      </c>
      <c r="E35">
        <v>1.68</v>
      </c>
      <c r="F35">
        <v>2.2200000000000002</v>
      </c>
    </row>
    <row r="36" spans="1:13" x14ac:dyDescent="0.25">
      <c r="A36" t="s">
        <v>63</v>
      </c>
      <c r="B36">
        <v>0.51400000000000001</v>
      </c>
      <c r="C36">
        <v>0.61799999999999999</v>
      </c>
      <c r="D36">
        <v>0.54200000000000004</v>
      </c>
      <c r="E36">
        <v>0.57899999999999996</v>
      </c>
      <c r="F36">
        <v>0.42199999999999999</v>
      </c>
      <c r="G36">
        <v>0.36599999999999999</v>
      </c>
    </row>
    <row r="37" spans="1:13" x14ac:dyDescent="0.25">
      <c r="A37" t="s">
        <v>64</v>
      </c>
      <c r="B37">
        <v>5.8999999999999997E-2</v>
      </c>
      <c r="C37">
        <v>7.8200000000000006E-2</v>
      </c>
      <c r="D37">
        <v>7.8E-2</v>
      </c>
      <c r="E37">
        <v>7.1999999999999995E-2</v>
      </c>
    </row>
    <row r="38" spans="1:13" x14ac:dyDescent="0.25">
      <c r="A38" t="s">
        <v>65</v>
      </c>
      <c r="B38">
        <v>0.19400000000000001</v>
      </c>
      <c r="C38">
        <v>0.78900000000000003</v>
      </c>
      <c r="D38">
        <v>0.53100000000000003</v>
      </c>
      <c r="E38">
        <v>0.81799999999999995</v>
      </c>
      <c r="F38">
        <v>0.76100000000000001</v>
      </c>
    </row>
    <row r="39" spans="1:13" x14ac:dyDescent="0.25">
      <c r="A39" t="s">
        <v>66</v>
      </c>
      <c r="B39">
        <v>0.20499999999999999</v>
      </c>
      <c r="C39">
        <v>0.127</v>
      </c>
      <c r="D39">
        <v>0.19600000000000001</v>
      </c>
      <c r="E39">
        <v>0.27800000000000002</v>
      </c>
      <c r="F39">
        <v>0.184</v>
      </c>
      <c r="G39">
        <v>0.182</v>
      </c>
    </row>
    <row r="40" spans="1:13" x14ac:dyDescent="0.25">
      <c r="A40" t="s">
        <v>67</v>
      </c>
      <c r="B40">
        <v>0.33500000000000002</v>
      </c>
      <c r="C40">
        <v>0.29599999999999999</v>
      </c>
      <c r="D40">
        <v>0.23599999999999999</v>
      </c>
      <c r="E40">
        <v>0.23699999999999999</v>
      </c>
      <c r="F40">
        <v>0.41099999999999998</v>
      </c>
      <c r="G40">
        <v>0.255</v>
      </c>
      <c r="H40">
        <v>0.29799999999999999</v>
      </c>
      <c r="I40">
        <v>0.35099999999999998</v>
      </c>
      <c r="J40">
        <v>0.34100000000000003</v>
      </c>
    </row>
    <row r="41" spans="1:13" x14ac:dyDescent="0.25">
      <c r="A41" t="s">
        <v>68</v>
      </c>
      <c r="B41">
        <v>0.16</v>
      </c>
      <c r="C41">
        <v>0.32</v>
      </c>
      <c r="D41">
        <v>0.249</v>
      </c>
      <c r="E41">
        <v>0.27100000000000002</v>
      </c>
      <c r="F41">
        <v>0.28999999999999998</v>
      </c>
      <c r="G41">
        <v>0.29599999999999999</v>
      </c>
      <c r="H41">
        <v>0.23499999999999999</v>
      </c>
      <c r="I41">
        <v>0.16900000000000001</v>
      </c>
    </row>
    <row r="42" spans="1:13" x14ac:dyDescent="0.25">
      <c r="A42" t="s">
        <v>69</v>
      </c>
      <c r="B42">
        <v>0.11799999999999999</v>
      </c>
      <c r="C42">
        <v>0.14699999999999999</v>
      </c>
      <c r="D42">
        <v>0.158</v>
      </c>
      <c r="E42">
        <v>0.14899999999999999</v>
      </c>
      <c r="F42">
        <v>0.13500000000000001</v>
      </c>
      <c r="G42">
        <v>0.14399999999999999</v>
      </c>
    </row>
    <row r="43" spans="1:13" x14ac:dyDescent="0.25">
      <c r="A43" t="s">
        <v>70</v>
      </c>
      <c r="B43">
        <v>0.621</v>
      </c>
      <c r="C43">
        <v>0.317</v>
      </c>
      <c r="D43">
        <v>0.308</v>
      </c>
      <c r="E43">
        <v>0.379</v>
      </c>
      <c r="F43">
        <v>0.26300000000000001</v>
      </c>
      <c r="G43">
        <v>0.28799999999999998</v>
      </c>
    </row>
    <row r="44" spans="1:13" x14ac:dyDescent="0.25">
      <c r="A44" t="s">
        <v>71</v>
      </c>
      <c r="B44">
        <v>0.46600000000000003</v>
      </c>
      <c r="C44">
        <v>0.53900000000000003</v>
      </c>
      <c r="D44">
        <v>0.41699999999999998</v>
      </c>
      <c r="E44">
        <v>0.375</v>
      </c>
      <c r="F44">
        <v>0.47199999999999998</v>
      </c>
    </row>
    <row r="45" spans="1:13" x14ac:dyDescent="0.25">
      <c r="A45" t="s">
        <v>72</v>
      </c>
      <c r="B45">
        <v>3.35</v>
      </c>
      <c r="C45">
        <v>3.2</v>
      </c>
      <c r="D45">
        <v>2.34</v>
      </c>
      <c r="E45">
        <v>2.93</v>
      </c>
      <c r="F45">
        <v>2.2400000000000002</v>
      </c>
      <c r="G45">
        <v>1.68</v>
      </c>
      <c r="H45">
        <v>2.29</v>
      </c>
      <c r="I45">
        <v>1.66</v>
      </c>
      <c r="J45">
        <v>1.0900000000000001</v>
      </c>
      <c r="K45">
        <v>0.81899999999999995</v>
      </c>
      <c r="L45">
        <v>0.65200000000000002</v>
      </c>
      <c r="M45">
        <v>0.64</v>
      </c>
    </row>
    <row r="46" spans="1:13" x14ac:dyDescent="0.25">
      <c r="A46" t="s">
        <v>73</v>
      </c>
      <c r="B46">
        <v>0.125</v>
      </c>
      <c r="C46">
        <v>0.14299999999999999</v>
      </c>
      <c r="D46">
        <v>0.13300000000000001</v>
      </c>
      <c r="E46">
        <v>0.105</v>
      </c>
      <c r="F46">
        <v>0.1</v>
      </c>
      <c r="G46">
        <v>4.5999999999999999E-2</v>
      </c>
      <c r="H46">
        <v>2.7E-2</v>
      </c>
      <c r="I46">
        <v>2.1000000000000001E-2</v>
      </c>
      <c r="J46">
        <v>2.1000000000000001E-2</v>
      </c>
      <c r="K46">
        <v>0.02</v>
      </c>
    </row>
    <row r="47" spans="1:13" x14ac:dyDescent="0.25">
      <c r="A47" t="s">
        <v>74</v>
      </c>
      <c r="B47">
        <v>1.33</v>
      </c>
      <c r="C47">
        <v>1.1200000000000001</v>
      </c>
      <c r="D47" s="5">
        <v>0.39444444444444443</v>
      </c>
      <c r="E47">
        <v>1.47</v>
      </c>
      <c r="F47">
        <v>1.63</v>
      </c>
      <c r="G47">
        <v>1.5</v>
      </c>
      <c r="H47">
        <v>1.25</v>
      </c>
      <c r="I47">
        <v>0.69499999999999995</v>
      </c>
      <c r="J47">
        <v>0.33800000000000002</v>
      </c>
      <c r="K47">
        <v>0.222</v>
      </c>
    </row>
    <row r="48" spans="1:13" x14ac:dyDescent="0.25">
      <c r="A48" t="s">
        <v>75</v>
      </c>
      <c r="B48">
        <v>4.4999999999999998E-2</v>
      </c>
      <c r="C48">
        <v>4.4999999999999998E-2</v>
      </c>
      <c r="D48">
        <v>0.08</v>
      </c>
      <c r="E48">
        <v>5.8999999999999997E-2</v>
      </c>
      <c r="F48">
        <v>5.5E-2</v>
      </c>
      <c r="G48">
        <v>5.5E-2</v>
      </c>
      <c r="H48">
        <v>6.6000000000000003E-2</v>
      </c>
      <c r="I48">
        <v>5.5E-2</v>
      </c>
    </row>
    <row r="49" spans="1:13" x14ac:dyDescent="0.25">
      <c r="A49" t="s">
        <v>76</v>
      </c>
      <c r="B49">
        <v>0.47499999999999998</v>
      </c>
      <c r="C49">
        <v>0.47599999999999998</v>
      </c>
      <c r="D49">
        <v>0.624</v>
      </c>
      <c r="E49">
        <v>0.624</v>
      </c>
      <c r="F49">
        <v>0.73299999999999998</v>
      </c>
      <c r="G49">
        <v>0.51500000000000001</v>
      </c>
      <c r="H49">
        <v>0.497</v>
      </c>
      <c r="I49">
        <v>0.42599999999999999</v>
      </c>
    </row>
    <row r="50" spans="1:13" x14ac:dyDescent="0.25">
      <c r="A50" t="s">
        <v>77</v>
      </c>
      <c r="B50">
        <v>2.1999999999999999E-2</v>
      </c>
      <c r="C50">
        <v>7.4999999999999997E-2</v>
      </c>
      <c r="D50">
        <v>5.52</v>
      </c>
      <c r="E50">
        <v>0.26800000000000002</v>
      </c>
      <c r="F50">
        <v>0.32900000000000001</v>
      </c>
      <c r="G50">
        <v>0.439</v>
      </c>
      <c r="H50">
        <v>0.44800000000000001</v>
      </c>
      <c r="I50">
        <v>0.38400000000000001</v>
      </c>
    </row>
    <row r="51" spans="1:13" x14ac:dyDescent="0.25">
      <c r="A51" t="s">
        <v>78</v>
      </c>
      <c r="B51">
        <v>0.54</v>
      </c>
      <c r="C51">
        <v>0.47599999999999998</v>
      </c>
      <c r="D51">
        <v>0.53500000000000003</v>
      </c>
      <c r="E51">
        <v>1.36</v>
      </c>
      <c r="F51">
        <v>0.94</v>
      </c>
      <c r="G51">
        <v>1</v>
      </c>
      <c r="H51">
        <v>0.88600000000000001</v>
      </c>
      <c r="I51">
        <v>0.82799999999999996</v>
      </c>
      <c r="J51">
        <v>0.91</v>
      </c>
      <c r="K51">
        <v>0.81699999999999995</v>
      </c>
      <c r="L51">
        <v>0.74</v>
      </c>
      <c r="M51">
        <v>0.53200000000000003</v>
      </c>
    </row>
    <row r="52" spans="1:13" x14ac:dyDescent="0.25">
      <c r="A52" t="s">
        <v>79</v>
      </c>
      <c r="B52">
        <v>0.26700000000000002</v>
      </c>
      <c r="C52">
        <v>0.83299999999999996</v>
      </c>
      <c r="D52">
        <v>1.82</v>
      </c>
      <c r="E52">
        <v>1.04</v>
      </c>
      <c r="F52">
        <v>1.2</v>
      </c>
      <c r="G52">
        <v>1.03</v>
      </c>
      <c r="H52">
        <v>0.59299999999999997</v>
      </c>
    </row>
    <row r="53" spans="1:13" x14ac:dyDescent="0.25">
      <c r="A53" t="s">
        <v>80</v>
      </c>
      <c r="B53">
        <v>9.6000000000000002E-2</v>
      </c>
      <c r="C53">
        <v>9.8000000000000004E-2</v>
      </c>
      <c r="D53">
        <v>0.106</v>
      </c>
      <c r="E53">
        <v>7.4999999999999997E-2</v>
      </c>
      <c r="F53">
        <v>8.2000000000000003E-2</v>
      </c>
      <c r="G53">
        <v>0.126</v>
      </c>
      <c r="H53">
        <v>0.13700000000000001</v>
      </c>
      <c r="I53">
        <v>0.13900000000000001</v>
      </c>
    </row>
    <row r="54" spans="1:13" x14ac:dyDescent="0.25">
      <c r="A54" t="s">
        <v>81</v>
      </c>
      <c r="B54">
        <v>0.79800000000000004</v>
      </c>
      <c r="C54">
        <v>1.95</v>
      </c>
      <c r="D54">
        <v>5.08</v>
      </c>
      <c r="E54">
        <v>4.74</v>
      </c>
      <c r="F54">
        <v>4.32</v>
      </c>
      <c r="G54">
        <v>3.05</v>
      </c>
      <c r="H54">
        <v>1.78</v>
      </c>
    </row>
    <row r="55" spans="1:13" x14ac:dyDescent="0.25">
      <c r="A55" t="s">
        <v>82</v>
      </c>
      <c r="B55">
        <v>4.5999999999999999E-2</v>
      </c>
      <c r="C55">
        <v>4.4999999999999998E-2</v>
      </c>
      <c r="D55">
        <v>0.18</v>
      </c>
      <c r="E55">
        <v>0.17100000000000001</v>
      </c>
      <c r="F55">
        <v>0.17199999999999999</v>
      </c>
      <c r="G55">
        <v>0.13</v>
      </c>
      <c r="H55">
        <v>0.1</v>
      </c>
      <c r="I55">
        <v>0.09</v>
      </c>
      <c r="J55">
        <v>7.6999999999999999E-2</v>
      </c>
      <c r="K55">
        <v>5.5E-2</v>
      </c>
    </row>
    <row r="56" spans="1:13" x14ac:dyDescent="0.25">
      <c r="A56" t="s">
        <v>83</v>
      </c>
      <c r="B56">
        <v>0.873</v>
      </c>
      <c r="C56">
        <v>0.81299999999999994</v>
      </c>
      <c r="D56">
        <v>0.96199999999999997</v>
      </c>
      <c r="E56">
        <v>0.86399999999999999</v>
      </c>
      <c r="F56">
        <v>0.83199999999999996</v>
      </c>
      <c r="G56">
        <v>0.60499999999999998</v>
      </c>
    </row>
    <row r="57" spans="1:13" x14ac:dyDescent="0.25">
      <c r="A57" t="s">
        <v>84</v>
      </c>
      <c r="B57">
        <v>0.47699999999999998</v>
      </c>
      <c r="C57">
        <v>0.626</v>
      </c>
      <c r="D57">
        <v>0.85599999999999998</v>
      </c>
      <c r="E57">
        <v>0.81299999999999994</v>
      </c>
      <c r="F57">
        <v>0.871</v>
      </c>
      <c r="G57">
        <v>0.85899999999999999</v>
      </c>
      <c r="H57">
        <v>0.877</v>
      </c>
      <c r="I57">
        <v>1</v>
      </c>
      <c r="J57">
        <v>1.26</v>
      </c>
      <c r="K57">
        <v>1.05</v>
      </c>
      <c r="L57">
        <v>1</v>
      </c>
    </row>
    <row r="58" spans="1:13" x14ac:dyDescent="0.25">
      <c r="A58" t="s">
        <v>85</v>
      </c>
      <c r="B58">
        <v>0.01</v>
      </c>
      <c r="C58">
        <v>0.01</v>
      </c>
      <c r="D58">
        <v>8.6999999999999994E-2</v>
      </c>
      <c r="E58">
        <v>8.5000000000000006E-2</v>
      </c>
      <c r="F58">
        <v>0.108</v>
      </c>
      <c r="G58">
        <v>9.2999999999999999E-2</v>
      </c>
      <c r="H58">
        <v>8.8999999999999996E-2</v>
      </c>
    </row>
    <row r="59" spans="1:13" x14ac:dyDescent="0.25">
      <c r="A59" t="s">
        <v>86</v>
      </c>
      <c r="B59">
        <v>1.4E-2</v>
      </c>
      <c r="C59">
        <v>1.2999999999999999E-2</v>
      </c>
      <c r="D59">
        <v>0.122</v>
      </c>
      <c r="E59">
        <v>0.17599999999999999</v>
      </c>
      <c r="F59">
        <v>0.11</v>
      </c>
      <c r="G59">
        <v>0.14099999999999999</v>
      </c>
      <c r="H59">
        <v>0.154</v>
      </c>
      <c r="I59">
        <v>0.13500000000000001</v>
      </c>
    </row>
    <row r="60" spans="1:13" x14ac:dyDescent="0.25">
      <c r="A60" t="s">
        <v>87</v>
      </c>
      <c r="B60">
        <v>0.13700000000000001</v>
      </c>
      <c r="C60">
        <v>0.11700000000000001</v>
      </c>
      <c r="D60">
        <v>0.12</v>
      </c>
      <c r="E60">
        <v>0.151</v>
      </c>
      <c r="F60">
        <v>0.14399999999999999</v>
      </c>
      <c r="G60">
        <v>0.112</v>
      </c>
    </row>
    <row r="61" spans="1:13" x14ac:dyDescent="0.25">
      <c r="A61" t="s">
        <v>139</v>
      </c>
      <c r="B61">
        <v>5.3499999999999999E-2</v>
      </c>
      <c r="C61">
        <v>5.7700000000000001E-2</v>
      </c>
      <c r="D61">
        <v>4.3799999999999999E-2</v>
      </c>
      <c r="E61">
        <v>3.4200000000000001E-2</v>
      </c>
      <c r="F61">
        <v>3.15E-2</v>
      </c>
      <c r="G61">
        <v>2.4399999999999998E-2</v>
      </c>
      <c r="H61">
        <v>1.9E-2</v>
      </c>
      <c r="I61">
        <v>1.2800000000000001E-2</v>
      </c>
    </row>
    <row r="62" spans="1:13" x14ac:dyDescent="0.25">
      <c r="A62" t="s">
        <v>140</v>
      </c>
      <c r="B62">
        <v>1.8100000000000002E-2</v>
      </c>
      <c r="C62">
        <v>1.2199999999999999E-2</v>
      </c>
      <c r="D62">
        <v>8.0999999999999996E-3</v>
      </c>
      <c r="E62">
        <v>5.7000000000000002E-3</v>
      </c>
      <c r="F62">
        <v>1.26E-2</v>
      </c>
      <c r="G62">
        <v>7.6E-3</v>
      </c>
      <c r="H62">
        <v>7.7000000000000002E-3</v>
      </c>
    </row>
    <row r="63" spans="1:13" x14ac:dyDescent="0.25">
      <c r="A63" t="s">
        <v>141</v>
      </c>
      <c r="B63">
        <v>0.158</v>
      </c>
      <c r="C63">
        <v>0.14399999999999999</v>
      </c>
      <c r="D63">
        <v>0.11</v>
      </c>
      <c r="E63">
        <v>0.127</v>
      </c>
      <c r="F63">
        <v>0.157</v>
      </c>
      <c r="G63">
        <v>0.153</v>
      </c>
    </row>
    <row r="64" spans="1:13" x14ac:dyDescent="0.25">
      <c r="A64" t="s">
        <v>142</v>
      </c>
      <c r="B64">
        <v>5.5E-2</v>
      </c>
      <c r="C64">
        <v>4.9000000000000002E-2</v>
      </c>
      <c r="D64">
        <v>0.104</v>
      </c>
      <c r="E64">
        <v>0.249</v>
      </c>
      <c r="F64">
        <v>0.17299999999999999</v>
      </c>
      <c r="G64">
        <v>0.13400000000000001</v>
      </c>
    </row>
    <row r="65" spans="1:16" x14ac:dyDescent="0.25">
      <c r="A65" t="s">
        <v>143</v>
      </c>
      <c r="B65">
        <v>0.08</v>
      </c>
      <c r="C65">
        <v>0.126</v>
      </c>
      <c r="D65">
        <v>0.13500000000000001</v>
      </c>
      <c r="E65">
        <v>0.128</v>
      </c>
      <c r="F65">
        <v>0.12</v>
      </c>
      <c r="G65">
        <v>0.13</v>
      </c>
    </row>
    <row r="66" spans="1:16" x14ac:dyDescent="0.25">
      <c r="A66" t="s">
        <v>144</v>
      </c>
      <c r="B66">
        <v>0.33229999999999998</v>
      </c>
      <c r="C66">
        <v>1.23</v>
      </c>
      <c r="D66">
        <v>1.0329999999999999</v>
      </c>
      <c r="E66">
        <v>0.54110000000000003</v>
      </c>
      <c r="F66">
        <v>0.61420000000000008</v>
      </c>
      <c r="G66">
        <v>0.6804</v>
      </c>
    </row>
    <row r="67" spans="1:16" x14ac:dyDescent="0.25">
      <c r="A67" t="s">
        <v>145</v>
      </c>
      <c r="B67">
        <v>1.64</v>
      </c>
      <c r="C67">
        <v>1.9</v>
      </c>
      <c r="D67">
        <v>2.39</v>
      </c>
      <c r="E67">
        <v>2.62</v>
      </c>
      <c r="F67">
        <v>1.63</v>
      </c>
      <c r="G67">
        <v>1.1599999999999999</v>
      </c>
      <c r="H67">
        <v>1.1000000000000001</v>
      </c>
      <c r="I67">
        <v>0.79600000000000004</v>
      </c>
      <c r="J67">
        <v>0.40699999999999997</v>
      </c>
      <c r="K67">
        <v>0.27100000000000002</v>
      </c>
      <c r="L67">
        <v>0.183</v>
      </c>
      <c r="M67">
        <v>0.13200000000000001</v>
      </c>
      <c r="N67">
        <v>6.9000000000000006E-2</v>
      </c>
      <c r="O67">
        <v>5.3999999999999999E-2</v>
      </c>
      <c r="P67">
        <v>4.2000000000000003E-2</v>
      </c>
    </row>
    <row r="68" spans="1:16" x14ac:dyDescent="0.25">
      <c r="A68" t="s">
        <v>146</v>
      </c>
      <c r="B68">
        <v>0.97399999999999998</v>
      </c>
      <c r="C68">
        <v>1.08</v>
      </c>
      <c r="D68">
        <v>0.64300000000000002</v>
      </c>
      <c r="E68">
        <v>0.78100000000000003</v>
      </c>
      <c r="F68">
        <v>0.90500000000000003</v>
      </c>
      <c r="G68">
        <v>0.748</v>
      </c>
      <c r="H68">
        <v>0.65</v>
      </c>
      <c r="I68">
        <v>0.46</v>
      </c>
      <c r="J68">
        <v>0.29499999999999998</v>
      </c>
    </row>
    <row r="69" spans="1:16" x14ac:dyDescent="0.25">
      <c r="A69" t="s">
        <v>148</v>
      </c>
      <c r="B69">
        <v>0.73399999999999999</v>
      </c>
      <c r="C69">
        <v>1.81</v>
      </c>
      <c r="D69">
        <v>2.56</v>
      </c>
      <c r="E69">
        <v>1.46</v>
      </c>
      <c r="F69">
        <v>1.35</v>
      </c>
      <c r="G69">
        <v>1.35</v>
      </c>
      <c r="H69">
        <v>1.02</v>
      </c>
      <c r="I69">
        <v>0.57799999999999996</v>
      </c>
    </row>
    <row r="70" spans="1:16" x14ac:dyDescent="0.25">
      <c r="A70" t="s">
        <v>149</v>
      </c>
      <c r="B70">
        <v>0.42299999999999999</v>
      </c>
      <c r="C70">
        <v>0.47599999999999998</v>
      </c>
      <c r="D70">
        <v>0.44800000000000001</v>
      </c>
      <c r="E70">
        <v>0.46300000000000002</v>
      </c>
      <c r="F70">
        <v>0.44700000000000001</v>
      </c>
      <c r="G70">
        <v>0.314</v>
      </c>
      <c r="H70">
        <v>0.19600000000000001</v>
      </c>
    </row>
    <row r="71" spans="1:16" x14ac:dyDescent="0.25">
      <c r="A71" t="s">
        <v>150</v>
      </c>
      <c r="B71">
        <v>0.19800000000000001</v>
      </c>
      <c r="C71">
        <v>0.19800000000000001</v>
      </c>
      <c r="D71">
        <v>0.17199999999999999</v>
      </c>
      <c r="E71">
        <v>0.106</v>
      </c>
      <c r="F71">
        <v>9.9000000000000005E-2</v>
      </c>
      <c r="G71">
        <v>7.4999999999999997E-2</v>
      </c>
      <c r="H71">
        <v>4.8000000000000001E-2</v>
      </c>
      <c r="I71">
        <v>6.2E-2</v>
      </c>
      <c r="J71">
        <v>6.4000000000000001E-2</v>
      </c>
      <c r="K71">
        <v>5.7000000000000002E-2</v>
      </c>
      <c r="L71">
        <v>4.7E-2</v>
      </c>
      <c r="M71">
        <v>3.7999999999999999E-2</v>
      </c>
    </row>
    <row r="72" spans="1:16" x14ac:dyDescent="0.25">
      <c r="A72" t="s">
        <v>151</v>
      </c>
      <c r="B72">
        <v>0.27779999999999999</v>
      </c>
      <c r="C72">
        <v>0.62139999999999995</v>
      </c>
      <c r="D72">
        <v>0.98739999999999994</v>
      </c>
      <c r="E72">
        <v>1.6619999999999999</v>
      </c>
      <c r="F72">
        <v>1.6639999999999999</v>
      </c>
      <c r="G72">
        <v>1.95</v>
      </c>
      <c r="H72">
        <v>1.7929999999999999</v>
      </c>
      <c r="I72">
        <v>1.3460000000000001</v>
      </c>
      <c r="J72">
        <v>0.5494</v>
      </c>
      <c r="K72">
        <v>0.23519999999999999</v>
      </c>
    </row>
    <row r="73" spans="1:16" x14ac:dyDescent="0.25">
      <c r="A73" t="s">
        <v>152</v>
      </c>
      <c r="B73">
        <v>0.16240000000000002</v>
      </c>
      <c r="C73">
        <v>9.9900000000000003E-2</v>
      </c>
      <c r="D73">
        <v>4.6700000000000005E-2</v>
      </c>
      <c r="E73">
        <v>4.1200000000000001E-2</v>
      </c>
      <c r="F73">
        <v>2.7300000000000001E-2</v>
      </c>
    </row>
    <row r="74" spans="1:16" x14ac:dyDescent="0.25">
      <c r="A74" t="s">
        <v>153</v>
      </c>
      <c r="B74">
        <v>0.184</v>
      </c>
      <c r="C74">
        <v>0.192</v>
      </c>
      <c r="D74">
        <v>0.20300000000000001</v>
      </c>
      <c r="E74">
        <v>0.218</v>
      </c>
      <c r="F74">
        <v>0.23799999999999999</v>
      </c>
    </row>
    <row r="75" spans="1:16" x14ac:dyDescent="0.25">
      <c r="A75" t="s">
        <v>154</v>
      </c>
      <c r="B75">
        <v>0.89200000000000002</v>
      </c>
      <c r="C75">
        <v>0.83099999999999996</v>
      </c>
      <c r="D75">
        <v>0.67400000000000004</v>
      </c>
      <c r="E75">
        <v>0.63900000000000001</v>
      </c>
      <c r="F75">
        <v>0.38200000000000001</v>
      </c>
      <c r="G75">
        <v>0.28000000000000003</v>
      </c>
      <c r="H75">
        <v>0.13800000000000001</v>
      </c>
    </row>
    <row r="76" spans="1:16" x14ac:dyDescent="0.25">
      <c r="A76" t="s">
        <v>155</v>
      </c>
      <c r="B76">
        <v>0.06</v>
      </c>
      <c r="C76">
        <v>5.8000000000000003E-2</v>
      </c>
      <c r="D76">
        <v>5.8999999999999997E-2</v>
      </c>
      <c r="E76">
        <v>7.5999999999999998E-2</v>
      </c>
      <c r="F76">
        <v>5.3999999999999999E-2</v>
      </c>
    </row>
    <row r="77" spans="1:16" x14ac:dyDescent="0.25">
      <c r="A77" t="s">
        <v>156</v>
      </c>
      <c r="B77">
        <v>0.39</v>
      </c>
      <c r="C77">
        <v>1.26</v>
      </c>
      <c r="D77">
        <v>0.89300000000000002</v>
      </c>
      <c r="E77">
        <v>0.73499999999999999</v>
      </c>
      <c r="F77">
        <v>0.66600000000000004</v>
      </c>
      <c r="G77">
        <v>0.63400000000000001</v>
      </c>
      <c r="H77">
        <v>0.63900000000000001</v>
      </c>
      <c r="I77">
        <v>0.443</v>
      </c>
      <c r="J77">
        <v>0.30599999999999999</v>
      </c>
      <c r="K77">
        <v>0.22700000000000001</v>
      </c>
      <c r="L77">
        <v>0.157</v>
      </c>
    </row>
    <row r="78" spans="1:16" x14ac:dyDescent="0.25">
      <c r="A78" t="s">
        <v>157</v>
      </c>
      <c r="B78">
        <v>0.34399999999999997</v>
      </c>
      <c r="C78">
        <v>0.30499999999999999</v>
      </c>
      <c r="D78">
        <v>0.25</v>
      </c>
      <c r="E78">
        <v>0.20899999999999999</v>
      </c>
      <c r="F78">
        <v>0.158</v>
      </c>
      <c r="G78">
        <v>0.13800000000000001</v>
      </c>
      <c r="H78">
        <v>8.0000000000000002E-3</v>
      </c>
      <c r="I78">
        <v>7.5999999999999998E-2</v>
      </c>
      <c r="J78">
        <v>8.4000000000000005E-2</v>
      </c>
      <c r="K78">
        <v>7.3999999999999996E-2</v>
      </c>
      <c r="L78">
        <v>7.9000000000000001E-2</v>
      </c>
    </row>
    <row r="79" spans="1:16" x14ac:dyDescent="0.25">
      <c r="A79" t="s">
        <v>158</v>
      </c>
      <c r="B79">
        <v>0.13</v>
      </c>
      <c r="C79">
        <v>0.217</v>
      </c>
      <c r="D79">
        <v>0.14699999999999999</v>
      </c>
      <c r="E79">
        <v>0.1</v>
      </c>
      <c r="F79">
        <v>9.5000000000000001E-2</v>
      </c>
      <c r="G79">
        <v>7.5999999999999998E-2</v>
      </c>
    </row>
    <row r="80" spans="1:16" x14ac:dyDescent="0.25">
      <c r="A80" t="s">
        <v>159</v>
      </c>
      <c r="B80">
        <v>3.0000000000000001E-3</v>
      </c>
      <c r="C80">
        <v>7.0000000000000001E-3</v>
      </c>
      <c r="D80">
        <v>3.0000000000000001E-3</v>
      </c>
      <c r="E80">
        <v>3.0000000000000001E-3</v>
      </c>
    </row>
    <row r="81" spans="1:13" x14ac:dyDescent="0.25">
      <c r="A81" t="s">
        <v>160</v>
      </c>
      <c r="B81">
        <v>6.0000000000000001E-3</v>
      </c>
      <c r="C81">
        <v>7.0000000000000001E-3</v>
      </c>
      <c r="D81">
        <v>7.0000000000000001E-3</v>
      </c>
      <c r="E81">
        <v>8.0000000000000002E-3</v>
      </c>
      <c r="F81">
        <v>2.4E-2</v>
      </c>
      <c r="G81">
        <v>1.7000000000000001E-2</v>
      </c>
      <c r="H81">
        <v>1.2999999999999999E-2</v>
      </c>
      <c r="I81">
        <v>1.2999999999999999E-2</v>
      </c>
    </row>
    <row r="82" spans="1:13" x14ac:dyDescent="0.25">
      <c r="A82" t="s">
        <v>162</v>
      </c>
      <c r="B82">
        <v>1.38</v>
      </c>
      <c r="C82">
        <v>1.65</v>
      </c>
      <c r="D82">
        <v>1.53</v>
      </c>
      <c r="E82">
        <v>1.66</v>
      </c>
      <c r="F82">
        <v>1.65</v>
      </c>
    </row>
    <row r="83" spans="1:13" x14ac:dyDescent="0.25">
      <c r="A83" t="s">
        <v>163</v>
      </c>
      <c r="B83">
        <v>8.9999999999999993E-3</v>
      </c>
      <c r="C83">
        <v>8.0000000000000002E-3</v>
      </c>
      <c r="D83">
        <v>1.0999999999999999E-2</v>
      </c>
      <c r="E83">
        <v>2.1000000000000001E-2</v>
      </c>
      <c r="F83">
        <v>9.0999999999999998E-2</v>
      </c>
      <c r="G83">
        <v>0.156</v>
      </c>
      <c r="H83">
        <v>0.108</v>
      </c>
      <c r="I83">
        <v>0.04</v>
      </c>
      <c r="J83">
        <v>9.6000000000000002E-2</v>
      </c>
      <c r="K83">
        <v>5.3999999999999999E-2</v>
      </c>
      <c r="L83">
        <v>8.5999999999999993E-2</v>
      </c>
      <c r="M83">
        <v>9.2999999999999999E-2</v>
      </c>
    </row>
    <row r="84" spans="1:13" x14ac:dyDescent="0.25">
      <c r="A84" t="s">
        <v>164</v>
      </c>
      <c r="B84">
        <v>0.20699999999999999</v>
      </c>
      <c r="C84">
        <v>0.20599999999999999</v>
      </c>
      <c r="D84">
        <v>0.59899999999999998</v>
      </c>
      <c r="E84">
        <v>0.52900000000000003</v>
      </c>
      <c r="F84">
        <v>0.69799999999999995</v>
      </c>
      <c r="G84">
        <v>0.63200000000000001</v>
      </c>
      <c r="H84">
        <v>0.44700000000000001</v>
      </c>
    </row>
    <row r="85" spans="1:13" x14ac:dyDescent="0.25">
      <c r="A85" t="s">
        <v>165</v>
      </c>
      <c r="B85">
        <v>0.24049999999999999</v>
      </c>
      <c r="C85">
        <v>0.75179999999999991</v>
      </c>
      <c r="D85">
        <v>1.284</v>
      </c>
      <c r="E85">
        <v>0.9282999999999999</v>
      </c>
      <c r="F85">
        <v>1.018</v>
      </c>
      <c r="G85">
        <v>0.80020000000000002</v>
      </c>
      <c r="H85">
        <v>0.49869999999999998</v>
      </c>
    </row>
    <row r="86" spans="1:13" x14ac:dyDescent="0.25">
      <c r="A86" t="s">
        <v>166</v>
      </c>
      <c r="B86">
        <v>1.1359999999999999</v>
      </c>
      <c r="C86">
        <v>2.835</v>
      </c>
      <c r="D86">
        <v>2.7810000000000001</v>
      </c>
      <c r="E86">
        <v>1.9430000000000001</v>
      </c>
      <c r="F86">
        <v>2.2090000000000001</v>
      </c>
      <c r="G86">
        <v>2.5230000000000001</v>
      </c>
      <c r="H86">
        <v>1.8560000000000001</v>
      </c>
      <c r="I86">
        <v>1.165</v>
      </c>
      <c r="J86">
        <v>0.52729999999999999</v>
      </c>
      <c r="K86">
        <v>0.25459999999999999</v>
      </c>
      <c r="L86">
        <v>0.10890000000000001</v>
      </c>
      <c r="M86">
        <v>5.3800000000000001E-2</v>
      </c>
    </row>
    <row r="87" spans="1:13" x14ac:dyDescent="0.25">
      <c r="A87" t="s">
        <v>168</v>
      </c>
      <c r="B87">
        <v>0.55700000000000005</v>
      </c>
      <c r="C87">
        <v>1.49</v>
      </c>
      <c r="D87">
        <v>0.66600000000000004</v>
      </c>
      <c r="E87">
        <v>0.72399999999999998</v>
      </c>
      <c r="F87">
        <v>0.748</v>
      </c>
      <c r="G87">
        <v>0.79100000000000004</v>
      </c>
      <c r="H87">
        <v>0.60099999999999998</v>
      </c>
      <c r="I87">
        <v>0.42899999999999999</v>
      </c>
    </row>
    <row r="88" spans="1:13" x14ac:dyDescent="0.25">
      <c r="A88" t="s">
        <v>169</v>
      </c>
      <c r="B88">
        <v>9.4E-2</v>
      </c>
      <c r="C88">
        <v>0.224</v>
      </c>
      <c r="D88">
        <v>0.308</v>
      </c>
      <c r="E88">
        <v>0.28000000000000003</v>
      </c>
      <c r="F88">
        <v>0.32400000000000001</v>
      </c>
      <c r="G88">
        <v>0.34200000000000003</v>
      </c>
      <c r="H88">
        <v>0.33700000000000002</v>
      </c>
    </row>
    <row r="89" spans="1:13" x14ac:dyDescent="0.25">
      <c r="A89" t="s">
        <v>170</v>
      </c>
      <c r="B89">
        <v>9.7799999999999998E-2</v>
      </c>
      <c r="C89">
        <v>7.740000000000001E-2</v>
      </c>
      <c r="D89">
        <v>8.3699999999999997E-2</v>
      </c>
      <c r="E89">
        <v>6.6799999999999998E-2</v>
      </c>
      <c r="F89">
        <v>5.2700000000000004E-2</v>
      </c>
      <c r="G89">
        <v>3.61E-2</v>
      </c>
      <c r="H89">
        <v>6.7799999999999999E-2</v>
      </c>
      <c r="I89">
        <v>9.8000000000000004E-2</v>
      </c>
      <c r="J89">
        <v>7.9700000000000007E-2</v>
      </c>
      <c r="K89">
        <v>7.1300000000000002E-2</v>
      </c>
    </row>
    <row r="90" spans="1:13" x14ac:dyDescent="0.25">
      <c r="A90" t="s">
        <v>171</v>
      </c>
      <c r="B90">
        <v>0.28370000000000001</v>
      </c>
      <c r="C90">
        <v>0.23810000000000001</v>
      </c>
      <c r="D90">
        <v>0.30499999999999999</v>
      </c>
      <c r="E90">
        <v>0.1835</v>
      </c>
      <c r="F90">
        <v>0.18919999999999998</v>
      </c>
    </row>
    <row r="91" spans="1:13" x14ac:dyDescent="0.25">
      <c r="A91" t="s">
        <v>172</v>
      </c>
      <c r="B91">
        <v>0.24530000000000002</v>
      </c>
      <c r="C91">
        <v>0.30219999999999997</v>
      </c>
      <c r="D91">
        <v>0.39369999999999999</v>
      </c>
      <c r="E91">
        <v>0.25390000000000001</v>
      </c>
      <c r="F91">
        <v>0.28589999999999999</v>
      </c>
      <c r="G91">
        <v>0.32430000000000003</v>
      </c>
      <c r="H91">
        <v>0.1812</v>
      </c>
    </row>
    <row r="92" spans="1:13" x14ac:dyDescent="0.25">
      <c r="A92" t="s">
        <v>173</v>
      </c>
      <c r="B92">
        <v>9.9699999999999997E-2</v>
      </c>
      <c r="D92">
        <v>0.46139999999999998</v>
      </c>
      <c r="E92">
        <v>0.38119999999999998</v>
      </c>
      <c r="F92">
        <v>0.4395</v>
      </c>
      <c r="G92">
        <v>0.49339999999999995</v>
      </c>
      <c r="H92">
        <v>0.47020000000000001</v>
      </c>
      <c r="I92">
        <v>0.31560000000000005</v>
      </c>
    </row>
    <row r="93" spans="1:13" x14ac:dyDescent="0.25">
      <c r="A93" t="s">
        <v>174</v>
      </c>
      <c r="B93">
        <v>1.1890000000000001</v>
      </c>
      <c r="C93">
        <v>0.88270000000000004</v>
      </c>
      <c r="D93">
        <v>0.6079</v>
      </c>
      <c r="E93">
        <v>0.36969999999999997</v>
      </c>
      <c r="F93">
        <v>0.15759999999999999</v>
      </c>
      <c r="G93">
        <v>8.4699999999999998E-2</v>
      </c>
      <c r="H93">
        <v>5.9400000000000001E-2</v>
      </c>
      <c r="I93">
        <v>4.0500000000000001E-2</v>
      </c>
    </row>
    <row r="94" spans="1:13" x14ac:dyDescent="0.25">
      <c r="A94" t="s">
        <v>175</v>
      </c>
      <c r="B94">
        <v>3.5000000000000003E-2</v>
      </c>
      <c r="C94">
        <v>5.61</v>
      </c>
      <c r="D94">
        <v>6.17</v>
      </c>
      <c r="E94">
        <v>3.09</v>
      </c>
      <c r="F94">
        <v>3.16</v>
      </c>
      <c r="G94">
        <v>3.87</v>
      </c>
      <c r="H94">
        <v>3.79</v>
      </c>
      <c r="I94">
        <v>3.1</v>
      </c>
      <c r="J94">
        <v>1.43</v>
      </c>
    </row>
    <row r="95" spans="1:13" x14ac:dyDescent="0.25">
      <c r="A95" t="s">
        <v>176</v>
      </c>
      <c r="B95">
        <v>9.6000000000000002E-2</v>
      </c>
      <c r="C95">
        <v>0.23300000000000001</v>
      </c>
      <c r="D95">
        <v>0.17799999999999999</v>
      </c>
      <c r="E95">
        <v>0.16800000000000001</v>
      </c>
      <c r="F95">
        <v>0.182</v>
      </c>
    </row>
    <row r="96" spans="1:13" x14ac:dyDescent="0.25">
      <c r="A96" t="s">
        <v>177</v>
      </c>
      <c r="B96">
        <v>0.315</v>
      </c>
      <c r="C96">
        <v>0.318</v>
      </c>
      <c r="D96">
        <v>0.26700000000000002</v>
      </c>
      <c r="E96">
        <v>0.39400000000000002</v>
      </c>
      <c r="F96">
        <v>0.41799999999999998</v>
      </c>
    </row>
    <row r="97" spans="1:13" x14ac:dyDescent="0.25">
      <c r="A97" t="s">
        <v>178</v>
      </c>
      <c r="B97">
        <v>5.4600000000000003E-2</v>
      </c>
      <c r="C97">
        <v>5.3899999999999997E-2</v>
      </c>
      <c r="D97">
        <v>4.7700000000000006E-2</v>
      </c>
      <c r="E97">
        <v>5.9499999999999997E-2</v>
      </c>
      <c r="F97">
        <v>4.4700000000000004E-2</v>
      </c>
      <c r="G97">
        <v>3.9600000000000003E-2</v>
      </c>
      <c r="H97">
        <v>2.6499999999999999E-2</v>
      </c>
    </row>
    <row r="98" spans="1:13" x14ac:dyDescent="0.25">
      <c r="A98" t="s">
        <v>179</v>
      </c>
      <c r="B98">
        <v>0.13319999999999999</v>
      </c>
      <c r="C98">
        <v>0.1183</v>
      </c>
      <c r="D98">
        <v>0.27900000000000003</v>
      </c>
      <c r="E98">
        <v>0.17150000000000001</v>
      </c>
      <c r="F98">
        <v>0.1512</v>
      </c>
    </row>
    <row r="99" spans="1:13" x14ac:dyDescent="0.25">
      <c r="A99" t="s">
        <v>180</v>
      </c>
      <c r="B99">
        <v>4.7E-2</v>
      </c>
      <c r="C99">
        <v>1.57</v>
      </c>
      <c r="D99">
        <v>1.52</v>
      </c>
      <c r="E99">
        <v>0.60899999999999999</v>
      </c>
      <c r="F99">
        <v>0.63600000000000001</v>
      </c>
      <c r="G99">
        <v>0.68400000000000005</v>
      </c>
      <c r="H99">
        <v>0.65</v>
      </c>
      <c r="I99">
        <v>0.58699999999999997</v>
      </c>
    </row>
    <row r="100" spans="1:13" x14ac:dyDescent="0.25">
      <c r="A100" t="s">
        <v>181</v>
      </c>
      <c r="B100">
        <v>5.4000000000000003E-3</v>
      </c>
      <c r="C100">
        <v>9.1999999999999998E-3</v>
      </c>
      <c r="D100">
        <v>2.2100000000000002E-2</v>
      </c>
      <c r="E100">
        <v>1.83E-2</v>
      </c>
      <c r="F100">
        <v>2.4300000000000002E-2</v>
      </c>
    </row>
    <row r="101" spans="1:13" x14ac:dyDescent="0.25">
      <c r="A101" t="s">
        <v>182</v>
      </c>
      <c r="B101">
        <v>1.7929999999999999</v>
      </c>
      <c r="C101">
        <v>0.78379999999999994</v>
      </c>
      <c r="D101">
        <v>0.63729999999999998</v>
      </c>
      <c r="E101">
        <v>0.5736</v>
      </c>
      <c r="F101">
        <v>0.52960000000000007</v>
      </c>
      <c r="G101">
        <v>0.66949999999999998</v>
      </c>
      <c r="H101">
        <v>0.56489999999999996</v>
      </c>
      <c r="I101">
        <v>0.3866</v>
      </c>
      <c r="J101">
        <v>0.19800000000000001</v>
      </c>
      <c r="K101">
        <v>0.1517</v>
      </c>
      <c r="L101">
        <v>0.1799</v>
      </c>
      <c r="M101">
        <v>0.12459999999999999</v>
      </c>
    </row>
    <row r="102" spans="1:13" x14ac:dyDescent="0.25">
      <c r="A102" t="s">
        <v>183</v>
      </c>
      <c r="B102">
        <v>0.01</v>
      </c>
      <c r="C102">
        <v>1.0999999999999999E-2</v>
      </c>
      <c r="E102">
        <v>0.01</v>
      </c>
      <c r="F102">
        <v>0.01</v>
      </c>
      <c r="G102">
        <v>1.0999999999999999E-2</v>
      </c>
      <c r="H102">
        <v>1.4999999999999999E-2</v>
      </c>
      <c r="I102">
        <v>1.4999999999999999E-2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D442-0788-4FA9-9667-518B0697CF76}">
  <dimension ref="A1:AC9"/>
  <sheetViews>
    <sheetView workbookViewId="0">
      <selection activeCell="A9" sqref="A9:N9"/>
    </sheetView>
  </sheetViews>
  <sheetFormatPr defaultRowHeight="15" x14ac:dyDescent="0.25"/>
  <sheetData>
    <row r="1" spans="1:29" x14ac:dyDescent="0.25">
      <c r="A1" s="75" t="s">
        <v>1647</v>
      </c>
      <c r="B1" s="75" t="s">
        <v>1648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81"/>
      <c r="O1" s="75" t="s">
        <v>1649</v>
      </c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9" x14ac:dyDescent="0.25">
      <c r="A2" s="76" t="s">
        <v>42</v>
      </c>
      <c r="B2" s="72">
        <v>7.7499999999417923</v>
      </c>
      <c r="C2" s="70">
        <v>21.46666666661622</v>
      </c>
      <c r="D2" s="70">
        <v>34.249999999883585</v>
      </c>
      <c r="E2" s="70">
        <v>48.566666666592937</v>
      </c>
      <c r="F2" s="70">
        <v>71.616666666639503</v>
      </c>
      <c r="G2" s="70">
        <v>84.833333333255723</v>
      </c>
      <c r="H2" s="70">
        <v>95.749999999883585</v>
      </c>
      <c r="I2" s="70"/>
      <c r="J2" s="70"/>
      <c r="K2" s="70"/>
      <c r="L2" s="70"/>
      <c r="M2" s="70"/>
      <c r="N2" s="82"/>
      <c r="O2" s="84">
        <v>0.89500000000000002</v>
      </c>
      <c r="P2" s="84">
        <v>2.27</v>
      </c>
      <c r="Q2" s="84">
        <v>1.6</v>
      </c>
      <c r="R2" s="84">
        <v>1.53</v>
      </c>
      <c r="S2" s="84">
        <v>1.77</v>
      </c>
      <c r="T2" s="84">
        <v>1.84</v>
      </c>
      <c r="U2" s="84">
        <v>1.74</v>
      </c>
      <c r="V2" s="85"/>
      <c r="W2" s="85"/>
      <c r="X2" s="85"/>
      <c r="Y2" s="85"/>
    </row>
    <row r="3" spans="1:29" x14ac:dyDescent="0.25">
      <c r="A3" s="77" t="s">
        <v>32</v>
      </c>
      <c r="B3" s="72">
        <v>54.083333333255723</v>
      </c>
      <c r="C3" s="70">
        <v>56.783333333325572</v>
      </c>
      <c r="D3" s="70">
        <v>65.116666666581295</v>
      </c>
      <c r="E3" s="70">
        <v>81.75</v>
      </c>
      <c r="F3" s="71"/>
      <c r="G3" s="71"/>
      <c r="H3" s="71"/>
      <c r="I3" s="71"/>
      <c r="J3" s="71"/>
      <c r="K3" s="71"/>
      <c r="L3" s="71"/>
      <c r="M3" s="71"/>
      <c r="N3" s="83"/>
      <c r="O3" s="84">
        <v>1.4E-2</v>
      </c>
      <c r="P3" s="84">
        <v>1.2999999999999999E-2</v>
      </c>
      <c r="Q3" s="84">
        <v>1.4999999999999999E-2</v>
      </c>
      <c r="R3" s="84">
        <v>1.6E-2</v>
      </c>
      <c r="S3" s="85"/>
      <c r="T3" s="85"/>
      <c r="U3" s="85"/>
      <c r="V3" s="85"/>
      <c r="W3" s="85"/>
      <c r="X3" s="85"/>
      <c r="Y3" s="85"/>
    </row>
    <row r="4" spans="1:29" x14ac:dyDescent="0.25">
      <c r="A4" s="78" t="s">
        <v>40</v>
      </c>
      <c r="B4" s="73">
        <v>17.566666666651145</v>
      </c>
      <c r="C4" s="71">
        <v>33.700000000011642</v>
      </c>
      <c r="D4" s="71">
        <v>58.833333333372138</v>
      </c>
      <c r="E4" s="71">
        <v>81.383333333360497</v>
      </c>
      <c r="F4" s="71">
        <v>105.86666666669771</v>
      </c>
      <c r="G4" s="71">
        <v>116.90000000002328</v>
      </c>
      <c r="H4" s="71">
        <v>130.1166666666395</v>
      </c>
      <c r="I4" s="71"/>
      <c r="J4" s="71"/>
      <c r="K4" s="71"/>
      <c r="L4" s="71"/>
      <c r="M4" s="71"/>
      <c r="N4" s="83"/>
      <c r="O4" s="84">
        <v>0.39</v>
      </c>
      <c r="P4" s="84">
        <v>0.68899999999999995</v>
      </c>
      <c r="Q4" s="84">
        <v>0.73</v>
      </c>
      <c r="R4" s="84">
        <v>0.85299999999999998</v>
      </c>
      <c r="S4" s="84">
        <v>1.29</v>
      </c>
      <c r="T4" s="84">
        <v>1.2</v>
      </c>
      <c r="U4" s="84">
        <v>1.46</v>
      </c>
      <c r="V4" s="85"/>
      <c r="W4" s="85"/>
      <c r="X4" s="85"/>
      <c r="Y4" s="85"/>
    </row>
    <row r="5" spans="1:29" x14ac:dyDescent="0.25">
      <c r="A5" s="79" t="s">
        <v>37</v>
      </c>
      <c r="B5" s="73">
        <v>114.21666666667443</v>
      </c>
      <c r="C5" s="71">
        <v>129.71666666673264</v>
      </c>
      <c r="D5" s="71">
        <v>129.94999999995343</v>
      </c>
      <c r="E5" s="71">
        <v>153.86666666669771</v>
      </c>
      <c r="F5" s="71">
        <v>178.28333333332557</v>
      </c>
      <c r="G5" s="71"/>
      <c r="H5" s="71"/>
      <c r="I5" s="71"/>
      <c r="J5" s="71"/>
      <c r="K5" s="71"/>
      <c r="L5" s="71"/>
      <c r="M5" s="71"/>
      <c r="N5" s="83"/>
      <c r="O5" s="84">
        <v>0.32600000000000001</v>
      </c>
      <c r="P5" s="84">
        <v>0.29499999999999998</v>
      </c>
      <c r="Q5" s="84">
        <v>0.16300000000000001</v>
      </c>
      <c r="R5" s="84">
        <v>8.3000000000000004E-2</v>
      </c>
      <c r="S5" s="84">
        <v>5.8000000000000003E-2</v>
      </c>
      <c r="T5" s="85"/>
      <c r="U5" s="85"/>
      <c r="V5" s="85"/>
      <c r="W5" s="85"/>
      <c r="X5" s="85"/>
      <c r="Y5" s="85"/>
    </row>
    <row r="6" spans="1:29" x14ac:dyDescent="0.25">
      <c r="A6" s="80" t="s">
        <v>47</v>
      </c>
      <c r="B6" s="73">
        <v>18.500000000058208</v>
      </c>
      <c r="C6" s="71">
        <v>33</v>
      </c>
      <c r="D6" s="71">
        <v>57.149999999965075</v>
      </c>
      <c r="E6" s="71">
        <v>81.500000000058208</v>
      </c>
      <c r="F6" s="71">
        <v>106.26666666660458</v>
      </c>
      <c r="G6" s="71"/>
      <c r="H6" s="71"/>
      <c r="I6" s="71"/>
      <c r="J6" s="71"/>
      <c r="K6" s="71"/>
      <c r="L6" s="71"/>
      <c r="M6" s="71"/>
      <c r="N6" s="83"/>
      <c r="O6" s="84">
        <v>0.10100000000000001</v>
      </c>
      <c r="P6" s="84">
        <v>9.5000000000000001E-2</v>
      </c>
      <c r="Q6" s="84">
        <v>0.14399999999999999</v>
      </c>
      <c r="R6" s="84">
        <v>0.18</v>
      </c>
      <c r="S6" s="84">
        <v>0.161</v>
      </c>
      <c r="T6" s="85"/>
      <c r="U6" s="85"/>
      <c r="V6" s="85"/>
      <c r="W6" s="85"/>
      <c r="X6" s="85"/>
      <c r="Y6" s="85"/>
    </row>
    <row r="7" spans="1:29" x14ac:dyDescent="0.25">
      <c r="A7" s="75" t="s">
        <v>147</v>
      </c>
      <c r="B7" s="74">
        <v>3.3499999999185093</v>
      </c>
      <c r="C7" s="69">
        <v>3.3499999999185093</v>
      </c>
      <c r="D7" s="71">
        <v>21.916666666686069</v>
      </c>
      <c r="E7" s="71">
        <v>24.116666666697711</v>
      </c>
      <c r="F7" s="71">
        <v>53.833333333313931</v>
      </c>
      <c r="G7" s="71">
        <v>72.28333333338378</v>
      </c>
      <c r="H7" s="71">
        <v>96.049999999988358</v>
      </c>
      <c r="I7" s="71">
        <v>120.08333333325572</v>
      </c>
      <c r="J7" s="71"/>
      <c r="K7" s="71"/>
      <c r="L7" s="71"/>
      <c r="M7" s="71"/>
      <c r="N7" s="83"/>
      <c r="O7" s="85">
        <v>5.8999999999999997E-2</v>
      </c>
      <c r="P7" s="85">
        <v>6.7000000000000004E-2</v>
      </c>
      <c r="Q7" s="85">
        <v>7.8E-2</v>
      </c>
      <c r="R7" s="85">
        <v>0.106</v>
      </c>
      <c r="S7" s="85">
        <v>7.5999999999999998E-2</v>
      </c>
      <c r="T7" s="85">
        <v>6.4000000000000001E-2</v>
      </c>
      <c r="U7" s="85">
        <v>5.1999999999999998E-2</v>
      </c>
      <c r="V7" s="85">
        <v>1.9E-2</v>
      </c>
      <c r="W7" s="85"/>
      <c r="X7" s="85"/>
      <c r="Y7" s="85"/>
      <c r="AC7" s="12"/>
    </row>
    <row r="8" spans="1:29" x14ac:dyDescent="0.25">
      <c r="A8" s="75" t="s">
        <v>167</v>
      </c>
      <c r="B8" s="73">
        <v>22.416666666744277</v>
      </c>
      <c r="C8" s="69">
        <v>24.550000000046566</v>
      </c>
      <c r="D8" s="69">
        <v>24.550000000046566</v>
      </c>
      <c r="E8" s="71">
        <v>35.71666666661622</v>
      </c>
      <c r="F8" s="71">
        <v>48.183333333407063</v>
      </c>
      <c r="G8" s="71">
        <v>72.783333333267365</v>
      </c>
      <c r="H8" s="71">
        <v>96.450000000069849</v>
      </c>
      <c r="I8" s="71">
        <v>120.21666666667443</v>
      </c>
      <c r="J8" s="71">
        <v>517.45000000001164</v>
      </c>
      <c r="K8" s="71"/>
      <c r="L8" s="71"/>
      <c r="M8" s="71"/>
      <c r="N8" s="83"/>
      <c r="O8" s="85">
        <v>0.249</v>
      </c>
      <c r="P8" s="85">
        <v>0.36</v>
      </c>
      <c r="Q8" s="85">
        <v>0.35599999999999998</v>
      </c>
      <c r="R8" s="85">
        <v>0.27600000000000002</v>
      </c>
      <c r="S8" s="85">
        <v>0.34300000000000003</v>
      </c>
      <c r="T8" s="85">
        <v>0.35699999999999998</v>
      </c>
      <c r="U8" s="85">
        <v>0.251</v>
      </c>
      <c r="V8" s="85">
        <v>0.14499999999999999</v>
      </c>
      <c r="W8" s="85">
        <v>6.0000000000000001E-3</v>
      </c>
      <c r="X8" s="85"/>
      <c r="Y8" s="85"/>
    </row>
    <row r="9" spans="1:29" x14ac:dyDescent="0.25">
      <c r="A9" t="s">
        <v>161</v>
      </c>
      <c r="B9">
        <v>4.3500000000349246</v>
      </c>
      <c r="C9">
        <v>4.3666666665812954</v>
      </c>
      <c r="D9">
        <v>15.650000000023283</v>
      </c>
      <c r="E9">
        <v>24.450000000069849</v>
      </c>
      <c r="F9">
        <v>48.433333333348855</v>
      </c>
      <c r="G9">
        <v>72.199999999953434</v>
      </c>
      <c r="H9">
        <v>96.883333333418705</v>
      </c>
      <c r="I9">
        <v>120.76666666672099</v>
      </c>
      <c r="J9">
        <v>144.21666666667443</v>
      </c>
      <c r="K9">
        <v>168.03333333326736</v>
      </c>
      <c r="L9">
        <v>192.09999999997672</v>
      </c>
      <c r="M9">
        <v>216.23333333339542</v>
      </c>
      <c r="N9">
        <v>265.48333333327901</v>
      </c>
      <c r="O9" s="85">
        <v>0.27</v>
      </c>
      <c r="P9" s="85">
        <v>0.219</v>
      </c>
      <c r="Q9" s="85">
        <v>9.2999999999999999E-2</v>
      </c>
      <c r="R9" s="85">
        <v>6.4000000000000001E-2</v>
      </c>
      <c r="S9" s="85">
        <v>5.2999999999999999E-2</v>
      </c>
      <c r="T9" s="85">
        <v>3.5999999999999997E-2</v>
      </c>
      <c r="U9" s="85">
        <v>0.02</v>
      </c>
      <c r="V9" s="85">
        <v>1.2999999999999999E-2</v>
      </c>
      <c r="W9" s="85">
        <v>0.01</v>
      </c>
      <c r="X9" s="85">
        <v>1.0999999999999999E-2</v>
      </c>
      <c r="Y9" s="85">
        <v>8.9999999999999993E-3</v>
      </c>
    </row>
  </sheetData>
  <conditionalFormatting sqref="O7:V7">
    <cfRule type="expression" dxfId="4" priority="3">
      <formula>"ISBLANK(B408)"</formula>
    </cfRule>
  </conditionalFormatting>
  <conditionalFormatting sqref="O8:W8">
    <cfRule type="expression" dxfId="3" priority="2">
      <formula>"ISBLANK(B408)"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D8E2-DEBE-40E9-B1E9-058B7B2399F1}">
  <dimension ref="A1:Z53"/>
  <sheetViews>
    <sheetView topLeftCell="A19" workbookViewId="0">
      <selection activeCell="D52" sqref="D52"/>
    </sheetView>
  </sheetViews>
  <sheetFormatPr defaultRowHeight="15" x14ac:dyDescent="0.25"/>
  <cols>
    <col min="1" max="1" width="32.28515625" customWidth="1"/>
    <col min="2" max="2" width="21.7109375" customWidth="1"/>
    <col min="3" max="4" width="21.140625" customWidth="1"/>
    <col min="5" max="6" width="19.140625" customWidth="1"/>
    <col min="7" max="7" width="22.5703125" customWidth="1"/>
    <col min="8" max="8" width="24.140625" customWidth="1"/>
    <col min="9" max="9" width="30.28515625" customWidth="1"/>
    <col min="11" max="11" width="30.28515625" customWidth="1"/>
    <col min="13" max="13" width="15.7109375" customWidth="1"/>
    <col min="19" max="19" width="18.140625" customWidth="1"/>
  </cols>
  <sheetData>
    <row r="1" spans="1:26" x14ac:dyDescent="0.25">
      <c r="A1" s="4" t="s">
        <v>62</v>
      </c>
      <c r="B1" s="4" t="s">
        <v>48</v>
      </c>
      <c r="C1" s="4" t="s">
        <v>49</v>
      </c>
      <c r="D1" s="4" t="s">
        <v>50</v>
      </c>
      <c r="E1" s="4" t="s">
        <v>49</v>
      </c>
      <c r="F1" s="4" t="s">
        <v>51</v>
      </c>
      <c r="G1" s="4" t="s">
        <v>49</v>
      </c>
      <c r="H1" s="4" t="s">
        <v>52</v>
      </c>
      <c r="I1" s="4" t="s">
        <v>49</v>
      </c>
      <c r="J1" s="4" t="s">
        <v>53</v>
      </c>
      <c r="K1" s="4" t="s">
        <v>49</v>
      </c>
      <c r="L1" s="4" t="s">
        <v>54</v>
      </c>
      <c r="M1" s="4" t="s">
        <v>49</v>
      </c>
      <c r="N1" s="4" t="s">
        <v>55</v>
      </c>
      <c r="O1" s="4" t="s">
        <v>49</v>
      </c>
      <c r="P1" s="4" t="s">
        <v>56</v>
      </c>
      <c r="Q1" s="4" t="s">
        <v>49</v>
      </c>
      <c r="R1" s="4" t="s">
        <v>57</v>
      </c>
      <c r="S1" s="4" t="s">
        <v>49</v>
      </c>
      <c r="T1" s="4" t="s">
        <v>58</v>
      </c>
      <c r="U1" s="4" t="s">
        <v>49</v>
      </c>
      <c r="V1" s="4" t="s">
        <v>59</v>
      </c>
      <c r="W1" s="4" t="s">
        <v>49</v>
      </c>
      <c r="X1" s="4" t="s">
        <v>60</v>
      </c>
      <c r="Y1" s="4" t="s">
        <v>49</v>
      </c>
      <c r="Z1" s="4" t="s">
        <v>61</v>
      </c>
    </row>
    <row r="2" spans="1:26" x14ac:dyDescent="0.25">
      <c r="A2" t="s">
        <v>63</v>
      </c>
      <c r="B2" s="6">
        <v>41338.541666666664</v>
      </c>
      <c r="C2" s="7">
        <v>0.18055555555474712</v>
      </c>
      <c r="D2">
        <v>0.51400000000000001</v>
      </c>
      <c r="E2" s="7">
        <v>0.41388888889196096</v>
      </c>
      <c r="F2">
        <v>0.61799999999999999</v>
      </c>
      <c r="G2" s="7">
        <v>0.81875000000582077</v>
      </c>
      <c r="H2">
        <v>0.54200000000000004</v>
      </c>
      <c r="I2" s="7">
        <v>1.2201388888934162</v>
      </c>
      <c r="J2">
        <v>0.57899999999999996</v>
      </c>
      <c r="K2" s="7">
        <v>1.8166666666656965</v>
      </c>
      <c r="L2">
        <v>0.42199999999999999</v>
      </c>
      <c r="M2" s="7">
        <v>2.8305555555562023</v>
      </c>
      <c r="N2">
        <v>0.36599999999999999</v>
      </c>
    </row>
    <row r="3" spans="1:26" x14ac:dyDescent="0.25">
      <c r="A3" t="s">
        <v>64</v>
      </c>
      <c r="B3" s="6">
        <v>41337.583333333336</v>
      </c>
      <c r="C3" s="7">
        <v>1.9819444444437977</v>
      </c>
      <c r="D3">
        <v>5.8999999999999997E-2</v>
      </c>
      <c r="E3" s="7">
        <v>2.3784722222189885</v>
      </c>
      <c r="F3">
        <v>7.8200000000000006E-2</v>
      </c>
      <c r="G3" s="7">
        <v>2.7868055555518367</v>
      </c>
      <c r="H3">
        <v>7.8E-2</v>
      </c>
      <c r="I3" s="7">
        <v>3.8409722222204437</v>
      </c>
      <c r="J3">
        <v>7.1999999999999995E-2</v>
      </c>
      <c r="K3" s="7"/>
      <c r="M3" s="7"/>
    </row>
    <row r="4" spans="1:26" x14ac:dyDescent="0.25">
      <c r="A4" t="s">
        <v>65</v>
      </c>
      <c r="B4" s="6">
        <v>41337.5</v>
      </c>
      <c r="C4" s="7">
        <v>4.0131944444437977</v>
      </c>
      <c r="D4">
        <v>0.19400000000000001</v>
      </c>
      <c r="E4" s="7">
        <v>4.4506944444437977</v>
      </c>
      <c r="F4">
        <v>0.78900000000000003</v>
      </c>
      <c r="G4" s="7">
        <v>4.9402777777795563</v>
      </c>
      <c r="H4">
        <v>0.53100000000000003</v>
      </c>
      <c r="I4" s="7">
        <v>5.9319444444408873</v>
      </c>
      <c r="J4">
        <v>0.81799999999999995</v>
      </c>
      <c r="K4" s="7">
        <v>6.9090277777795563</v>
      </c>
      <c r="L4">
        <v>0.76100000000000001</v>
      </c>
      <c r="M4" s="7"/>
    </row>
    <row r="5" spans="1:26" x14ac:dyDescent="0.25">
      <c r="A5" t="s">
        <v>66</v>
      </c>
      <c r="B5" s="6">
        <v>41367.5</v>
      </c>
      <c r="C5" s="7">
        <v>0.18333333333430346</v>
      </c>
      <c r="D5">
        <v>0.20499999999999999</v>
      </c>
      <c r="E5" s="7">
        <v>0.90625</v>
      </c>
      <c r="F5">
        <v>0.127</v>
      </c>
      <c r="G5" s="7">
        <v>1.4576388888890506</v>
      </c>
      <c r="H5">
        <v>0.19600000000000001</v>
      </c>
      <c r="I5" s="7">
        <v>1.8847222222248092</v>
      </c>
      <c r="J5">
        <v>0.27800000000000002</v>
      </c>
      <c r="K5" s="7">
        <v>2.898611111108039</v>
      </c>
      <c r="L5">
        <v>0.184</v>
      </c>
      <c r="M5" s="7">
        <v>3.9479166666642413</v>
      </c>
      <c r="N5">
        <v>0.182</v>
      </c>
      <c r="O5" s="7"/>
    </row>
    <row r="6" spans="1:26" x14ac:dyDescent="0.25">
      <c r="A6" t="s">
        <v>67</v>
      </c>
      <c r="B6" s="6">
        <v>41381.5</v>
      </c>
      <c r="C6" s="7">
        <v>0.45763888888905058</v>
      </c>
      <c r="D6">
        <v>0.33500000000000002</v>
      </c>
      <c r="E6" s="7">
        <v>0.94652777777810115</v>
      </c>
      <c r="F6">
        <v>0.29599999999999999</v>
      </c>
      <c r="G6" s="7">
        <v>1.4895833333357587</v>
      </c>
      <c r="H6">
        <v>0.23599999999999999</v>
      </c>
      <c r="I6" s="7">
        <v>1.8798611111124046</v>
      </c>
      <c r="J6">
        <v>0.23699999999999999</v>
      </c>
      <c r="K6" s="7">
        <v>2.9236111111094942</v>
      </c>
      <c r="L6">
        <v>0.41099999999999998</v>
      </c>
      <c r="M6" s="7">
        <v>3.1569444444467081</v>
      </c>
      <c r="N6">
        <v>0.255</v>
      </c>
      <c r="O6" s="7">
        <v>3.9201388888905058</v>
      </c>
      <c r="P6">
        <v>0.29799999999999999</v>
      </c>
      <c r="Q6" s="7">
        <v>4.1875</v>
      </c>
      <c r="R6">
        <v>0.35099999999999998</v>
      </c>
      <c r="S6" s="7">
        <v>4.9555555555562023</v>
      </c>
      <c r="T6">
        <v>0.34100000000000003</v>
      </c>
    </row>
    <row r="7" spans="1:26" x14ac:dyDescent="0.25">
      <c r="A7" t="s">
        <v>68</v>
      </c>
      <c r="B7" s="6">
        <v>41389.5</v>
      </c>
      <c r="C7" s="7">
        <v>0.26249999999708962</v>
      </c>
      <c r="D7">
        <v>0.16</v>
      </c>
      <c r="E7" s="7">
        <v>0.93263888888759539</v>
      </c>
      <c r="F7">
        <v>0.32</v>
      </c>
      <c r="G7" s="7">
        <v>1.2104166666686069</v>
      </c>
      <c r="H7">
        <v>0.249</v>
      </c>
      <c r="I7" s="7">
        <v>1.8715277777810115</v>
      </c>
      <c r="J7">
        <v>0.27100000000000002</v>
      </c>
      <c r="K7" s="7">
        <v>2.9055555555532919</v>
      </c>
      <c r="L7">
        <v>0.28999999999999998</v>
      </c>
      <c r="M7" s="7">
        <v>3.8541666666642413</v>
      </c>
      <c r="N7">
        <v>0.29599999999999999</v>
      </c>
      <c r="O7" s="7">
        <v>4.8576388888905058</v>
      </c>
      <c r="P7">
        <v>0.23499999999999999</v>
      </c>
      <c r="Q7" s="7">
        <v>5.9312500000014552</v>
      </c>
      <c r="R7">
        <v>0.16900000000000001</v>
      </c>
      <c r="S7" s="7"/>
    </row>
    <row r="8" spans="1:26" x14ac:dyDescent="0.25">
      <c r="A8" t="s">
        <v>69</v>
      </c>
      <c r="B8" s="6">
        <v>41383.5</v>
      </c>
      <c r="C8" s="8">
        <v>6.9444444452528842E-3</v>
      </c>
      <c r="D8">
        <v>0.11799999999999999</v>
      </c>
      <c r="E8" s="8">
        <v>0.52500000000145519</v>
      </c>
      <c r="F8">
        <v>0.14699999999999999</v>
      </c>
      <c r="G8" s="8">
        <v>0.91041666666569654</v>
      </c>
      <c r="H8">
        <v>0.158</v>
      </c>
      <c r="I8" s="8">
        <v>1.9201388888905058</v>
      </c>
      <c r="J8">
        <v>0.14899999999999999</v>
      </c>
      <c r="K8" s="8">
        <v>2.1875</v>
      </c>
      <c r="L8">
        <v>0.13500000000000001</v>
      </c>
      <c r="M8" s="8">
        <v>2.9618055555547471</v>
      </c>
      <c r="N8">
        <v>0.14399999999999999</v>
      </c>
      <c r="O8" s="7"/>
      <c r="Q8" s="7"/>
      <c r="S8" s="7"/>
    </row>
    <row r="9" spans="1:26" x14ac:dyDescent="0.25">
      <c r="A9" t="s">
        <v>70</v>
      </c>
      <c r="B9" s="6">
        <v>41354.5</v>
      </c>
      <c r="C9" s="7">
        <v>0.12013888888759539</v>
      </c>
      <c r="D9">
        <v>0.621</v>
      </c>
      <c r="E9" s="7">
        <v>31.957638888889051</v>
      </c>
      <c r="F9">
        <v>0.317</v>
      </c>
      <c r="G9" s="7">
        <v>32.427777777775191</v>
      </c>
      <c r="H9">
        <v>0.308</v>
      </c>
      <c r="I9" s="7">
        <v>32.947916666664241</v>
      </c>
      <c r="J9">
        <v>0.379</v>
      </c>
      <c r="K9" s="7">
        <v>33.933333333334303</v>
      </c>
      <c r="L9">
        <v>0.26300000000000001</v>
      </c>
      <c r="M9" s="7">
        <v>34.896527777775191</v>
      </c>
      <c r="N9">
        <v>0.28799999999999998</v>
      </c>
      <c r="O9" s="7"/>
      <c r="Q9" s="7"/>
      <c r="S9" s="7"/>
    </row>
    <row r="10" spans="1:26" x14ac:dyDescent="0.25">
      <c r="A10" t="s">
        <v>71</v>
      </c>
      <c r="B10" s="6">
        <v>41367.5</v>
      </c>
      <c r="C10" s="7">
        <v>0.15833333333284827</v>
      </c>
      <c r="D10">
        <v>0.46600000000000003</v>
      </c>
      <c r="E10" s="7">
        <v>0.43125000000145519</v>
      </c>
      <c r="F10">
        <v>0.53900000000000003</v>
      </c>
      <c r="G10" s="7">
        <v>0.90625</v>
      </c>
      <c r="H10">
        <v>0.41699999999999998</v>
      </c>
      <c r="I10" s="7">
        <v>1.8583333333299379</v>
      </c>
      <c r="J10">
        <v>0.375</v>
      </c>
      <c r="K10" s="7">
        <v>2.9187499999970896</v>
      </c>
      <c r="L10">
        <v>0.47199999999999998</v>
      </c>
      <c r="M10" s="7"/>
      <c r="O10" s="7"/>
      <c r="Q10" s="7"/>
      <c r="S10" s="7"/>
    </row>
    <row r="11" spans="1:26" x14ac:dyDescent="0.25">
      <c r="A11" t="s">
        <v>72</v>
      </c>
      <c r="B11" s="6">
        <v>42342.5</v>
      </c>
      <c r="C11" s="7">
        <v>2.0118055555576575</v>
      </c>
      <c r="D11">
        <v>3.35</v>
      </c>
      <c r="E11" s="7">
        <v>2.9368055555532919</v>
      </c>
      <c r="F11">
        <v>3.2</v>
      </c>
      <c r="G11" s="7">
        <v>3.4083333333328483</v>
      </c>
      <c r="H11">
        <v>2.34</v>
      </c>
      <c r="I11" s="7">
        <v>3.9180555555576575</v>
      </c>
      <c r="J11">
        <v>2.93</v>
      </c>
      <c r="K11" s="7">
        <v>4.9347222222204437</v>
      </c>
      <c r="L11">
        <v>2.2400000000000002</v>
      </c>
      <c r="M11" s="7">
        <v>5.3319444444423425</v>
      </c>
      <c r="N11">
        <v>1.68</v>
      </c>
      <c r="O11" s="7">
        <v>5.9270833333357587</v>
      </c>
      <c r="P11">
        <v>2.29</v>
      </c>
      <c r="Q11" s="7">
        <v>6.8847222222248092</v>
      </c>
      <c r="R11">
        <v>1.66</v>
      </c>
      <c r="S11" s="7">
        <v>7.9111111111124046</v>
      </c>
      <c r="T11">
        <v>1.0900000000000001</v>
      </c>
      <c r="U11" s="7">
        <v>8.929861111108039</v>
      </c>
      <c r="V11">
        <v>0.81899999999999995</v>
      </c>
      <c r="W11" s="7">
        <v>9.9826388888905058</v>
      </c>
      <c r="X11">
        <v>0.65200000000000002</v>
      </c>
      <c r="Y11" s="7">
        <v>10.924305555556202</v>
      </c>
      <c r="Z11">
        <v>0.64</v>
      </c>
    </row>
    <row r="12" spans="1:26" x14ac:dyDescent="0.25">
      <c r="A12" t="s">
        <v>73</v>
      </c>
      <c r="B12" s="6">
        <v>42341.5</v>
      </c>
      <c r="C12" s="7">
        <v>1.9888888888890506</v>
      </c>
      <c r="D12">
        <v>0.125</v>
      </c>
      <c r="E12" s="7">
        <v>2.8993055555547471</v>
      </c>
      <c r="F12">
        <v>0.14299999999999999</v>
      </c>
      <c r="G12" s="7">
        <v>3.9368055555532919</v>
      </c>
      <c r="H12">
        <v>0.13300000000000001</v>
      </c>
      <c r="I12" s="7">
        <v>4.2277777777781012</v>
      </c>
      <c r="J12">
        <v>0.105</v>
      </c>
      <c r="K12" s="7">
        <v>4.9437499999985448</v>
      </c>
      <c r="L12">
        <v>0.1</v>
      </c>
      <c r="M12" s="7">
        <v>5.9486111111109494</v>
      </c>
      <c r="N12">
        <v>4.5999999999999999E-2</v>
      </c>
      <c r="O12" s="7">
        <v>6.96875</v>
      </c>
      <c r="P12">
        <v>2.7E-2</v>
      </c>
      <c r="Q12" s="7">
        <v>8.9326388888875954</v>
      </c>
      <c r="R12">
        <v>2.1000000000000001E-2</v>
      </c>
      <c r="S12" s="7">
        <v>9.9951388888875954</v>
      </c>
      <c r="T12">
        <v>2.1000000000000001E-2</v>
      </c>
      <c r="U12" s="7">
        <v>10.925694444442343</v>
      </c>
      <c r="V12">
        <v>0.02</v>
      </c>
      <c r="W12" s="7"/>
    </row>
    <row r="13" spans="1:26" x14ac:dyDescent="0.25">
      <c r="A13" t="s">
        <v>74</v>
      </c>
      <c r="B13" s="6">
        <v>42337.625</v>
      </c>
      <c r="C13" s="7">
        <v>1.0888888888875954</v>
      </c>
      <c r="D13">
        <v>1.33</v>
      </c>
      <c r="E13" s="7">
        <v>1.3465277777795563</v>
      </c>
      <c r="F13">
        <v>1.1200000000000001</v>
      </c>
      <c r="G13" s="7">
        <v>1.7694444444423425</v>
      </c>
      <c r="H13" s="5">
        <v>0.39444444444444443</v>
      </c>
      <c r="I13" s="7">
        <v>2.7486111111138598</v>
      </c>
      <c r="J13">
        <v>1.47</v>
      </c>
      <c r="K13" s="7">
        <v>3.765277777776646</v>
      </c>
      <c r="L13">
        <v>1.63</v>
      </c>
      <c r="M13" s="7">
        <v>4.1243055555532919</v>
      </c>
      <c r="N13">
        <v>1.5</v>
      </c>
      <c r="O13" s="7">
        <v>4.7951388888905058</v>
      </c>
      <c r="P13">
        <v>1.25</v>
      </c>
      <c r="Q13" s="7">
        <v>5.8118055555532919</v>
      </c>
      <c r="R13">
        <v>0.69499999999999995</v>
      </c>
      <c r="S13" s="7">
        <v>6.8458333333328483</v>
      </c>
      <c r="T13">
        <v>0.33800000000000002</v>
      </c>
      <c r="U13" s="7">
        <v>7.8243055555576575</v>
      </c>
      <c r="V13">
        <v>0.222</v>
      </c>
      <c r="W13" s="7"/>
    </row>
    <row r="14" spans="1:26" x14ac:dyDescent="0.25">
      <c r="A14" t="s">
        <v>75</v>
      </c>
      <c r="B14" s="6">
        <v>42340.5</v>
      </c>
      <c r="C14" s="7">
        <v>9.0652777777795563</v>
      </c>
      <c r="D14">
        <v>4.4999999999999998E-2</v>
      </c>
      <c r="E14" s="7">
        <v>9.257638888891961</v>
      </c>
      <c r="F14">
        <v>4.4999999999999998E-2</v>
      </c>
      <c r="G14" s="7">
        <v>9.9166666666642413</v>
      </c>
      <c r="H14">
        <v>0.08</v>
      </c>
      <c r="I14" s="7">
        <v>10.929861111108039</v>
      </c>
      <c r="J14">
        <v>5.8999999999999997E-2</v>
      </c>
      <c r="K14" s="7">
        <v>11.888888888890506</v>
      </c>
      <c r="L14">
        <v>5.5E-2</v>
      </c>
      <c r="M14" s="7">
        <v>12.422222222223354</v>
      </c>
      <c r="N14">
        <v>5.5E-2</v>
      </c>
      <c r="O14" s="7">
        <v>12.896527777775191</v>
      </c>
      <c r="P14">
        <v>6.6000000000000003E-2</v>
      </c>
      <c r="Q14" s="7">
        <v>13.956944444442343</v>
      </c>
      <c r="R14">
        <v>5.5E-2</v>
      </c>
      <c r="S14" s="7"/>
      <c r="U14" s="7"/>
      <c r="W14" s="7"/>
    </row>
    <row r="15" spans="1:26" x14ac:dyDescent="0.25">
      <c r="A15" t="s">
        <v>76</v>
      </c>
      <c r="B15" s="6">
        <v>42329.5</v>
      </c>
      <c r="C15" s="7">
        <v>1.1902777777795563</v>
      </c>
      <c r="D15">
        <v>0.47499999999999998</v>
      </c>
      <c r="E15" s="7">
        <v>1.890972222223354</v>
      </c>
      <c r="F15">
        <v>0.47599999999999998</v>
      </c>
      <c r="G15" s="7">
        <v>2.2548611111124046</v>
      </c>
      <c r="H15">
        <v>0.624</v>
      </c>
      <c r="I15" s="7">
        <v>1.9375</v>
      </c>
      <c r="J15">
        <v>0.624</v>
      </c>
      <c r="K15" s="7">
        <v>2.9409722222189885</v>
      </c>
      <c r="L15">
        <v>0.73299999999999998</v>
      </c>
      <c r="M15" s="7">
        <v>3.8798611111124046</v>
      </c>
      <c r="N15">
        <v>0.51500000000000001</v>
      </c>
      <c r="O15" s="7">
        <v>4.8868055555576575</v>
      </c>
      <c r="P15">
        <v>0.497</v>
      </c>
      <c r="Q15" s="7">
        <v>5.9187499999970896</v>
      </c>
      <c r="R15">
        <v>0.42599999999999999</v>
      </c>
      <c r="S15" s="7"/>
      <c r="U15" s="7"/>
      <c r="W15" s="7"/>
    </row>
    <row r="16" spans="1:26" x14ac:dyDescent="0.25">
      <c r="A16" t="s">
        <v>77</v>
      </c>
      <c r="B16" s="6">
        <v>42336.5</v>
      </c>
      <c r="C16" s="7">
        <v>6.1624999999985448</v>
      </c>
      <c r="D16">
        <v>2.1999999999999999E-2</v>
      </c>
      <c r="E16" s="7">
        <v>6.4187499999970896</v>
      </c>
      <c r="F16">
        <v>7.4999999999999997E-2</v>
      </c>
      <c r="G16" s="7">
        <v>6.953472222223354</v>
      </c>
      <c r="H16">
        <v>5.52</v>
      </c>
      <c r="I16" s="7">
        <v>7.9034722222204437</v>
      </c>
      <c r="J16">
        <v>0.26800000000000002</v>
      </c>
      <c r="K16" s="7">
        <v>8.9118055555591127</v>
      </c>
      <c r="L16">
        <v>0.32900000000000001</v>
      </c>
      <c r="M16" s="7">
        <v>9.9180555555576575</v>
      </c>
      <c r="N16">
        <v>0.439</v>
      </c>
      <c r="O16" s="7">
        <v>11.038888888891961</v>
      </c>
      <c r="P16">
        <v>0.44800000000000001</v>
      </c>
      <c r="Q16" s="7">
        <v>11.96875</v>
      </c>
      <c r="R16">
        <v>0.38400000000000001</v>
      </c>
      <c r="S16" s="7"/>
      <c r="U16" s="7"/>
      <c r="W16" s="7"/>
    </row>
    <row r="17" spans="1:26" x14ac:dyDescent="0.25">
      <c r="A17" t="s">
        <v>78</v>
      </c>
      <c r="B17" s="6">
        <v>42351.5</v>
      </c>
      <c r="C17" s="7">
        <v>1.3930555555562023</v>
      </c>
      <c r="D17">
        <v>0.54</v>
      </c>
      <c r="E17" s="7">
        <v>1.8965277777751908</v>
      </c>
      <c r="F17">
        <v>0.47599999999999998</v>
      </c>
      <c r="G17" s="7">
        <v>2.2451388888875954</v>
      </c>
      <c r="H17">
        <v>0.53500000000000003</v>
      </c>
      <c r="I17" s="7">
        <v>2.9229166666700621</v>
      </c>
      <c r="J17">
        <v>1.36</v>
      </c>
      <c r="K17" s="7">
        <v>3.2256944444452529</v>
      </c>
      <c r="L17">
        <v>0.94</v>
      </c>
      <c r="M17" s="7">
        <v>3.8972222222218988</v>
      </c>
      <c r="N17">
        <v>1</v>
      </c>
      <c r="O17" s="7">
        <v>4.921527777776646</v>
      </c>
      <c r="P17">
        <v>0.88600000000000001</v>
      </c>
      <c r="Q17" s="7">
        <v>5.3083333333343035</v>
      </c>
      <c r="R17">
        <v>0.82799999999999996</v>
      </c>
      <c r="S17" s="7">
        <v>5.9263888888890506</v>
      </c>
      <c r="T17">
        <v>0.91</v>
      </c>
      <c r="U17" s="7">
        <v>6.2416666666686069</v>
      </c>
      <c r="V17">
        <v>0.81699999999999995</v>
      </c>
      <c r="W17" s="7">
        <v>6.921527777776646</v>
      </c>
      <c r="X17">
        <v>0.74</v>
      </c>
      <c r="Y17" s="7">
        <v>7.9749999999985448</v>
      </c>
      <c r="Z17">
        <v>0.53200000000000003</v>
      </c>
    </row>
    <row r="18" spans="1:26" x14ac:dyDescent="0.25">
      <c r="A18" t="s">
        <v>79</v>
      </c>
      <c r="B18" s="6">
        <v>42347.6875</v>
      </c>
      <c r="C18" s="7">
        <v>0.10972222222335404</v>
      </c>
      <c r="D18">
        <v>0.26700000000000002</v>
      </c>
      <c r="E18" s="7">
        <v>0.78125</v>
      </c>
      <c r="F18">
        <v>0.83299999999999996</v>
      </c>
      <c r="G18" s="7">
        <v>0.98194444444379769</v>
      </c>
      <c r="H18">
        <v>1.82</v>
      </c>
      <c r="I18" s="7">
        <v>1.7354166666700621</v>
      </c>
      <c r="J18">
        <v>1.04</v>
      </c>
      <c r="K18" s="7">
        <v>2.7451388888875954</v>
      </c>
      <c r="L18">
        <v>1.2</v>
      </c>
      <c r="M18" s="7">
        <v>3.757638888891961</v>
      </c>
      <c r="N18">
        <v>1.03</v>
      </c>
      <c r="O18" s="7">
        <v>4.7951388888905058</v>
      </c>
      <c r="P18">
        <v>0.59299999999999997</v>
      </c>
      <c r="Q18" s="7"/>
      <c r="S18" s="7"/>
      <c r="U18" s="7"/>
      <c r="W18" s="7"/>
    </row>
    <row r="19" spans="1:26" x14ac:dyDescent="0.25">
      <c r="A19" t="s">
        <v>80</v>
      </c>
      <c r="B19" s="6">
        <v>42340.5</v>
      </c>
      <c r="C19" s="7">
        <v>7.2555555555591127</v>
      </c>
      <c r="D19">
        <v>9.6000000000000002E-2</v>
      </c>
      <c r="E19" s="7">
        <v>7.0638888888861402</v>
      </c>
      <c r="F19">
        <v>9.8000000000000004E-2</v>
      </c>
      <c r="G19" s="7">
        <v>7.96875</v>
      </c>
      <c r="H19">
        <v>0.106</v>
      </c>
      <c r="I19" s="7">
        <v>8.8847222222248092</v>
      </c>
      <c r="J19">
        <v>7.4999999999999997E-2</v>
      </c>
      <c r="K19" s="7">
        <v>9.257638888891961</v>
      </c>
      <c r="L19">
        <v>8.2000000000000003E-2</v>
      </c>
      <c r="M19" s="7">
        <v>9.9111111111124046</v>
      </c>
      <c r="N19">
        <v>0.126</v>
      </c>
      <c r="O19" s="7">
        <v>10.929861111108039</v>
      </c>
      <c r="P19">
        <v>0.13700000000000001</v>
      </c>
      <c r="Q19" s="7">
        <v>11.906944444446708</v>
      </c>
      <c r="R19">
        <v>0.13900000000000001</v>
      </c>
      <c r="S19" s="7"/>
      <c r="U19" s="7"/>
      <c r="W19" s="7"/>
    </row>
    <row r="20" spans="1:26" x14ac:dyDescent="0.25">
      <c r="A20" t="s">
        <v>81</v>
      </c>
      <c r="B20" s="6">
        <v>42340.083333333336</v>
      </c>
      <c r="C20" s="7">
        <v>0.61249999999563443</v>
      </c>
      <c r="D20">
        <v>0.79800000000000004</v>
      </c>
      <c r="E20" s="7">
        <v>1.3020833333284827</v>
      </c>
      <c r="F20">
        <v>1.95</v>
      </c>
      <c r="G20" s="7">
        <v>1.7381944444423425</v>
      </c>
      <c r="H20">
        <v>5.08</v>
      </c>
      <c r="I20" s="7">
        <v>2.3368055555547471</v>
      </c>
      <c r="J20">
        <v>4.74</v>
      </c>
      <c r="K20" s="7">
        <v>3.3694444444408873</v>
      </c>
      <c r="L20">
        <v>4.32</v>
      </c>
      <c r="M20" s="7">
        <v>4.3263888888832298</v>
      </c>
      <c r="N20">
        <v>3.05</v>
      </c>
      <c r="O20" s="7">
        <v>5.3840277777781012</v>
      </c>
      <c r="P20">
        <v>1.78</v>
      </c>
      <c r="Q20" s="7"/>
      <c r="S20" s="7"/>
      <c r="U20" s="7"/>
      <c r="W20" s="7"/>
    </row>
    <row r="21" spans="1:26" x14ac:dyDescent="0.25">
      <c r="A21" t="s">
        <v>82</v>
      </c>
      <c r="B21" s="6">
        <v>42362.125</v>
      </c>
      <c r="C21" s="7">
        <v>0.16944444444379769</v>
      </c>
      <c r="D21">
        <v>4.5999999999999999E-2</v>
      </c>
      <c r="E21" s="7">
        <v>0.22777777777810115</v>
      </c>
      <c r="F21">
        <v>4.4999999999999998E-2</v>
      </c>
      <c r="G21" s="7">
        <v>1.304861111108039</v>
      </c>
      <c r="H21">
        <v>0.18</v>
      </c>
      <c r="I21" s="7">
        <v>2.2534722222189885</v>
      </c>
      <c r="J21">
        <v>0.17100000000000001</v>
      </c>
      <c r="K21" s="7">
        <v>3.3138888888861402</v>
      </c>
      <c r="L21">
        <v>0.17199999999999999</v>
      </c>
      <c r="M21" s="7">
        <v>4.2638888888905058</v>
      </c>
      <c r="N21">
        <v>0.13</v>
      </c>
      <c r="O21" s="7">
        <v>4.8694444444408873</v>
      </c>
      <c r="P21">
        <v>0.1</v>
      </c>
      <c r="Q21" s="7">
        <v>5.273611111108039</v>
      </c>
      <c r="R21">
        <v>0.09</v>
      </c>
      <c r="S21" s="7">
        <v>6.3208333333313931</v>
      </c>
      <c r="T21">
        <v>7.6999999999999999E-2</v>
      </c>
      <c r="U21" s="7">
        <v>7.2958333333299379</v>
      </c>
      <c r="V21">
        <v>5.5E-2</v>
      </c>
      <c r="W21" s="7"/>
    </row>
    <row r="22" spans="1:26" x14ac:dyDescent="0.25">
      <c r="A22" t="s">
        <v>83</v>
      </c>
      <c r="B22" s="6">
        <v>42363.125</v>
      </c>
      <c r="C22" s="7">
        <v>2.390972222223354</v>
      </c>
      <c r="D22">
        <v>0.873</v>
      </c>
      <c r="E22" s="7">
        <v>3.2638888888905058</v>
      </c>
      <c r="F22">
        <v>0.81299999999999994</v>
      </c>
      <c r="G22" s="7">
        <v>3.8694444444408873</v>
      </c>
      <c r="H22">
        <v>0.96199999999999997</v>
      </c>
      <c r="I22" s="7">
        <v>4.2750000000014552</v>
      </c>
      <c r="J22">
        <v>0.86399999999999999</v>
      </c>
      <c r="K22" s="7">
        <v>5.28125</v>
      </c>
      <c r="L22">
        <v>0.83199999999999996</v>
      </c>
      <c r="M22" s="7">
        <v>6.3291666666700621</v>
      </c>
      <c r="N22">
        <v>0.60499999999999998</v>
      </c>
      <c r="O22" s="7"/>
      <c r="Q22" s="7"/>
      <c r="S22" s="7"/>
      <c r="U22" s="7"/>
      <c r="W22" s="7"/>
    </row>
    <row r="23" spans="1:26" x14ac:dyDescent="0.25">
      <c r="A23" t="s">
        <v>84</v>
      </c>
      <c r="B23" s="6">
        <v>42356.5</v>
      </c>
      <c r="C23" s="7">
        <v>7.6388888890505768E-2</v>
      </c>
      <c r="D23">
        <v>0.47699999999999998</v>
      </c>
      <c r="E23" s="7">
        <v>0.47777777777810115</v>
      </c>
      <c r="F23">
        <v>0.626</v>
      </c>
      <c r="G23" s="7">
        <v>0.92638888888905058</v>
      </c>
      <c r="H23">
        <v>0.85599999999999998</v>
      </c>
      <c r="I23" s="7">
        <v>1.2402777777751908</v>
      </c>
      <c r="J23">
        <v>0.81299999999999994</v>
      </c>
      <c r="K23" s="7">
        <v>1.9562500000029104</v>
      </c>
      <c r="L23">
        <v>0.871</v>
      </c>
      <c r="M23" s="7">
        <v>2.9798611111109494</v>
      </c>
      <c r="N23">
        <v>0.85899999999999999</v>
      </c>
      <c r="O23" s="7">
        <v>3.234027777776646</v>
      </c>
      <c r="P23">
        <v>0.877</v>
      </c>
      <c r="Q23" s="7">
        <v>3.4833333333299379</v>
      </c>
      <c r="R23">
        <v>1</v>
      </c>
      <c r="S23" s="7">
        <v>3.8625000000029104</v>
      </c>
      <c r="T23">
        <v>1.26</v>
      </c>
      <c r="U23" s="7">
        <v>4.8562499999970896</v>
      </c>
      <c r="V23">
        <v>1.05</v>
      </c>
      <c r="W23" s="7">
        <v>5.8541666666642413</v>
      </c>
      <c r="X23">
        <v>1</v>
      </c>
    </row>
    <row r="24" spans="1:26" x14ac:dyDescent="0.25">
      <c r="A24" t="s">
        <v>85</v>
      </c>
      <c r="B24" s="6">
        <v>42353.666666666664</v>
      </c>
      <c r="C24" s="7">
        <v>0.3125</v>
      </c>
      <c r="D24">
        <v>0.01</v>
      </c>
      <c r="E24" s="7">
        <v>0.75138888889341615</v>
      </c>
      <c r="F24">
        <v>0.01</v>
      </c>
      <c r="G24" s="7">
        <v>1.0590277777810115</v>
      </c>
      <c r="H24">
        <v>8.6999999999999994E-2</v>
      </c>
      <c r="I24" s="7">
        <v>1.7305555555576575</v>
      </c>
      <c r="J24">
        <v>8.5000000000000006E-2</v>
      </c>
      <c r="K24" s="7">
        <v>2.7548611111124046</v>
      </c>
      <c r="L24">
        <v>0.108</v>
      </c>
      <c r="M24" s="7">
        <v>3.7791666666671517</v>
      </c>
      <c r="N24">
        <v>9.2999999999999999E-2</v>
      </c>
      <c r="O24" s="7">
        <v>4.7562500000058208</v>
      </c>
      <c r="P24">
        <v>8.8999999999999996E-2</v>
      </c>
      <c r="Q24" s="7"/>
      <c r="S24" s="7"/>
    </row>
    <row r="25" spans="1:26" x14ac:dyDescent="0.25">
      <c r="A25" t="s">
        <v>86</v>
      </c>
      <c r="B25" s="6">
        <v>42346.5</v>
      </c>
      <c r="C25" s="7">
        <v>1.234722222223354</v>
      </c>
      <c r="D25">
        <v>1.4E-2</v>
      </c>
      <c r="E25" s="7">
        <v>1.9270833333357587</v>
      </c>
      <c r="F25">
        <v>1.2999999999999999E-2</v>
      </c>
      <c r="G25" s="7">
        <v>2.2409722222218988</v>
      </c>
      <c r="H25">
        <v>0.122</v>
      </c>
      <c r="I25" s="7">
        <v>2.8847222222248092</v>
      </c>
      <c r="J25">
        <v>0.17599999999999999</v>
      </c>
      <c r="K25" s="7">
        <v>3.2597222222248092</v>
      </c>
      <c r="L25">
        <v>0.11</v>
      </c>
      <c r="M25" s="7">
        <v>3.9326388888875954</v>
      </c>
      <c r="N25">
        <v>0.14099999999999999</v>
      </c>
      <c r="O25" s="7">
        <v>4.929861111108039</v>
      </c>
      <c r="P25">
        <v>0.154</v>
      </c>
      <c r="Q25" s="7">
        <v>5.984027777776646</v>
      </c>
      <c r="R25">
        <v>0.13500000000000001</v>
      </c>
      <c r="S25" s="7"/>
    </row>
    <row r="26" spans="1:26" x14ac:dyDescent="0.25">
      <c r="A26" t="s">
        <v>87</v>
      </c>
      <c r="B26" s="6">
        <v>42353.625</v>
      </c>
      <c r="C26" s="7">
        <v>0.91597222222480923</v>
      </c>
      <c r="D26">
        <v>0.13700000000000001</v>
      </c>
      <c r="E26" s="7">
        <v>1.0999999999985448</v>
      </c>
      <c r="F26">
        <v>0.11700000000000001</v>
      </c>
      <c r="G26" s="7">
        <v>1.7722222222218988</v>
      </c>
      <c r="H26">
        <v>0.12</v>
      </c>
      <c r="I26" s="7">
        <v>2.796527777776646</v>
      </c>
      <c r="J26">
        <v>0.151</v>
      </c>
      <c r="K26" s="7">
        <v>3.8270833333299379</v>
      </c>
      <c r="L26">
        <v>0.14399999999999999</v>
      </c>
      <c r="M26" s="7">
        <v>4.7979166666700621</v>
      </c>
      <c r="N26">
        <v>0.112</v>
      </c>
      <c r="O26" s="7"/>
    </row>
    <row r="28" spans="1:26" x14ac:dyDescent="0.25">
      <c r="C28" t="s">
        <v>88</v>
      </c>
      <c r="D28" t="s">
        <v>89</v>
      </c>
      <c r="E28" t="s">
        <v>90</v>
      </c>
      <c r="F28" t="s">
        <v>91</v>
      </c>
    </row>
    <row r="29" spans="1:26" x14ac:dyDescent="0.25">
      <c r="C29" s="7">
        <v>0.18055555555474712</v>
      </c>
      <c r="D29" s="1">
        <f>C29*24</f>
        <v>4.3333333333139308</v>
      </c>
      <c r="E29" s="7">
        <v>0.41388888889196096</v>
      </c>
      <c r="F29" s="1">
        <f>E29*24</f>
        <v>9.933333333407063</v>
      </c>
      <c r="G29" s="7">
        <v>0.81875000000582077</v>
      </c>
      <c r="H29" s="1">
        <f>G29*24</f>
        <v>19.650000000139698</v>
      </c>
      <c r="I29" s="7">
        <v>1.2201388888934162</v>
      </c>
      <c r="J29" s="1">
        <f>I29*24</f>
        <v>29.283333333441988</v>
      </c>
      <c r="K29" s="7">
        <v>1.8166666666656965</v>
      </c>
      <c r="L29" s="1">
        <f>K29*24</f>
        <v>43.599999999976717</v>
      </c>
      <c r="M29" s="7">
        <v>2.8305555555562023</v>
      </c>
      <c r="N29" s="1">
        <f>M29*24</f>
        <v>67.933333333348855</v>
      </c>
      <c r="P29" s="1"/>
      <c r="R29" s="1"/>
      <c r="T29" s="1"/>
      <c r="V29" s="1"/>
      <c r="X29" s="1"/>
      <c r="Z29" s="1"/>
    </row>
    <row r="30" spans="1:26" x14ac:dyDescent="0.25">
      <c r="C30" s="7">
        <v>1.9819444444437977</v>
      </c>
      <c r="D30" s="1">
        <f t="shared" ref="D30:D53" si="0">C30*24</f>
        <v>47.566666666651145</v>
      </c>
      <c r="E30" s="7">
        <v>2.3784722222189885</v>
      </c>
      <c r="F30" s="1">
        <f t="shared" ref="F30:F53" si="1">E30*24</f>
        <v>57.083333333255723</v>
      </c>
      <c r="G30" s="7">
        <v>2.7868055555518367</v>
      </c>
      <c r="H30" s="1">
        <f t="shared" ref="H30:H53" si="2">G30*24</f>
        <v>66.883333333244082</v>
      </c>
      <c r="I30" s="7">
        <v>3.8409722222204437</v>
      </c>
      <c r="J30" s="1">
        <f t="shared" ref="J30:J53" si="3">I30*24</f>
        <v>92.183333333290648</v>
      </c>
      <c r="K30" s="7"/>
      <c r="L30" s="1"/>
      <c r="M30" s="7"/>
      <c r="N30" s="1"/>
      <c r="P30" s="1"/>
      <c r="R30" s="1"/>
      <c r="T30" s="1"/>
      <c r="V30" s="1"/>
      <c r="X30" s="1"/>
      <c r="Z30" s="1"/>
    </row>
    <row r="31" spans="1:26" x14ac:dyDescent="0.25">
      <c r="C31" s="7">
        <v>4.0131944444437977</v>
      </c>
      <c r="D31" s="1">
        <f t="shared" si="0"/>
        <v>96.316666666651145</v>
      </c>
      <c r="E31" s="7">
        <v>4.4506944444437977</v>
      </c>
      <c r="F31" s="1">
        <f t="shared" si="1"/>
        <v>106.81666666665114</v>
      </c>
      <c r="G31" s="7">
        <v>4.9402777777795563</v>
      </c>
      <c r="H31" s="1">
        <f t="shared" si="2"/>
        <v>118.56666666670935</v>
      </c>
      <c r="I31" s="7">
        <v>5.9319444444408873</v>
      </c>
      <c r="J31" s="1">
        <f t="shared" si="3"/>
        <v>142.3666666665813</v>
      </c>
      <c r="K31" s="7">
        <v>6.9090277777795563</v>
      </c>
      <c r="L31" s="1">
        <f t="shared" ref="L31:L53" si="4">K31*24</f>
        <v>165.81666666670935</v>
      </c>
      <c r="M31" s="7"/>
      <c r="N31" s="1"/>
      <c r="P31" s="1"/>
      <c r="R31" s="1"/>
      <c r="T31" s="1"/>
      <c r="V31" s="1"/>
      <c r="X31" s="1"/>
      <c r="Z31" s="1"/>
    </row>
    <row r="32" spans="1:26" x14ac:dyDescent="0.25">
      <c r="C32" s="7">
        <v>0.18333333333430346</v>
      </c>
      <c r="D32" s="1">
        <f t="shared" si="0"/>
        <v>4.4000000000232831</v>
      </c>
      <c r="E32" s="7">
        <v>0.90625</v>
      </c>
      <c r="F32" s="1">
        <f t="shared" si="1"/>
        <v>21.75</v>
      </c>
      <c r="G32" s="7">
        <v>1.4576388888890506</v>
      </c>
      <c r="H32" s="1">
        <f t="shared" si="2"/>
        <v>34.983333333337214</v>
      </c>
      <c r="I32" s="7">
        <v>1.8847222222248092</v>
      </c>
      <c r="J32" s="1">
        <f t="shared" si="3"/>
        <v>45.233333333395422</v>
      </c>
      <c r="K32" s="7">
        <v>2.898611111108039</v>
      </c>
      <c r="L32" s="1">
        <f t="shared" si="4"/>
        <v>69.566666666592937</v>
      </c>
      <c r="M32" s="7">
        <v>3.9479166666642413</v>
      </c>
      <c r="N32" s="1">
        <f t="shared" ref="N32:N53" si="5">M32*24</f>
        <v>94.749999999941792</v>
      </c>
      <c r="O32" s="7"/>
      <c r="P32" s="1"/>
      <c r="R32" s="1"/>
      <c r="T32" s="1"/>
      <c r="V32" s="1"/>
      <c r="X32" s="1"/>
      <c r="Z32" s="1"/>
    </row>
    <row r="33" spans="3:26" x14ac:dyDescent="0.25">
      <c r="C33" s="7">
        <v>0.45763888888905058</v>
      </c>
      <c r="D33" s="1">
        <f t="shared" si="0"/>
        <v>10.983333333337214</v>
      </c>
      <c r="E33" s="7">
        <v>0.94652777777810115</v>
      </c>
      <c r="F33" s="1">
        <f t="shared" si="1"/>
        <v>22.716666666674428</v>
      </c>
      <c r="G33" s="7">
        <v>1.4895833333357587</v>
      </c>
      <c r="H33" s="1">
        <f t="shared" si="2"/>
        <v>35.750000000058208</v>
      </c>
      <c r="I33" s="7">
        <v>1.8798611111124046</v>
      </c>
      <c r="J33" s="1">
        <f t="shared" si="3"/>
        <v>45.116666666697711</v>
      </c>
      <c r="K33" s="7">
        <v>2.9236111111094942</v>
      </c>
      <c r="L33" s="1">
        <f t="shared" si="4"/>
        <v>70.166666666627862</v>
      </c>
      <c r="M33" s="7">
        <v>3.1569444444467081</v>
      </c>
      <c r="N33" s="1">
        <f t="shared" si="5"/>
        <v>75.766666666720994</v>
      </c>
      <c r="O33" s="7">
        <v>3.9201388888905058</v>
      </c>
      <c r="P33" s="1">
        <f t="shared" ref="P33:P52" si="6">O33*24</f>
        <v>94.083333333372138</v>
      </c>
      <c r="Q33" s="7">
        <v>4.1875</v>
      </c>
      <c r="R33" s="1">
        <f t="shared" ref="R33" si="7">Q33*24</f>
        <v>100.5</v>
      </c>
      <c r="S33" s="7">
        <v>4.9555555555562023</v>
      </c>
      <c r="T33" s="1">
        <f t="shared" ref="T33:T50" si="8">S33*24</f>
        <v>118.93333333334886</v>
      </c>
      <c r="V33" s="1"/>
      <c r="X33" s="1"/>
      <c r="Z33" s="1"/>
    </row>
    <row r="34" spans="3:26" x14ac:dyDescent="0.25">
      <c r="C34" s="7">
        <v>0.26249999999708962</v>
      </c>
      <c r="D34" s="1">
        <f t="shared" si="0"/>
        <v>6.2999999999301508</v>
      </c>
      <c r="E34" s="7">
        <v>0.93263888888759539</v>
      </c>
      <c r="F34" s="1">
        <f t="shared" si="1"/>
        <v>22.383333333302289</v>
      </c>
      <c r="G34" s="7">
        <v>1.2104166666686069</v>
      </c>
      <c r="H34" s="1">
        <f t="shared" si="2"/>
        <v>29.050000000046566</v>
      </c>
      <c r="I34" s="7">
        <v>1.8715277777810115</v>
      </c>
      <c r="J34" s="1">
        <f t="shared" si="3"/>
        <v>44.916666666744277</v>
      </c>
      <c r="K34" s="7">
        <v>2.9055555555532919</v>
      </c>
      <c r="L34" s="1">
        <f t="shared" si="4"/>
        <v>69.733333333279006</v>
      </c>
      <c r="M34" s="7">
        <v>3.8541666666642413</v>
      </c>
      <c r="N34" s="1">
        <f t="shared" si="5"/>
        <v>92.499999999941792</v>
      </c>
      <c r="O34" s="7">
        <v>4.8576388888905058</v>
      </c>
      <c r="P34" s="1">
        <f t="shared" si="6"/>
        <v>116.58333333337214</v>
      </c>
      <c r="Q34" s="7">
        <v>5.9312500000014552</v>
      </c>
      <c r="R34" s="1">
        <f t="shared" ref="R34" si="9">Q34*24</f>
        <v>142.35000000003492</v>
      </c>
      <c r="S34" s="7"/>
      <c r="T34" s="1"/>
      <c r="V34" s="1"/>
      <c r="X34" s="1"/>
      <c r="Z34" s="1"/>
    </row>
    <row r="35" spans="3:26" x14ac:dyDescent="0.25">
      <c r="C35" s="8">
        <v>6.9444444452528842E-3</v>
      </c>
      <c r="D35" s="1">
        <f t="shared" si="0"/>
        <v>0.16666666668606922</v>
      </c>
      <c r="E35" s="8">
        <v>0.52500000000145519</v>
      </c>
      <c r="F35" s="1">
        <f t="shared" si="1"/>
        <v>12.600000000034925</v>
      </c>
      <c r="G35" s="8">
        <v>0.91041666666569654</v>
      </c>
      <c r="H35" s="1">
        <f t="shared" si="2"/>
        <v>21.849999999976717</v>
      </c>
      <c r="I35" s="8">
        <v>1.9201388888905058</v>
      </c>
      <c r="J35" s="1">
        <f t="shared" si="3"/>
        <v>46.083333333372138</v>
      </c>
      <c r="K35" s="8">
        <v>2.1875</v>
      </c>
      <c r="L35" s="1">
        <f t="shared" si="4"/>
        <v>52.5</v>
      </c>
      <c r="M35" s="8">
        <v>2.9618055555547471</v>
      </c>
      <c r="N35" s="1">
        <f t="shared" si="5"/>
        <v>71.083333333313931</v>
      </c>
      <c r="O35" s="7"/>
      <c r="P35" s="1"/>
      <c r="Q35" s="7"/>
      <c r="R35" s="1"/>
      <c r="S35" s="7"/>
      <c r="T35" s="1"/>
      <c r="V35" s="1"/>
      <c r="X35" s="1"/>
      <c r="Z35" s="1"/>
    </row>
    <row r="36" spans="3:26" x14ac:dyDescent="0.25">
      <c r="C36" s="7">
        <v>0.12013888888759539</v>
      </c>
      <c r="D36" s="1">
        <f t="shared" si="0"/>
        <v>2.8833333333022892</v>
      </c>
      <c r="E36" s="7">
        <v>31.957638888889051</v>
      </c>
      <c r="F36" s="1">
        <f t="shared" si="1"/>
        <v>766.98333333333721</v>
      </c>
      <c r="G36" s="7">
        <v>32.427777777775191</v>
      </c>
      <c r="H36" s="1">
        <f t="shared" si="2"/>
        <v>778.26666666660458</v>
      </c>
      <c r="I36" s="7">
        <v>32.947916666664241</v>
      </c>
      <c r="J36" s="1">
        <f t="shared" si="3"/>
        <v>790.74999999994179</v>
      </c>
      <c r="K36" s="7">
        <v>33.933333333334303</v>
      </c>
      <c r="L36" s="1">
        <f t="shared" si="4"/>
        <v>814.40000000002328</v>
      </c>
      <c r="M36" s="7">
        <v>34.896527777775191</v>
      </c>
      <c r="N36" s="1">
        <f t="shared" si="5"/>
        <v>837.51666666660458</v>
      </c>
      <c r="O36" s="7"/>
      <c r="P36" s="1"/>
      <c r="Q36" s="7"/>
      <c r="R36" s="1"/>
      <c r="S36" s="7"/>
      <c r="T36" s="1"/>
      <c r="V36" s="1"/>
      <c r="X36" s="1"/>
      <c r="Z36" s="1"/>
    </row>
    <row r="37" spans="3:26" x14ac:dyDescent="0.25">
      <c r="C37" s="7">
        <v>0.15833333333284827</v>
      </c>
      <c r="D37" s="1">
        <f t="shared" si="0"/>
        <v>3.7999999999883585</v>
      </c>
      <c r="E37" s="7">
        <v>0.43125000000145519</v>
      </c>
      <c r="F37" s="1">
        <f t="shared" si="1"/>
        <v>10.350000000034925</v>
      </c>
      <c r="G37" s="7">
        <v>0.90625</v>
      </c>
      <c r="H37" s="1">
        <f t="shared" si="2"/>
        <v>21.75</v>
      </c>
      <c r="I37" s="7">
        <v>1.8583333333299379</v>
      </c>
      <c r="J37" s="1">
        <f t="shared" si="3"/>
        <v>44.599999999918509</v>
      </c>
      <c r="K37" s="7">
        <v>2.9187499999970896</v>
      </c>
      <c r="L37" s="1">
        <f t="shared" si="4"/>
        <v>70.049999999930151</v>
      </c>
      <c r="M37" s="7"/>
      <c r="N37" s="1"/>
      <c r="O37" s="7"/>
      <c r="P37" s="1"/>
      <c r="Q37" s="7"/>
      <c r="R37" s="1"/>
      <c r="S37" s="7"/>
      <c r="T37" s="1"/>
      <c r="V37" s="1"/>
      <c r="X37" s="1"/>
      <c r="Z37" s="1"/>
    </row>
    <row r="38" spans="3:26" x14ac:dyDescent="0.25">
      <c r="C38" s="7">
        <v>2.0118055555576575</v>
      </c>
      <c r="D38" s="1">
        <f t="shared" si="0"/>
        <v>48.28333333338378</v>
      </c>
      <c r="E38" s="7">
        <v>2.9368055555532919</v>
      </c>
      <c r="F38" s="1">
        <f t="shared" si="1"/>
        <v>70.483333333279006</v>
      </c>
      <c r="G38" s="7">
        <v>3.4083333333328483</v>
      </c>
      <c r="H38" s="1">
        <f t="shared" si="2"/>
        <v>81.799999999988358</v>
      </c>
      <c r="I38" s="7">
        <v>3.9180555555576575</v>
      </c>
      <c r="J38" s="1">
        <f t="shared" si="3"/>
        <v>94.03333333338378</v>
      </c>
      <c r="K38" s="7">
        <v>4.9347222222204437</v>
      </c>
      <c r="L38" s="1">
        <f t="shared" si="4"/>
        <v>118.43333333329065</v>
      </c>
      <c r="M38" s="7">
        <v>5.3319444444423425</v>
      </c>
      <c r="N38" s="1">
        <f t="shared" si="5"/>
        <v>127.96666666661622</v>
      </c>
      <c r="O38" s="7">
        <v>5.9270833333357587</v>
      </c>
      <c r="P38" s="1">
        <f t="shared" si="6"/>
        <v>142.25000000005821</v>
      </c>
      <c r="Q38" s="7">
        <v>6.8847222222248092</v>
      </c>
      <c r="R38" s="1">
        <f t="shared" ref="R38" si="10">Q38*24</f>
        <v>165.23333333339542</v>
      </c>
      <c r="S38" s="7">
        <v>7.9111111111124046</v>
      </c>
      <c r="T38" s="1">
        <f t="shared" si="8"/>
        <v>189.86666666669771</v>
      </c>
      <c r="U38" s="7">
        <v>8.929861111108039</v>
      </c>
      <c r="V38" s="1">
        <f t="shared" ref="V38" si="11">U38*24</f>
        <v>214.31666666659294</v>
      </c>
      <c r="W38" s="7">
        <v>9.9826388888905058</v>
      </c>
      <c r="X38" s="1">
        <f t="shared" ref="X38:X50" si="12">W38*24</f>
        <v>239.58333333337214</v>
      </c>
      <c r="Y38" s="7">
        <v>10.924305555556202</v>
      </c>
      <c r="Z38" s="1">
        <f t="shared" ref="Z38:Z44" si="13">Y38*24</f>
        <v>262.18333333334886</v>
      </c>
    </row>
    <row r="39" spans="3:26" x14ac:dyDescent="0.25">
      <c r="C39" s="7">
        <v>1.9888888888890506</v>
      </c>
      <c r="D39" s="1">
        <f t="shared" si="0"/>
        <v>47.733333333337214</v>
      </c>
      <c r="E39" s="7">
        <v>2.8993055555547471</v>
      </c>
      <c r="F39" s="1">
        <f t="shared" si="1"/>
        <v>69.583333333313931</v>
      </c>
      <c r="G39" s="7">
        <v>3.9368055555532919</v>
      </c>
      <c r="H39" s="1">
        <f t="shared" si="2"/>
        <v>94.483333333279006</v>
      </c>
      <c r="I39" s="7">
        <v>4.2277777777781012</v>
      </c>
      <c r="J39" s="1">
        <f t="shared" si="3"/>
        <v>101.46666666667443</v>
      </c>
      <c r="K39" s="7">
        <v>4.9437499999985448</v>
      </c>
      <c r="L39" s="1">
        <f t="shared" si="4"/>
        <v>118.64999999996508</v>
      </c>
      <c r="M39" s="7">
        <v>5.9486111111109494</v>
      </c>
      <c r="N39" s="1">
        <f t="shared" si="5"/>
        <v>142.76666666666279</v>
      </c>
      <c r="O39" s="7">
        <v>6.96875</v>
      </c>
      <c r="P39" s="1">
        <f t="shared" si="6"/>
        <v>167.25</v>
      </c>
      <c r="Q39" s="7">
        <v>8.9326388888875954</v>
      </c>
      <c r="R39" s="1">
        <f t="shared" ref="R39" si="14">Q39*24</f>
        <v>214.38333333330229</v>
      </c>
      <c r="S39" s="7">
        <v>9.9951388888875954</v>
      </c>
      <c r="T39" s="1">
        <f t="shared" si="8"/>
        <v>239.88333333330229</v>
      </c>
      <c r="U39" s="7">
        <v>10.925694444442343</v>
      </c>
      <c r="V39" s="1">
        <f t="shared" ref="V39" si="15">U39*24</f>
        <v>262.21666666661622</v>
      </c>
      <c r="W39" s="7"/>
      <c r="X39" s="1"/>
      <c r="Z39" s="1"/>
    </row>
    <row r="40" spans="3:26" x14ac:dyDescent="0.25">
      <c r="C40" s="7">
        <v>1.0888888888875954</v>
      </c>
      <c r="D40" s="1">
        <f t="shared" si="0"/>
        <v>26.133333333302289</v>
      </c>
      <c r="E40" s="7">
        <v>1.3465277777795563</v>
      </c>
      <c r="F40" s="1">
        <f t="shared" si="1"/>
        <v>32.316666666709352</v>
      </c>
      <c r="G40" s="7">
        <v>1.7694444444423425</v>
      </c>
      <c r="H40" s="1">
        <f t="shared" si="2"/>
        <v>42.46666666661622</v>
      </c>
      <c r="I40" s="7">
        <v>2.7486111111138598</v>
      </c>
      <c r="J40" s="1">
        <f t="shared" si="3"/>
        <v>65.966666666732635</v>
      </c>
      <c r="K40" s="7">
        <v>3.765277777776646</v>
      </c>
      <c r="L40" s="1">
        <f t="shared" si="4"/>
        <v>90.366666666639503</v>
      </c>
      <c r="M40" s="7">
        <v>4.1243055555532919</v>
      </c>
      <c r="N40" s="1">
        <f t="shared" si="5"/>
        <v>98.983333333279006</v>
      </c>
      <c r="O40" s="7">
        <v>4.7951388888905058</v>
      </c>
      <c r="P40" s="1">
        <f t="shared" si="6"/>
        <v>115.08333333337214</v>
      </c>
      <c r="Q40" s="7">
        <v>5.8118055555532919</v>
      </c>
      <c r="R40" s="1">
        <f t="shared" ref="R40" si="16">Q40*24</f>
        <v>139.48333333327901</v>
      </c>
      <c r="S40" s="7">
        <v>6.8458333333328483</v>
      </c>
      <c r="T40" s="1">
        <f t="shared" si="8"/>
        <v>164.29999999998836</v>
      </c>
      <c r="U40" s="7">
        <v>7.8243055555576575</v>
      </c>
      <c r="V40" s="1">
        <f t="shared" ref="V40" si="17">U40*24</f>
        <v>187.78333333338378</v>
      </c>
      <c r="W40" s="7"/>
      <c r="X40" s="1"/>
      <c r="Z40" s="1"/>
    </row>
    <row r="41" spans="3:26" x14ac:dyDescent="0.25">
      <c r="C41" s="7">
        <v>9.0652777777795563</v>
      </c>
      <c r="D41" s="1">
        <f t="shared" si="0"/>
        <v>217.56666666670935</v>
      </c>
      <c r="E41" s="7">
        <v>9.257638888891961</v>
      </c>
      <c r="F41" s="1">
        <f t="shared" si="1"/>
        <v>222.18333333340706</v>
      </c>
      <c r="G41" s="7">
        <v>9.9166666666642413</v>
      </c>
      <c r="H41" s="1">
        <f t="shared" si="2"/>
        <v>237.99999999994179</v>
      </c>
      <c r="I41" s="7">
        <v>10.929861111108039</v>
      </c>
      <c r="J41" s="1">
        <f t="shared" si="3"/>
        <v>262.31666666659294</v>
      </c>
      <c r="K41" s="7">
        <v>11.888888888890506</v>
      </c>
      <c r="L41" s="1">
        <f t="shared" si="4"/>
        <v>285.33333333337214</v>
      </c>
      <c r="M41" s="7">
        <v>12.422222222223354</v>
      </c>
      <c r="N41" s="1">
        <f t="shared" si="5"/>
        <v>298.1333333333605</v>
      </c>
      <c r="O41" s="7">
        <v>12.896527777775191</v>
      </c>
      <c r="P41" s="1">
        <f t="shared" si="6"/>
        <v>309.51666666660458</v>
      </c>
      <c r="Q41" s="7">
        <v>13.956944444442343</v>
      </c>
      <c r="R41" s="1">
        <f t="shared" ref="R41" si="18">Q41*24</f>
        <v>334.96666666661622</v>
      </c>
      <c r="S41" s="7"/>
      <c r="T41" s="1"/>
      <c r="U41" s="7"/>
      <c r="V41" s="1"/>
      <c r="W41" s="7"/>
      <c r="X41" s="1"/>
      <c r="Z41" s="1"/>
    </row>
    <row r="42" spans="3:26" x14ac:dyDescent="0.25">
      <c r="C42" s="7">
        <v>1.1902777777795563</v>
      </c>
      <c r="D42" s="1">
        <f t="shared" si="0"/>
        <v>28.566666666709352</v>
      </c>
      <c r="E42" s="7">
        <v>1.890972222223354</v>
      </c>
      <c r="F42" s="1">
        <f t="shared" si="1"/>
        <v>45.383333333360497</v>
      </c>
      <c r="G42" s="7">
        <v>2.2548611111124046</v>
      </c>
      <c r="H42" s="1">
        <f t="shared" si="2"/>
        <v>54.116666666697711</v>
      </c>
      <c r="I42" s="7">
        <v>1.9375</v>
      </c>
      <c r="J42" s="1">
        <f t="shared" si="3"/>
        <v>46.5</v>
      </c>
      <c r="K42" s="7">
        <v>2.9409722222189885</v>
      </c>
      <c r="L42" s="1">
        <f t="shared" si="4"/>
        <v>70.583333333255723</v>
      </c>
      <c r="M42" s="7">
        <v>3.8798611111124046</v>
      </c>
      <c r="N42" s="1">
        <f t="shared" si="5"/>
        <v>93.116666666697711</v>
      </c>
      <c r="O42" s="7">
        <v>4.8868055555576575</v>
      </c>
      <c r="P42" s="1">
        <f t="shared" si="6"/>
        <v>117.28333333338378</v>
      </c>
      <c r="Q42" s="7">
        <v>5.9187499999970896</v>
      </c>
      <c r="R42" s="1">
        <f t="shared" ref="R42" si="19">Q42*24</f>
        <v>142.04999999993015</v>
      </c>
      <c r="S42" s="7"/>
      <c r="T42" s="1"/>
      <c r="U42" s="7"/>
      <c r="V42" s="1"/>
      <c r="W42" s="7"/>
      <c r="X42" s="1"/>
      <c r="Z42" s="1"/>
    </row>
    <row r="43" spans="3:26" x14ac:dyDescent="0.25">
      <c r="C43" s="7">
        <v>6.1624999999985448</v>
      </c>
      <c r="D43" s="1">
        <f t="shared" si="0"/>
        <v>147.89999999996508</v>
      </c>
      <c r="E43" s="7">
        <v>6.4187499999970896</v>
      </c>
      <c r="F43" s="1">
        <f t="shared" si="1"/>
        <v>154.04999999993015</v>
      </c>
      <c r="G43" s="7">
        <v>6.953472222223354</v>
      </c>
      <c r="H43" s="1">
        <f t="shared" si="2"/>
        <v>166.8833333333605</v>
      </c>
      <c r="I43" s="7">
        <v>7.9034722222204437</v>
      </c>
      <c r="J43" s="1">
        <f t="shared" si="3"/>
        <v>189.68333333329065</v>
      </c>
      <c r="K43" s="7">
        <v>8.9118055555591127</v>
      </c>
      <c r="L43" s="1">
        <f t="shared" si="4"/>
        <v>213.8833333334187</v>
      </c>
      <c r="M43" s="7">
        <v>9.9180555555576575</v>
      </c>
      <c r="N43" s="1">
        <f t="shared" si="5"/>
        <v>238.03333333338378</v>
      </c>
      <c r="O43" s="7">
        <v>11.038888888891961</v>
      </c>
      <c r="P43" s="1">
        <f t="shared" si="6"/>
        <v>264.93333333340706</v>
      </c>
      <c r="Q43" s="7">
        <v>11.96875</v>
      </c>
      <c r="R43" s="1">
        <f t="shared" ref="R43" si="20">Q43*24</f>
        <v>287.25</v>
      </c>
      <c r="S43" s="7"/>
      <c r="T43" s="1"/>
      <c r="U43" s="7"/>
      <c r="V43" s="1"/>
      <c r="W43" s="7"/>
      <c r="X43" s="1"/>
      <c r="Z43" s="1"/>
    </row>
    <row r="44" spans="3:26" x14ac:dyDescent="0.25">
      <c r="C44" s="7">
        <v>1.3930555555562023</v>
      </c>
      <c r="D44" s="1">
        <f t="shared" si="0"/>
        <v>33.433333333348855</v>
      </c>
      <c r="E44" s="7">
        <v>1.8965277777751908</v>
      </c>
      <c r="F44" s="1">
        <f t="shared" si="1"/>
        <v>45.516666666604578</v>
      </c>
      <c r="G44" s="7">
        <v>2.2451388888875954</v>
      </c>
      <c r="H44" s="1">
        <f t="shared" si="2"/>
        <v>53.883333333302289</v>
      </c>
      <c r="I44" s="7">
        <v>2.9229166666700621</v>
      </c>
      <c r="J44" s="1">
        <f t="shared" si="3"/>
        <v>70.150000000081491</v>
      </c>
      <c r="K44" s="7">
        <v>3.2256944444452529</v>
      </c>
      <c r="L44" s="1">
        <f t="shared" si="4"/>
        <v>77.416666666686069</v>
      </c>
      <c r="M44" s="7">
        <v>3.8972222222218988</v>
      </c>
      <c r="N44" s="1">
        <f t="shared" si="5"/>
        <v>93.533333333325572</v>
      </c>
      <c r="O44" s="7">
        <v>4.921527777776646</v>
      </c>
      <c r="P44" s="1">
        <f t="shared" si="6"/>
        <v>118.1166666666395</v>
      </c>
      <c r="Q44" s="7">
        <v>5.3083333333343035</v>
      </c>
      <c r="R44" s="1">
        <f t="shared" ref="R44" si="21">Q44*24</f>
        <v>127.40000000002328</v>
      </c>
      <c r="S44" s="7">
        <v>5.9263888888890506</v>
      </c>
      <c r="T44" s="1">
        <f t="shared" si="8"/>
        <v>142.23333333333721</v>
      </c>
      <c r="U44" s="7">
        <v>6.2416666666686069</v>
      </c>
      <c r="V44" s="1">
        <f t="shared" ref="V44" si="22">U44*24</f>
        <v>149.80000000004657</v>
      </c>
      <c r="W44" s="7">
        <v>6.921527777776646</v>
      </c>
      <c r="X44" s="1">
        <f t="shared" si="12"/>
        <v>166.1166666666395</v>
      </c>
      <c r="Y44" s="7">
        <v>7.9749999999985448</v>
      </c>
      <c r="Z44" s="1">
        <f t="shared" si="13"/>
        <v>191.39999999996508</v>
      </c>
    </row>
    <row r="45" spans="3:26" x14ac:dyDescent="0.25">
      <c r="C45" s="7">
        <v>0.10972222222335404</v>
      </c>
      <c r="D45" s="1">
        <f t="shared" si="0"/>
        <v>2.6333333333604969</v>
      </c>
      <c r="E45" s="7">
        <v>0.78125</v>
      </c>
      <c r="F45" s="1">
        <f t="shared" si="1"/>
        <v>18.75</v>
      </c>
      <c r="G45" s="7">
        <v>0.98194444444379769</v>
      </c>
      <c r="H45" s="1">
        <f t="shared" si="2"/>
        <v>23.566666666651145</v>
      </c>
      <c r="I45" s="7">
        <v>1.7354166666700621</v>
      </c>
      <c r="J45" s="1">
        <f t="shared" si="3"/>
        <v>41.650000000081491</v>
      </c>
      <c r="K45" s="7">
        <v>2.7451388888875954</v>
      </c>
      <c r="L45" s="1">
        <f t="shared" si="4"/>
        <v>65.883333333302289</v>
      </c>
      <c r="M45" s="7">
        <v>3.757638888891961</v>
      </c>
      <c r="N45" s="1">
        <f t="shared" si="5"/>
        <v>90.183333333407063</v>
      </c>
      <c r="O45" s="7">
        <v>4.7951388888905058</v>
      </c>
      <c r="P45" s="1">
        <f t="shared" si="6"/>
        <v>115.08333333337214</v>
      </c>
      <c r="Q45" s="7"/>
      <c r="R45" s="1"/>
      <c r="S45" s="7"/>
      <c r="T45" s="1"/>
      <c r="U45" s="7"/>
      <c r="V45" s="1"/>
      <c r="W45" s="7"/>
      <c r="X45" s="1"/>
      <c r="Z45" s="1"/>
    </row>
    <row r="46" spans="3:26" x14ac:dyDescent="0.25">
      <c r="C46" s="7">
        <v>7.2555555555591127</v>
      </c>
      <c r="D46" s="1">
        <f t="shared" si="0"/>
        <v>174.1333333334187</v>
      </c>
      <c r="E46" s="7">
        <v>7.0638888888861402</v>
      </c>
      <c r="F46" s="1">
        <f t="shared" si="1"/>
        <v>169.53333333326736</v>
      </c>
      <c r="G46" s="7">
        <v>7.96875</v>
      </c>
      <c r="H46" s="1">
        <f t="shared" si="2"/>
        <v>191.25</v>
      </c>
      <c r="I46" s="7">
        <v>8.8847222222248092</v>
      </c>
      <c r="J46" s="1">
        <f t="shared" si="3"/>
        <v>213.23333333339542</v>
      </c>
      <c r="K46" s="7">
        <v>9.257638888891961</v>
      </c>
      <c r="L46" s="1">
        <f t="shared" si="4"/>
        <v>222.18333333340706</v>
      </c>
      <c r="M46" s="7">
        <v>9.9111111111124046</v>
      </c>
      <c r="N46" s="1">
        <f t="shared" si="5"/>
        <v>237.86666666669771</v>
      </c>
      <c r="O46" s="7">
        <v>10.929861111108039</v>
      </c>
      <c r="P46" s="1">
        <f t="shared" si="6"/>
        <v>262.31666666659294</v>
      </c>
      <c r="Q46" s="7">
        <v>11.906944444446708</v>
      </c>
      <c r="R46" s="1">
        <f t="shared" ref="R46" si="23">Q46*24</f>
        <v>285.76666666672099</v>
      </c>
      <c r="S46" s="7"/>
      <c r="T46" s="1"/>
      <c r="U46" s="7"/>
      <c r="V46" s="1"/>
      <c r="W46" s="7"/>
      <c r="X46" s="1"/>
      <c r="Z46" s="1"/>
    </row>
    <row r="47" spans="3:26" x14ac:dyDescent="0.25">
      <c r="C47" s="7">
        <v>0.61249999999563443</v>
      </c>
      <c r="D47" s="1">
        <f t="shared" si="0"/>
        <v>14.699999999895226</v>
      </c>
      <c r="E47" s="7">
        <v>1.3020833333284827</v>
      </c>
      <c r="F47" s="1">
        <f t="shared" si="1"/>
        <v>31.249999999883585</v>
      </c>
      <c r="G47" s="7">
        <v>1.7381944444423425</v>
      </c>
      <c r="H47" s="1">
        <f t="shared" si="2"/>
        <v>41.71666666661622</v>
      </c>
      <c r="I47" s="7">
        <v>2.3368055555547471</v>
      </c>
      <c r="J47" s="1">
        <f t="shared" si="3"/>
        <v>56.083333333313931</v>
      </c>
      <c r="K47" s="7">
        <v>3.3694444444408873</v>
      </c>
      <c r="L47" s="1">
        <f t="shared" si="4"/>
        <v>80.866666666581295</v>
      </c>
      <c r="M47" s="7">
        <v>4.3263888888832298</v>
      </c>
      <c r="N47" s="1">
        <f t="shared" si="5"/>
        <v>103.83333333319752</v>
      </c>
      <c r="O47" s="7">
        <v>5.3840277777781012</v>
      </c>
      <c r="P47" s="1">
        <f t="shared" si="6"/>
        <v>129.21666666667443</v>
      </c>
      <c r="Q47" s="7"/>
      <c r="R47" s="1"/>
      <c r="S47" s="7"/>
      <c r="T47" s="1"/>
      <c r="U47" s="7"/>
      <c r="V47" s="1"/>
      <c r="W47" s="7"/>
      <c r="X47" s="1"/>
      <c r="Z47" s="1"/>
    </row>
    <row r="48" spans="3:26" x14ac:dyDescent="0.25">
      <c r="C48" s="7">
        <v>0.16944444444379769</v>
      </c>
      <c r="D48" s="1">
        <f t="shared" si="0"/>
        <v>4.0666666666511446</v>
      </c>
      <c r="E48" s="7">
        <v>0.22777777777810115</v>
      </c>
      <c r="F48" s="1">
        <f t="shared" si="1"/>
        <v>5.4666666666744277</v>
      </c>
      <c r="G48" s="7">
        <v>1.304861111108039</v>
      </c>
      <c r="H48" s="1">
        <f t="shared" si="2"/>
        <v>31.316666666592937</v>
      </c>
      <c r="I48" s="7">
        <v>2.2534722222189885</v>
      </c>
      <c r="J48" s="1">
        <f t="shared" si="3"/>
        <v>54.083333333255723</v>
      </c>
      <c r="K48" s="7">
        <v>3.3138888888861402</v>
      </c>
      <c r="L48" s="1">
        <f t="shared" si="4"/>
        <v>79.533333333267365</v>
      </c>
      <c r="M48" s="7">
        <v>4.2638888888905058</v>
      </c>
      <c r="N48" s="1">
        <f t="shared" si="5"/>
        <v>102.33333333337214</v>
      </c>
      <c r="O48" s="7">
        <v>4.8694444444408873</v>
      </c>
      <c r="P48" s="1">
        <f t="shared" si="6"/>
        <v>116.8666666665813</v>
      </c>
      <c r="Q48" s="7">
        <v>5.273611111108039</v>
      </c>
      <c r="R48" s="1">
        <f t="shared" ref="R48" si="24">Q48*24</f>
        <v>126.56666666659294</v>
      </c>
      <c r="S48" s="7">
        <v>6.3208333333313931</v>
      </c>
      <c r="T48" s="1">
        <f t="shared" si="8"/>
        <v>151.69999999995343</v>
      </c>
      <c r="U48" s="7">
        <v>7.2958333333299379</v>
      </c>
      <c r="V48" s="1">
        <f t="shared" ref="V48" si="25">U48*24</f>
        <v>175.09999999991851</v>
      </c>
      <c r="W48" s="7"/>
      <c r="X48" s="1"/>
      <c r="Z48" s="1"/>
    </row>
    <row r="49" spans="3:26" x14ac:dyDescent="0.25">
      <c r="C49" s="7">
        <v>2.390972222223354</v>
      </c>
      <c r="D49" s="1">
        <f t="shared" si="0"/>
        <v>57.383333333360497</v>
      </c>
      <c r="E49" s="7">
        <v>3.2638888888905058</v>
      </c>
      <c r="F49" s="1">
        <f t="shared" si="1"/>
        <v>78.333333333372138</v>
      </c>
      <c r="G49" s="7">
        <v>3.8694444444408873</v>
      </c>
      <c r="H49" s="1">
        <f t="shared" si="2"/>
        <v>92.866666666581295</v>
      </c>
      <c r="I49" s="7">
        <v>4.2750000000014552</v>
      </c>
      <c r="J49" s="1">
        <f t="shared" si="3"/>
        <v>102.60000000003492</v>
      </c>
      <c r="K49" s="7">
        <v>5.28125</v>
      </c>
      <c r="L49" s="1">
        <f t="shared" si="4"/>
        <v>126.75</v>
      </c>
      <c r="M49" s="7">
        <v>6.3291666666700621</v>
      </c>
      <c r="N49" s="1">
        <f t="shared" si="5"/>
        <v>151.90000000008149</v>
      </c>
      <c r="O49" s="7"/>
      <c r="P49" s="1"/>
      <c r="Q49" s="7"/>
      <c r="R49" s="1"/>
      <c r="S49" s="7"/>
      <c r="T49" s="1"/>
      <c r="U49" s="7"/>
      <c r="V49" s="1"/>
      <c r="W49" s="7"/>
      <c r="X49" s="1"/>
      <c r="Z49" s="1"/>
    </row>
    <row r="50" spans="3:26" x14ac:dyDescent="0.25">
      <c r="C50" s="7">
        <v>7.6388888890505768E-2</v>
      </c>
      <c r="D50" s="1">
        <f t="shared" si="0"/>
        <v>1.8333333333721384</v>
      </c>
      <c r="E50" s="7">
        <v>0.47777777777810115</v>
      </c>
      <c r="F50" s="1">
        <f t="shared" si="1"/>
        <v>11.466666666674428</v>
      </c>
      <c r="G50" s="7">
        <v>0.92638888888905058</v>
      </c>
      <c r="H50" s="1">
        <f t="shared" si="2"/>
        <v>22.233333333337214</v>
      </c>
      <c r="I50" s="7">
        <v>1.2402777777751908</v>
      </c>
      <c r="J50" s="1">
        <f t="shared" si="3"/>
        <v>29.766666666604578</v>
      </c>
      <c r="K50" s="7">
        <v>1.9562500000029104</v>
      </c>
      <c r="L50" s="1">
        <f t="shared" si="4"/>
        <v>46.950000000069849</v>
      </c>
      <c r="M50" s="7">
        <v>2.9798611111109494</v>
      </c>
      <c r="N50" s="1">
        <f t="shared" si="5"/>
        <v>71.516666666662786</v>
      </c>
      <c r="O50" s="7">
        <v>3.234027777776646</v>
      </c>
      <c r="P50" s="1">
        <f t="shared" si="6"/>
        <v>77.616666666639503</v>
      </c>
      <c r="Q50" s="7">
        <v>3.4833333333299379</v>
      </c>
      <c r="R50" s="1">
        <f t="shared" ref="R50" si="26">Q50*24</f>
        <v>83.599999999918509</v>
      </c>
      <c r="S50" s="7">
        <v>3.8625000000029104</v>
      </c>
      <c r="T50" s="1">
        <f t="shared" si="8"/>
        <v>92.700000000069849</v>
      </c>
      <c r="U50" s="7">
        <v>4.8562499999970896</v>
      </c>
      <c r="V50" s="1">
        <f t="shared" ref="V50" si="27">U50*24</f>
        <v>116.54999999993015</v>
      </c>
      <c r="W50" s="7">
        <v>5.8541666666642413</v>
      </c>
      <c r="X50" s="1">
        <f t="shared" si="12"/>
        <v>140.49999999994179</v>
      </c>
      <c r="Z50" s="1"/>
    </row>
    <row r="51" spans="3:26" x14ac:dyDescent="0.25">
      <c r="C51" s="7">
        <v>0.3125</v>
      </c>
      <c r="D51" s="1">
        <f t="shared" si="0"/>
        <v>7.5</v>
      </c>
      <c r="E51" s="7">
        <v>0.75138888889341615</v>
      </c>
      <c r="F51" s="1">
        <f t="shared" si="1"/>
        <v>18.033333333441988</v>
      </c>
      <c r="G51" s="7">
        <v>1.0590277777810115</v>
      </c>
      <c r="H51" s="1">
        <f t="shared" si="2"/>
        <v>25.416666666744277</v>
      </c>
      <c r="I51" s="7">
        <v>1.7305555555576575</v>
      </c>
      <c r="J51" s="1">
        <f t="shared" si="3"/>
        <v>41.53333333338378</v>
      </c>
      <c r="K51" s="7">
        <v>2.7548611111124046</v>
      </c>
      <c r="L51" s="1">
        <f t="shared" si="4"/>
        <v>66.116666666697711</v>
      </c>
      <c r="M51" s="7">
        <v>3.7791666666671517</v>
      </c>
      <c r="N51" s="1">
        <f t="shared" si="5"/>
        <v>90.700000000011642</v>
      </c>
      <c r="O51" s="7">
        <v>4.7562500000058208</v>
      </c>
      <c r="P51" s="1">
        <f t="shared" si="6"/>
        <v>114.1500000001397</v>
      </c>
      <c r="Q51" s="7"/>
      <c r="R51" s="1"/>
      <c r="S51" s="7"/>
      <c r="T51" s="1"/>
      <c r="V51" s="1"/>
      <c r="X51" s="1"/>
      <c r="Z51" s="1"/>
    </row>
    <row r="52" spans="3:26" x14ac:dyDescent="0.25">
      <c r="C52" s="7">
        <v>1.234722222223354</v>
      </c>
      <c r="D52" s="1">
        <f t="shared" si="0"/>
        <v>29.633333333360497</v>
      </c>
      <c r="E52" s="7">
        <v>1.9270833333357587</v>
      </c>
      <c r="F52" s="1">
        <f t="shared" si="1"/>
        <v>46.250000000058208</v>
      </c>
      <c r="G52" s="7">
        <v>2.2409722222218988</v>
      </c>
      <c r="H52" s="1">
        <f t="shared" si="2"/>
        <v>53.783333333325572</v>
      </c>
      <c r="I52" s="7">
        <v>2.8847222222248092</v>
      </c>
      <c r="J52" s="1">
        <f t="shared" si="3"/>
        <v>69.233333333395422</v>
      </c>
      <c r="K52" s="7">
        <v>3.2597222222248092</v>
      </c>
      <c r="L52" s="1">
        <f t="shared" si="4"/>
        <v>78.233333333395422</v>
      </c>
      <c r="M52" s="7">
        <v>3.9326388888875954</v>
      </c>
      <c r="N52" s="1">
        <f t="shared" si="5"/>
        <v>94.383333333302289</v>
      </c>
      <c r="O52" s="7">
        <v>4.929861111108039</v>
      </c>
      <c r="P52" s="1">
        <f t="shared" si="6"/>
        <v>118.31666666659294</v>
      </c>
      <c r="Q52" s="7">
        <v>5.984027777776646</v>
      </c>
      <c r="R52" s="1">
        <f t="shared" ref="R52" si="28">Q52*24</f>
        <v>143.6166666666395</v>
      </c>
      <c r="S52" s="7"/>
      <c r="T52" s="1"/>
      <c r="V52" s="1"/>
      <c r="X52" s="1"/>
      <c r="Z52" s="1"/>
    </row>
    <row r="53" spans="3:26" x14ac:dyDescent="0.25">
      <c r="C53" s="7">
        <v>0.91597222222480923</v>
      </c>
      <c r="D53" s="1">
        <f t="shared" si="0"/>
        <v>21.983333333395422</v>
      </c>
      <c r="E53" s="7">
        <v>1.0999999999985448</v>
      </c>
      <c r="F53" s="1">
        <f t="shared" si="1"/>
        <v>26.399999999965075</v>
      </c>
      <c r="G53" s="7">
        <v>1.7722222222218988</v>
      </c>
      <c r="H53" s="1">
        <f t="shared" si="2"/>
        <v>42.533333333325572</v>
      </c>
      <c r="I53" s="7">
        <v>2.796527777776646</v>
      </c>
      <c r="J53" s="1">
        <f t="shared" si="3"/>
        <v>67.116666666639503</v>
      </c>
      <c r="K53" s="7">
        <v>3.8270833333299379</v>
      </c>
      <c r="L53" s="1">
        <f t="shared" si="4"/>
        <v>91.849999999918509</v>
      </c>
      <c r="M53" s="7">
        <v>4.7979166666700621</v>
      </c>
      <c r="N53" s="1">
        <f t="shared" si="5"/>
        <v>115.15000000008149</v>
      </c>
      <c r="O53" s="7"/>
      <c r="P53" s="1"/>
      <c r="R53" s="1"/>
      <c r="T53" s="1"/>
      <c r="V53" s="1"/>
      <c r="X53" s="1"/>
      <c r="Z53" s="1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867E-FDD4-4FA9-B71F-442831A64B2B}">
  <dimension ref="A1:AC77"/>
  <sheetViews>
    <sheetView zoomScaleNormal="100" workbookViewId="0">
      <selection activeCell="C30" sqref="C30"/>
    </sheetView>
  </sheetViews>
  <sheetFormatPr defaultRowHeight="15" x14ac:dyDescent="0.25"/>
  <cols>
    <col min="2" max="2" width="16.140625" customWidth="1"/>
  </cols>
  <sheetData>
    <row r="1" spans="1:29" x14ac:dyDescent="0.25">
      <c r="A1" t="s">
        <v>789</v>
      </c>
      <c r="B1" s="7">
        <v>0.17083333332993789</v>
      </c>
      <c r="C1">
        <v>1.21</v>
      </c>
      <c r="D1" s="7">
        <v>0.42916666666860692</v>
      </c>
      <c r="E1">
        <v>2.79</v>
      </c>
      <c r="F1" s="7">
        <v>1.0270833333343035</v>
      </c>
      <c r="G1">
        <v>1.25</v>
      </c>
      <c r="H1" s="7">
        <v>2.0194444444423425</v>
      </c>
      <c r="I1">
        <v>0.60299999999999998</v>
      </c>
      <c r="J1" s="7">
        <v>2.9986111111138598</v>
      </c>
      <c r="K1">
        <v>0.66500000000000004</v>
      </c>
      <c r="L1" s="7">
        <v>4.0368055555591127</v>
      </c>
      <c r="M1">
        <v>0.69199999999999995</v>
      </c>
      <c r="N1" s="7">
        <v>4.4000000000014552</v>
      </c>
      <c r="O1">
        <v>0.54100000000000004</v>
      </c>
      <c r="P1" s="7">
        <v>5.0451388888905058</v>
      </c>
      <c r="Q1">
        <v>0.48299999999999998</v>
      </c>
      <c r="R1" s="7">
        <v>7.0243055555547471</v>
      </c>
      <c r="S1">
        <v>0.10199999999999999</v>
      </c>
      <c r="T1" s="7">
        <v>8.0618055555532919</v>
      </c>
      <c r="U1">
        <v>6.9000000000000006E-2</v>
      </c>
      <c r="V1" s="7">
        <v>9.0597222222204437</v>
      </c>
      <c r="W1">
        <v>5.0999999999999997E-2</v>
      </c>
      <c r="X1" s="7">
        <v>10.086111111108039</v>
      </c>
      <c r="Y1">
        <v>3.5000000000000003E-2</v>
      </c>
    </row>
    <row r="2" spans="1:29" x14ac:dyDescent="0.25">
      <c r="A2" t="s">
        <v>790</v>
      </c>
      <c r="B2" s="7">
        <v>0.35486111111094942</v>
      </c>
      <c r="C2">
        <v>16.63</v>
      </c>
      <c r="D2" s="7">
        <v>0.64027777777664596</v>
      </c>
      <c r="E2">
        <v>21.43</v>
      </c>
      <c r="F2" s="7">
        <v>0.91180555555183673</v>
      </c>
      <c r="G2">
        <v>13.57</v>
      </c>
      <c r="H2" s="7">
        <v>1.6361111111109494</v>
      </c>
      <c r="I2">
        <v>8.8000000000000007</v>
      </c>
      <c r="J2" s="7">
        <v>2.6666666666642413</v>
      </c>
      <c r="K2">
        <v>7.91</v>
      </c>
      <c r="L2" s="7">
        <v>3.5555555555547471</v>
      </c>
      <c r="M2">
        <v>7.22</v>
      </c>
      <c r="N2" s="7">
        <v>3.90625</v>
      </c>
      <c r="O2">
        <v>6.78</v>
      </c>
      <c r="P2" s="7">
        <v>4.5611111111065838</v>
      </c>
      <c r="Q2">
        <v>5.47</v>
      </c>
      <c r="R2" s="7">
        <v>5.5493055555562023</v>
      </c>
      <c r="S2">
        <v>4.72</v>
      </c>
      <c r="T2" s="7">
        <v>6.5743055555503815</v>
      </c>
      <c r="U2">
        <v>3.83</v>
      </c>
      <c r="V2" s="7">
        <v>7.5944444444394321</v>
      </c>
      <c r="W2">
        <v>3.02</v>
      </c>
      <c r="X2" s="7">
        <v>8.6055555555503815</v>
      </c>
      <c r="Y2">
        <v>2.35</v>
      </c>
      <c r="Z2" s="7">
        <v>9.5729166666642413</v>
      </c>
      <c r="AA2">
        <v>1.52</v>
      </c>
      <c r="AB2" s="7">
        <v>10.600694444445253</v>
      </c>
      <c r="AC2">
        <v>1.1200000000000001</v>
      </c>
    </row>
    <row r="3" spans="1:29" x14ac:dyDescent="0.25">
      <c r="A3" t="s">
        <v>791</v>
      </c>
      <c r="B3" s="7">
        <v>0.17430555555620231</v>
      </c>
      <c r="C3">
        <v>1.08</v>
      </c>
      <c r="D3" s="7">
        <v>0.35902777777664596</v>
      </c>
      <c r="E3">
        <v>7.25</v>
      </c>
      <c r="F3" s="7">
        <v>0.70763888888905058</v>
      </c>
      <c r="G3">
        <v>11.13</v>
      </c>
      <c r="H3" s="7">
        <v>1.7284722222175333</v>
      </c>
      <c r="I3">
        <v>6.28</v>
      </c>
      <c r="J3" s="7">
        <v>2.726388888884685</v>
      </c>
      <c r="K3">
        <v>6.41</v>
      </c>
      <c r="L3" s="7">
        <v>3.726388888884685</v>
      </c>
      <c r="M3">
        <v>5.47</v>
      </c>
      <c r="N3" s="7">
        <v>4.71875</v>
      </c>
      <c r="O3">
        <v>4</v>
      </c>
      <c r="P3" s="7">
        <v>6.663888888884685</v>
      </c>
      <c r="Q3">
        <v>1.34</v>
      </c>
      <c r="R3" s="7">
        <v>7.7368055555562023</v>
      </c>
      <c r="S3">
        <v>0.82799999999999996</v>
      </c>
      <c r="T3" s="7">
        <v>8.8006944444423425</v>
      </c>
      <c r="U3">
        <v>0.47599999999999998</v>
      </c>
      <c r="V3" s="7"/>
      <c r="X3" s="7"/>
      <c r="Z3" s="7"/>
      <c r="AB3" s="7"/>
    </row>
    <row r="4" spans="1:29" x14ac:dyDescent="0.25">
      <c r="A4" t="s">
        <v>792</v>
      </c>
      <c r="B4" s="7">
        <v>0.24305555555474712</v>
      </c>
      <c r="C4">
        <v>5.8000000000000003E-2</v>
      </c>
      <c r="D4" s="7">
        <v>0.54930555555620231</v>
      </c>
      <c r="E4">
        <v>0.215</v>
      </c>
      <c r="F4" s="7">
        <v>0.85277777777810115</v>
      </c>
      <c r="G4">
        <v>0.33100000000000002</v>
      </c>
      <c r="H4" s="7">
        <v>1.5666666666656965</v>
      </c>
      <c r="I4">
        <v>0.29799999999999999</v>
      </c>
      <c r="J4" s="7">
        <v>2.5430555555576575</v>
      </c>
      <c r="K4">
        <v>0.33</v>
      </c>
      <c r="L4" s="7">
        <v>3.5250000000014552</v>
      </c>
      <c r="M4">
        <v>0.33300000000000002</v>
      </c>
      <c r="N4" s="7">
        <v>4.5041666666656965</v>
      </c>
      <c r="O4">
        <v>0.19600000000000001</v>
      </c>
      <c r="P4" s="7">
        <v>5.5118055555576575</v>
      </c>
      <c r="Q4">
        <v>7.8E-2</v>
      </c>
      <c r="R4" s="7">
        <v>6.554861111108039</v>
      </c>
      <c r="S4">
        <v>3.5000000000000003E-2</v>
      </c>
      <c r="T4" s="7"/>
      <c r="V4" s="7"/>
      <c r="X4" s="7"/>
      <c r="Z4" s="7"/>
      <c r="AB4" s="7"/>
    </row>
    <row r="5" spans="1:29" x14ac:dyDescent="0.25">
      <c r="A5" t="s">
        <v>793</v>
      </c>
      <c r="B5" s="7">
        <v>0.22638888889196096</v>
      </c>
      <c r="C5">
        <v>0.53</v>
      </c>
      <c r="D5" s="7">
        <v>0.38194444444525288</v>
      </c>
      <c r="E5">
        <v>0.749</v>
      </c>
      <c r="F5" s="7">
        <v>0.78194444444670808</v>
      </c>
      <c r="G5">
        <v>0.91100000000000003</v>
      </c>
      <c r="H5" s="7">
        <v>1.171527777776646</v>
      </c>
      <c r="I5">
        <v>0.67300000000000004</v>
      </c>
      <c r="J5" s="7">
        <v>1.7520833333328483</v>
      </c>
      <c r="K5">
        <v>0.47399999999999998</v>
      </c>
      <c r="L5" s="7">
        <v>2.7819444444467081</v>
      </c>
      <c r="M5">
        <v>0.438</v>
      </c>
      <c r="N5" s="7">
        <v>3.0999999999985448</v>
      </c>
      <c r="O5">
        <v>0.35399999999999998</v>
      </c>
      <c r="P5" s="7">
        <v>3.7534722222189885</v>
      </c>
      <c r="Q5">
        <v>0.371</v>
      </c>
      <c r="R5" s="7">
        <v>4.796527777776646</v>
      </c>
      <c r="S5">
        <v>0.28100000000000003</v>
      </c>
      <c r="T5" s="7"/>
      <c r="V5" s="7"/>
      <c r="X5" s="7"/>
      <c r="Z5" s="7"/>
      <c r="AB5" s="7"/>
    </row>
    <row r="6" spans="1:29" x14ac:dyDescent="0.25">
      <c r="A6" t="s">
        <v>794</v>
      </c>
      <c r="B6" s="7">
        <v>0.18472222222044365</v>
      </c>
      <c r="C6">
        <v>1.68</v>
      </c>
      <c r="D6" s="7">
        <v>0.42638888888905058</v>
      </c>
      <c r="E6">
        <v>3.74</v>
      </c>
      <c r="F6" s="7">
        <v>0.82152777777810115</v>
      </c>
      <c r="G6">
        <v>6.42</v>
      </c>
      <c r="H6" s="7">
        <v>1.0256944444408873</v>
      </c>
      <c r="I6">
        <v>3.69</v>
      </c>
      <c r="J6" s="7">
        <v>1.672222222223354</v>
      </c>
      <c r="K6">
        <v>3.05</v>
      </c>
      <c r="L6" s="7">
        <v>2.7618055555576575</v>
      </c>
      <c r="M6">
        <v>2.41</v>
      </c>
      <c r="N6" s="7">
        <v>3.1590277777795563</v>
      </c>
      <c r="O6">
        <v>2.14</v>
      </c>
      <c r="P6" s="7">
        <v>3.7874999999985448</v>
      </c>
      <c r="Q6">
        <v>2.39</v>
      </c>
      <c r="R6" s="7">
        <v>4.7305555555576575</v>
      </c>
      <c r="S6">
        <v>1.48</v>
      </c>
      <c r="T6" s="7">
        <v>5.7756944444408873</v>
      </c>
      <c r="U6">
        <v>0.62</v>
      </c>
      <c r="V6" s="7">
        <v>6.8173611111124046</v>
      </c>
      <c r="W6">
        <v>0.31900000000000001</v>
      </c>
      <c r="X6" s="7"/>
      <c r="Z6" s="7"/>
      <c r="AB6" s="7"/>
    </row>
    <row r="7" spans="1:29" x14ac:dyDescent="0.25">
      <c r="A7" t="s">
        <v>795</v>
      </c>
      <c r="B7" s="7">
        <v>0.24583333333430346</v>
      </c>
      <c r="C7">
        <v>1.71</v>
      </c>
      <c r="D7" s="7">
        <v>0.47152777777955635</v>
      </c>
      <c r="E7">
        <v>9.36</v>
      </c>
      <c r="F7" s="7">
        <v>0.90972222221898846</v>
      </c>
      <c r="G7">
        <v>8.43</v>
      </c>
      <c r="H7" s="7">
        <v>1.8736111111138598</v>
      </c>
      <c r="I7">
        <v>4.3</v>
      </c>
      <c r="J7" s="7">
        <v>2.890277777776646</v>
      </c>
      <c r="K7">
        <v>4.74</v>
      </c>
      <c r="L7" s="7">
        <v>3.9423611111124046</v>
      </c>
      <c r="M7">
        <v>3.85</v>
      </c>
      <c r="N7" s="7"/>
      <c r="P7" s="7"/>
      <c r="R7" s="7"/>
      <c r="T7" s="7"/>
      <c r="V7" s="7"/>
      <c r="X7" s="7"/>
      <c r="Z7" s="7"/>
      <c r="AB7" s="7"/>
    </row>
    <row r="8" spans="1:29" x14ac:dyDescent="0.25">
      <c r="A8" t="s">
        <v>796</v>
      </c>
      <c r="B8" s="7">
        <v>0.19722222222480923</v>
      </c>
      <c r="C8">
        <v>0.31</v>
      </c>
      <c r="D8" s="7">
        <v>0.5506944444423425</v>
      </c>
      <c r="E8">
        <v>3.72</v>
      </c>
      <c r="F8" s="7">
        <v>1.2506944444467081</v>
      </c>
      <c r="G8">
        <v>4.18</v>
      </c>
      <c r="H8" s="7">
        <v>2.2756944444408873</v>
      </c>
      <c r="I8">
        <v>2.13</v>
      </c>
      <c r="J8" s="7">
        <v>3.2631944444437977</v>
      </c>
      <c r="K8">
        <v>2.67</v>
      </c>
      <c r="L8" s="7">
        <v>4.2597222222248092</v>
      </c>
      <c r="M8">
        <v>3.99</v>
      </c>
      <c r="N8" s="7">
        <v>5.2486111111138598</v>
      </c>
      <c r="O8">
        <v>3.16</v>
      </c>
      <c r="P8" s="7">
        <v>6.2937499999970896</v>
      </c>
      <c r="Q8">
        <v>1.71</v>
      </c>
      <c r="R8" s="7">
        <v>7.3173611111124046</v>
      </c>
      <c r="S8">
        <v>0.76</v>
      </c>
      <c r="T8" s="7">
        <v>8.3111111111138598</v>
      </c>
      <c r="U8">
        <v>0.45500000000000002</v>
      </c>
      <c r="V8" s="7">
        <v>9.2590277777781012</v>
      </c>
      <c r="W8">
        <v>0.29299999999999998</v>
      </c>
      <c r="X8" s="7">
        <v>10.333333333335759</v>
      </c>
      <c r="Y8">
        <v>0.182</v>
      </c>
      <c r="Z8" s="7"/>
      <c r="AB8" s="7"/>
    </row>
    <row r="9" spans="1:29" x14ac:dyDescent="0.25">
      <c r="A9" t="s">
        <v>797</v>
      </c>
      <c r="B9" s="7">
        <v>0.19166666666569654</v>
      </c>
      <c r="C9">
        <v>1.57</v>
      </c>
      <c r="D9" s="7">
        <v>0.49861111111385981</v>
      </c>
      <c r="E9">
        <v>7.81</v>
      </c>
      <c r="F9" s="7">
        <v>0.94791666667151731</v>
      </c>
      <c r="G9">
        <v>7.46</v>
      </c>
      <c r="H9" s="7">
        <v>1.6027777777781012</v>
      </c>
      <c r="I9">
        <v>6.58</v>
      </c>
      <c r="J9" s="7">
        <v>2.5625</v>
      </c>
      <c r="K9">
        <v>5.93</v>
      </c>
      <c r="L9" s="7">
        <v>3.6381944444437977</v>
      </c>
      <c r="M9">
        <v>4.9800000000000004</v>
      </c>
      <c r="N9" s="7">
        <v>4.6472222222218988</v>
      </c>
      <c r="O9">
        <v>1.72</v>
      </c>
      <c r="P9" s="7">
        <v>5.6555555555605679</v>
      </c>
      <c r="Q9">
        <v>0.43</v>
      </c>
      <c r="R9" s="7">
        <v>6.5583333333343035</v>
      </c>
      <c r="S9">
        <v>0.14399999999999999</v>
      </c>
      <c r="T9" s="7">
        <v>6.9965277777810115</v>
      </c>
      <c r="U9">
        <v>2.1800000000000002</v>
      </c>
      <c r="V9" s="7">
        <v>7.202777777776646</v>
      </c>
      <c r="W9">
        <v>2.14</v>
      </c>
      <c r="X9" s="7">
        <v>7.6083333333372138</v>
      </c>
      <c r="Y9">
        <v>2.16</v>
      </c>
      <c r="Z9" s="7">
        <v>8.5958333333328483</v>
      </c>
      <c r="AA9">
        <v>0.89600000000000002</v>
      </c>
      <c r="AB9" s="7">
        <v>9.6138888888890506</v>
      </c>
      <c r="AC9">
        <v>0.97299999999999998</v>
      </c>
    </row>
    <row r="10" spans="1:29" x14ac:dyDescent="0.25">
      <c r="A10" t="s">
        <v>798</v>
      </c>
      <c r="B10" s="7">
        <v>0.30625000000145519</v>
      </c>
      <c r="C10">
        <v>5.15</v>
      </c>
      <c r="D10" s="7">
        <v>0.50624999999854481</v>
      </c>
      <c r="E10">
        <v>3.82</v>
      </c>
      <c r="F10" s="7">
        <v>0.78194444444670808</v>
      </c>
      <c r="G10">
        <v>3.03</v>
      </c>
      <c r="H10" s="7">
        <v>1.796527777776646</v>
      </c>
      <c r="I10">
        <v>2.81</v>
      </c>
      <c r="J10" s="7">
        <v>2.820138888891961</v>
      </c>
      <c r="K10">
        <v>2.69</v>
      </c>
      <c r="L10" s="7">
        <v>3.8000000000029104</v>
      </c>
      <c r="M10">
        <v>2.13</v>
      </c>
      <c r="N10" s="7">
        <v>4.8340277777751908</v>
      </c>
      <c r="O10">
        <v>0.88900000000000001</v>
      </c>
      <c r="P10" s="7">
        <v>5.7756944444408873</v>
      </c>
      <c r="Q10">
        <v>0.45800000000000002</v>
      </c>
      <c r="R10" s="7">
        <v>6.8458333333328483</v>
      </c>
      <c r="S10">
        <v>0.22800000000000001</v>
      </c>
      <c r="T10" s="7">
        <v>7.8027777777751908</v>
      </c>
      <c r="U10">
        <v>0.124</v>
      </c>
      <c r="V10" s="7"/>
      <c r="X10" s="7"/>
    </row>
    <row r="11" spans="1:29" x14ac:dyDescent="0.25">
      <c r="A11" t="s">
        <v>799</v>
      </c>
      <c r="B11" s="7">
        <v>0.16527777777810115</v>
      </c>
      <c r="C11">
        <v>5.65</v>
      </c>
      <c r="D11" s="7">
        <v>0.41111111110512866</v>
      </c>
      <c r="E11">
        <v>18.55</v>
      </c>
      <c r="F11" s="7">
        <v>1.0930555555532919</v>
      </c>
      <c r="G11">
        <v>9.43</v>
      </c>
      <c r="H11" s="7">
        <v>2.1034722222175333</v>
      </c>
      <c r="I11">
        <v>4.24</v>
      </c>
      <c r="J11" s="7">
        <v>3.0763888888832298</v>
      </c>
      <c r="K11">
        <v>3.51</v>
      </c>
      <c r="L11" s="7">
        <v>4.078472222223354</v>
      </c>
      <c r="M11">
        <v>3.17</v>
      </c>
      <c r="N11" s="7">
        <v>4.4145833333313931</v>
      </c>
      <c r="O11">
        <v>2.36</v>
      </c>
      <c r="P11" s="7">
        <v>5.0847222222218988</v>
      </c>
      <c r="Q11" s="31">
        <v>42553</v>
      </c>
      <c r="R11" s="7">
        <v>6.1333333333313931</v>
      </c>
      <c r="S11">
        <v>1.91</v>
      </c>
      <c r="T11" s="7">
        <v>7.09375</v>
      </c>
      <c r="U11">
        <v>1.56</v>
      </c>
      <c r="V11" s="7"/>
      <c r="X11" s="7"/>
    </row>
    <row r="12" spans="1:29" x14ac:dyDescent="0.25">
      <c r="A12" t="s">
        <v>800</v>
      </c>
      <c r="B12" s="7">
        <v>0.16597222222480923</v>
      </c>
      <c r="C12">
        <v>0.73299999999999998</v>
      </c>
      <c r="D12" s="7">
        <v>0.36250000000291038</v>
      </c>
      <c r="E12">
        <v>1.1100000000000001</v>
      </c>
      <c r="F12" s="7">
        <v>0.81180555555329192</v>
      </c>
      <c r="G12">
        <v>1.18</v>
      </c>
      <c r="H12" s="7">
        <v>1.2833333333328483</v>
      </c>
      <c r="I12">
        <v>0.96299999999999997</v>
      </c>
      <c r="J12" s="7">
        <v>1.2986111111094942</v>
      </c>
      <c r="K12">
        <v>0.96299999999999997</v>
      </c>
      <c r="L12" s="7">
        <v>1.7930555555576575</v>
      </c>
      <c r="M12">
        <v>1.0900000000000001</v>
      </c>
      <c r="N12" s="7">
        <v>2.8097222222204437</v>
      </c>
      <c r="O12">
        <v>1.87</v>
      </c>
      <c r="P12" s="7">
        <v>3.84375</v>
      </c>
      <c r="Q12">
        <v>2.16</v>
      </c>
      <c r="R12" s="7">
        <v>4.8340277777751908</v>
      </c>
      <c r="S12">
        <v>1.92</v>
      </c>
      <c r="T12" s="7">
        <v>5.7472222222204437</v>
      </c>
      <c r="U12">
        <v>1.46</v>
      </c>
      <c r="V12" s="7"/>
      <c r="X12" s="7"/>
    </row>
    <row r="13" spans="1:29" x14ac:dyDescent="0.25">
      <c r="A13" t="s">
        <v>801</v>
      </c>
      <c r="B13" s="7">
        <v>0.31527777777955635</v>
      </c>
      <c r="C13">
        <v>0.20599999999999999</v>
      </c>
      <c r="D13" s="7">
        <v>0.47083333333284827</v>
      </c>
      <c r="E13">
        <v>0.80300000000000005</v>
      </c>
      <c r="F13" s="7">
        <v>0.80833333333430346</v>
      </c>
      <c r="G13">
        <v>1.05</v>
      </c>
      <c r="H13" s="7">
        <v>2.8569444444437977</v>
      </c>
      <c r="I13">
        <v>0.504</v>
      </c>
      <c r="J13" s="7">
        <v>3.8166666666656965</v>
      </c>
      <c r="K13">
        <v>0.753</v>
      </c>
      <c r="L13" s="7">
        <v>4.8243055555576575</v>
      </c>
      <c r="M13">
        <v>0.62</v>
      </c>
      <c r="N13" s="7">
        <v>5.7756944444408873</v>
      </c>
      <c r="O13">
        <v>0.42799999999999999</v>
      </c>
      <c r="P13" s="7">
        <v>6.8027777777751908</v>
      </c>
      <c r="Q13">
        <v>0.247</v>
      </c>
      <c r="R13" s="7"/>
      <c r="T13" s="7"/>
      <c r="V13" s="7"/>
      <c r="X13" s="7"/>
    </row>
    <row r="14" spans="1:29" x14ac:dyDescent="0.25">
      <c r="A14" t="s">
        <v>802</v>
      </c>
      <c r="B14" s="7">
        <v>0.36180555555620231</v>
      </c>
      <c r="C14">
        <v>8.7999999999999995E-2</v>
      </c>
      <c r="D14" s="7">
        <v>0.55833333333430346</v>
      </c>
      <c r="E14">
        <v>6.9000000000000006E-2</v>
      </c>
      <c r="F14" s="7">
        <v>1.0381944444452529</v>
      </c>
      <c r="G14">
        <v>7.2999999999999995E-2</v>
      </c>
      <c r="H14" s="7">
        <v>2.0326388888934162</v>
      </c>
      <c r="I14">
        <v>6.9000000000000006E-2</v>
      </c>
      <c r="J14" s="7">
        <v>3.0048611111124046</v>
      </c>
      <c r="K14">
        <v>7.5999999999999998E-2</v>
      </c>
      <c r="L14" s="7">
        <v>3.9791666666715173</v>
      </c>
      <c r="M14">
        <v>6.6000000000000003E-2</v>
      </c>
      <c r="N14" s="7">
        <v>5.0215277777824667</v>
      </c>
      <c r="O14">
        <v>4.1000000000000002E-2</v>
      </c>
      <c r="P14" s="7"/>
      <c r="R14" s="7"/>
      <c r="T14" s="7"/>
      <c r="V14" s="7"/>
      <c r="X14" s="7"/>
    </row>
    <row r="15" spans="1:29" x14ac:dyDescent="0.25">
      <c r="A15" t="s">
        <v>803</v>
      </c>
      <c r="B15" s="7">
        <v>0.31944444444525288</v>
      </c>
      <c r="C15">
        <v>15.13</v>
      </c>
      <c r="D15" s="7">
        <v>0.52569444444088731</v>
      </c>
      <c r="E15">
        <v>24.39</v>
      </c>
      <c r="F15" s="7">
        <v>0.99652777777373558</v>
      </c>
      <c r="G15">
        <v>21.44</v>
      </c>
      <c r="H15" s="7">
        <v>1.9909722222218988</v>
      </c>
      <c r="I15">
        <v>10.59</v>
      </c>
      <c r="J15" s="7">
        <v>2.9631944444408873</v>
      </c>
      <c r="K15">
        <v>8.73</v>
      </c>
      <c r="L15" s="7">
        <v>3.9805555555503815</v>
      </c>
      <c r="M15">
        <v>7.28</v>
      </c>
      <c r="N15" s="7">
        <v>4.2784722222204437</v>
      </c>
      <c r="O15">
        <v>6.22</v>
      </c>
      <c r="P15" s="7">
        <v>4.96875</v>
      </c>
      <c r="Q15">
        <v>5.88</v>
      </c>
      <c r="R15" s="7"/>
      <c r="T15" s="7"/>
      <c r="V15" s="7"/>
      <c r="X15" s="7"/>
    </row>
    <row r="16" spans="1:29" x14ac:dyDescent="0.25">
      <c r="A16" t="s">
        <v>804</v>
      </c>
      <c r="B16" s="7">
        <v>0.24375000000145519</v>
      </c>
      <c r="C16">
        <v>1.54</v>
      </c>
      <c r="D16" s="7">
        <v>0.32500000000436557</v>
      </c>
      <c r="E16">
        <v>2.4700000000000002</v>
      </c>
      <c r="F16" s="7">
        <v>0.78819444444525288</v>
      </c>
      <c r="G16">
        <v>2.5099999999999998</v>
      </c>
      <c r="H16" s="7">
        <v>1.7826388888934162</v>
      </c>
      <c r="I16">
        <v>1.37</v>
      </c>
      <c r="J16" s="7">
        <v>2.7548611111124046</v>
      </c>
      <c r="K16">
        <v>1.07</v>
      </c>
      <c r="L16" s="7">
        <v>3.1138888888890506</v>
      </c>
      <c r="M16">
        <v>1.08</v>
      </c>
      <c r="N16" s="7">
        <v>3.7291666666715173</v>
      </c>
      <c r="O16">
        <v>1.21</v>
      </c>
      <c r="P16" s="7">
        <v>4.3555555555576575</v>
      </c>
      <c r="Q16">
        <v>1.02</v>
      </c>
      <c r="R16" s="7"/>
      <c r="T16" s="7"/>
      <c r="V16" s="7"/>
      <c r="X16" s="7"/>
    </row>
    <row r="17" spans="1:25" x14ac:dyDescent="0.25">
      <c r="A17" t="s">
        <v>805</v>
      </c>
      <c r="B17" s="7">
        <v>1.3180555555518367</v>
      </c>
      <c r="C17">
        <v>2.56</v>
      </c>
      <c r="D17" s="7">
        <v>1.5180555555562023</v>
      </c>
      <c r="E17">
        <v>2.5499999999999998</v>
      </c>
      <c r="F17" s="7">
        <v>2.0715277777781012</v>
      </c>
      <c r="G17">
        <v>2.2000000000000002</v>
      </c>
      <c r="H17" s="7">
        <v>3.0208333333284827</v>
      </c>
      <c r="I17">
        <v>1.74</v>
      </c>
      <c r="J17" s="7">
        <v>5.0451388888832298</v>
      </c>
      <c r="K17">
        <v>0.81200000000000006</v>
      </c>
      <c r="L17" s="7"/>
      <c r="N17" s="7"/>
      <c r="P17" s="7"/>
      <c r="R17" s="7"/>
      <c r="T17" s="7"/>
      <c r="V17" s="7"/>
      <c r="X17" s="7"/>
    </row>
    <row r="18" spans="1:25" x14ac:dyDescent="0.25">
      <c r="A18" t="s">
        <v>806</v>
      </c>
      <c r="B18" s="7">
        <v>0.89444444444961846</v>
      </c>
      <c r="C18">
        <v>2.42</v>
      </c>
      <c r="D18" s="7">
        <v>1.3847222222248092</v>
      </c>
      <c r="E18">
        <v>13</v>
      </c>
      <c r="F18" s="7">
        <v>1.75</v>
      </c>
      <c r="G18">
        <v>12.67</v>
      </c>
      <c r="H18" s="7">
        <v>2.8729166666671517</v>
      </c>
      <c r="I18">
        <v>8.94</v>
      </c>
      <c r="J18" s="7">
        <v>4.7486111111138598</v>
      </c>
      <c r="K18">
        <v>8.2200000000000006</v>
      </c>
      <c r="L18" s="7">
        <v>5.1756944444496185</v>
      </c>
      <c r="M18">
        <v>6.66</v>
      </c>
      <c r="N18" s="7">
        <v>5.7861111111124046</v>
      </c>
      <c r="O18">
        <v>5.1100000000000003</v>
      </c>
      <c r="P18" s="7">
        <v>6.7666666666700621</v>
      </c>
      <c r="Q18" s="31">
        <v>42645</v>
      </c>
      <c r="R18" s="7">
        <v>7.898611111115315</v>
      </c>
      <c r="S18">
        <v>0.75800000000000001</v>
      </c>
      <c r="T18" s="7"/>
      <c r="V18" s="7"/>
      <c r="X18" s="7"/>
    </row>
    <row r="19" spans="1:25" x14ac:dyDescent="0.25">
      <c r="A19" t="s">
        <v>807</v>
      </c>
      <c r="B19" s="7">
        <v>0.70763888888905058</v>
      </c>
      <c r="C19">
        <v>1.34</v>
      </c>
      <c r="D19" s="7">
        <v>1.0020833333328483</v>
      </c>
      <c r="E19">
        <v>3.11</v>
      </c>
      <c r="F19" s="7">
        <v>1.6645833333313931</v>
      </c>
      <c r="G19">
        <v>2.67</v>
      </c>
      <c r="H19" s="7">
        <v>2.7090277777751908</v>
      </c>
      <c r="I19">
        <v>2.78</v>
      </c>
      <c r="J19" s="7">
        <v>3.7145833333343035</v>
      </c>
      <c r="K19">
        <v>2.9</v>
      </c>
      <c r="L19" s="7">
        <v>4.7402777777751908</v>
      </c>
      <c r="M19">
        <v>2.13</v>
      </c>
      <c r="N19" s="7">
        <v>5.7208333333328483</v>
      </c>
      <c r="O19">
        <v>0.96899999999999997</v>
      </c>
      <c r="P19" s="7">
        <v>6.0041666666656965</v>
      </c>
      <c r="Q19">
        <v>0.65800000000000003</v>
      </c>
      <c r="R19" s="7">
        <v>6.6881944444394321</v>
      </c>
      <c r="S19">
        <v>0.48299999999999998</v>
      </c>
      <c r="T19" s="7">
        <v>7.7361111111094942</v>
      </c>
      <c r="U19">
        <v>0.26800000000000002</v>
      </c>
      <c r="V19" s="7">
        <v>8.7229166666656965</v>
      </c>
      <c r="W19">
        <v>0.189</v>
      </c>
      <c r="X19" s="7">
        <v>9.7451388888875954</v>
      </c>
      <c r="Y19">
        <v>0.11799999999999999</v>
      </c>
    </row>
    <row r="20" spans="1:25" x14ac:dyDescent="0.25">
      <c r="A20" t="s">
        <v>808</v>
      </c>
      <c r="B20" s="7">
        <v>0.3243055555576575</v>
      </c>
      <c r="C20">
        <v>5.27</v>
      </c>
      <c r="D20" s="7">
        <v>1.1583333333328483</v>
      </c>
      <c r="E20">
        <v>4.4000000000000004</v>
      </c>
      <c r="F20" s="7">
        <v>1.2881944444452529</v>
      </c>
      <c r="G20">
        <v>2.42</v>
      </c>
      <c r="H20" s="7">
        <v>2.28125</v>
      </c>
      <c r="I20">
        <v>1.08</v>
      </c>
      <c r="J20" s="7">
        <v>3.2402777777824667</v>
      </c>
      <c r="K20">
        <v>0.752</v>
      </c>
      <c r="L20" s="7">
        <v>4.3013888888890506</v>
      </c>
      <c r="M20">
        <v>0.66800000000000004</v>
      </c>
      <c r="N20" s="7"/>
      <c r="P20" s="7"/>
      <c r="R20" s="7"/>
      <c r="T20" s="7"/>
    </row>
    <row r="21" spans="1:25" x14ac:dyDescent="0.25">
      <c r="A21" t="s">
        <v>809</v>
      </c>
      <c r="B21" s="7">
        <v>0.17500000000291038</v>
      </c>
      <c r="C21">
        <v>20.85</v>
      </c>
      <c r="D21" s="7">
        <v>0.45625000000291038</v>
      </c>
      <c r="E21">
        <v>17.72</v>
      </c>
      <c r="F21" s="7">
        <v>0.83541666666860692</v>
      </c>
      <c r="G21">
        <v>9.85</v>
      </c>
      <c r="H21" s="7">
        <v>1.140277777776646</v>
      </c>
      <c r="I21">
        <v>7.47</v>
      </c>
      <c r="J21" s="7">
        <v>1.8138888888861402</v>
      </c>
      <c r="K21">
        <v>6.16</v>
      </c>
      <c r="L21" s="7">
        <v>2.8305555555562023</v>
      </c>
      <c r="M21">
        <v>5.75</v>
      </c>
      <c r="N21" s="7">
        <v>3.8305555555562023</v>
      </c>
      <c r="O21">
        <v>4.5199999999999996</v>
      </c>
      <c r="P21" s="7">
        <v>4.8020833333357587</v>
      </c>
      <c r="Q21">
        <v>2.95</v>
      </c>
      <c r="R21" s="7">
        <v>5.8319444444423425</v>
      </c>
      <c r="S21">
        <v>1.33</v>
      </c>
      <c r="T21" s="7"/>
    </row>
    <row r="22" spans="1:25" x14ac:dyDescent="0.25">
      <c r="A22" t="s">
        <v>810</v>
      </c>
      <c r="B22" s="7">
        <v>0.1993055555576575</v>
      </c>
      <c r="C22">
        <v>2.82</v>
      </c>
      <c r="D22" s="7">
        <v>0.32777777777664596</v>
      </c>
      <c r="E22">
        <v>12.21</v>
      </c>
      <c r="F22" s="7">
        <v>0.68888888888614019</v>
      </c>
      <c r="G22">
        <v>7.8</v>
      </c>
      <c r="H22" s="7">
        <v>1.742361111108039</v>
      </c>
      <c r="I22">
        <v>3.48</v>
      </c>
      <c r="J22" s="7">
        <v>2.7236111111124046</v>
      </c>
      <c r="K22">
        <v>3.66</v>
      </c>
      <c r="L22" s="7">
        <v>3.7458333333343035</v>
      </c>
      <c r="M22">
        <v>3.66</v>
      </c>
      <c r="N22" s="7">
        <v>4.7715277777751908</v>
      </c>
      <c r="O22">
        <v>2.2200000000000002</v>
      </c>
      <c r="P22" s="7"/>
      <c r="R22" s="7"/>
      <c r="T22" s="7"/>
    </row>
    <row r="23" spans="1:25" x14ac:dyDescent="0.25">
      <c r="A23" t="s">
        <v>811</v>
      </c>
      <c r="B23" s="7">
        <v>0.45347222222335404</v>
      </c>
      <c r="C23">
        <v>4</v>
      </c>
      <c r="D23" s="7">
        <v>0.66250000000582077</v>
      </c>
      <c r="E23">
        <v>13.96</v>
      </c>
      <c r="F23" s="7">
        <v>1.1291666666656965</v>
      </c>
      <c r="G23">
        <v>12.05</v>
      </c>
      <c r="H23" s="7">
        <v>2.1534722222277196</v>
      </c>
      <c r="I23">
        <v>12.33</v>
      </c>
      <c r="J23" s="7">
        <v>3.1972222222248092</v>
      </c>
      <c r="K23">
        <v>11.89</v>
      </c>
      <c r="L23" s="7">
        <v>4.1243055555605679</v>
      </c>
      <c r="M23">
        <v>9.59</v>
      </c>
      <c r="N23" s="7">
        <v>5.1201388888948713</v>
      </c>
      <c r="O23">
        <v>8.9</v>
      </c>
      <c r="P23" s="7">
        <v>6.1430555555562023</v>
      </c>
      <c r="Q23">
        <v>7.06</v>
      </c>
      <c r="R23" s="7"/>
      <c r="T23" s="7"/>
    </row>
    <row r="24" spans="1:25" x14ac:dyDescent="0.25">
      <c r="A24" t="s">
        <v>812</v>
      </c>
      <c r="B24" s="7">
        <v>0.39236111110949423</v>
      </c>
      <c r="C24">
        <v>1.02</v>
      </c>
      <c r="D24" s="7">
        <v>0.73750000000291038</v>
      </c>
      <c r="E24">
        <v>9.64</v>
      </c>
      <c r="F24" s="7">
        <v>0.96319444444088731</v>
      </c>
      <c r="G24">
        <v>5.76</v>
      </c>
      <c r="H24" s="7">
        <v>1.6923611111124046</v>
      </c>
      <c r="I24">
        <v>3.16</v>
      </c>
      <c r="J24" s="7">
        <v>2.7062500000029104</v>
      </c>
      <c r="K24">
        <v>2.68</v>
      </c>
      <c r="L24" s="7">
        <v>3.7249999999985448</v>
      </c>
      <c r="M24">
        <v>2.93</v>
      </c>
      <c r="N24" s="7">
        <v>4.6680555555576575</v>
      </c>
      <c r="O24">
        <v>2.9</v>
      </c>
      <c r="P24" s="7">
        <v>5.7472222222204437</v>
      </c>
      <c r="Q24">
        <v>2.11</v>
      </c>
      <c r="R24" s="7">
        <v>6.7013888888905058</v>
      </c>
      <c r="S24">
        <v>1.34</v>
      </c>
      <c r="T24" s="7">
        <v>7.7437500000014552</v>
      </c>
      <c r="U24">
        <v>0.74399999999999999</v>
      </c>
    </row>
    <row r="25" spans="1:25" x14ac:dyDescent="0.25">
      <c r="A25" t="s">
        <v>813</v>
      </c>
      <c r="B25" s="7">
        <v>0.17847222222189885</v>
      </c>
      <c r="C25">
        <v>0.89900000000000002</v>
      </c>
      <c r="D25" s="7">
        <v>0.40069444444088731</v>
      </c>
      <c r="E25">
        <v>2.83</v>
      </c>
      <c r="F25" s="7">
        <v>0.85972222222335404</v>
      </c>
      <c r="G25">
        <v>3.11</v>
      </c>
      <c r="H25" s="7">
        <v>1.8680555555547471</v>
      </c>
      <c r="I25">
        <v>1.83</v>
      </c>
      <c r="J25" s="7">
        <v>2.8847222222175333</v>
      </c>
      <c r="K25">
        <v>1.91</v>
      </c>
      <c r="L25" s="7">
        <v>3.8576388888832298</v>
      </c>
      <c r="M25">
        <v>1.64</v>
      </c>
      <c r="N25" s="7">
        <v>4.859722222223354</v>
      </c>
      <c r="O25">
        <v>1.44</v>
      </c>
      <c r="P25" s="7">
        <v>5.882638888884685</v>
      </c>
      <c r="Q25">
        <v>1.1399999999999999</v>
      </c>
      <c r="R25" s="7">
        <v>6.9090277777722804</v>
      </c>
      <c r="S25">
        <v>0.78200000000000003</v>
      </c>
    </row>
    <row r="26" spans="1:25" x14ac:dyDescent="0.25">
      <c r="A26" t="s">
        <v>814</v>
      </c>
    </row>
    <row r="27" spans="1:25" x14ac:dyDescent="0.25">
      <c r="A27" t="s">
        <v>789</v>
      </c>
      <c r="B27" s="1">
        <f>B1*24</f>
        <v>4.0999999999185093</v>
      </c>
      <c r="C27" s="1">
        <f>D1*24</f>
        <v>10.300000000046566</v>
      </c>
      <c r="D27" s="1">
        <f>F1*24</f>
        <v>24.650000000023283</v>
      </c>
      <c r="E27" s="1">
        <f t="shared" ref="E27:E51" si="0">H1*24</f>
        <v>48.46666666661622</v>
      </c>
      <c r="F27" s="1">
        <f>J1*24</f>
        <v>71.966666666732635</v>
      </c>
      <c r="G27" s="1">
        <f>L1*24</f>
        <v>96.883333333418705</v>
      </c>
      <c r="H27" s="1">
        <f>N1*24</f>
        <v>105.60000000003492</v>
      </c>
      <c r="I27" s="1">
        <f>P1*24</f>
        <v>121.08333333337214</v>
      </c>
      <c r="J27" s="1">
        <f>R1*24</f>
        <v>168.58333333331393</v>
      </c>
      <c r="K27" s="1">
        <f>T1*24</f>
        <v>193.48333333327901</v>
      </c>
      <c r="L27" s="1">
        <f>V1*24</f>
        <v>217.43333333329065</v>
      </c>
      <c r="M27" s="1">
        <f>X1*24</f>
        <v>242.06666666659294</v>
      </c>
      <c r="N27" s="1"/>
      <c r="O27" s="1"/>
    </row>
    <row r="28" spans="1:25" x14ac:dyDescent="0.25">
      <c r="A28" t="s">
        <v>790</v>
      </c>
      <c r="B28" s="1">
        <f t="shared" ref="B28:B51" si="1">B2*24</f>
        <v>8.5166666666627862</v>
      </c>
      <c r="C28" s="1">
        <f t="shared" ref="C28:C51" si="2">D2*24</f>
        <v>15.366666666639503</v>
      </c>
      <c r="D28" s="1">
        <f t="shared" ref="D28:D51" si="3">F2*24</f>
        <v>21.883333333244082</v>
      </c>
      <c r="E28" s="1">
        <f t="shared" si="0"/>
        <v>39.266666666662786</v>
      </c>
      <c r="F28" s="1">
        <f t="shared" ref="F28:F51" si="4">J2*24</f>
        <v>63.999999999941792</v>
      </c>
      <c r="G28" s="1">
        <f t="shared" ref="G28:G51" si="5">L2*24</f>
        <v>85.333333333313931</v>
      </c>
      <c r="H28" s="1">
        <f t="shared" ref="H28:H51" si="6">N2*24</f>
        <v>93.75</v>
      </c>
      <c r="I28" s="1">
        <f t="shared" ref="I28:I51" si="7">P2*24</f>
        <v>109.46666666655801</v>
      </c>
      <c r="J28" s="1">
        <f t="shared" ref="J28:J51" si="8">R2*24</f>
        <v>133.18333333334886</v>
      </c>
      <c r="K28" s="1">
        <f t="shared" ref="K28:K50" si="9">T2*24</f>
        <v>157.78333333320916</v>
      </c>
      <c r="L28" s="1">
        <f t="shared" ref="L28:L45" si="10">V2*24</f>
        <v>182.26666666654637</v>
      </c>
      <c r="M28" s="1">
        <f t="shared" ref="M28:M45" si="11">X2*24</f>
        <v>206.53333333320916</v>
      </c>
      <c r="N28" s="1">
        <f t="shared" ref="N28:N35" si="12">Z2*24</f>
        <v>229.74999999994179</v>
      </c>
      <c r="O28" s="1">
        <f t="shared" ref="O28:O35" si="13">AB2*24</f>
        <v>254.41666666668607</v>
      </c>
    </row>
    <row r="29" spans="1:25" x14ac:dyDescent="0.25">
      <c r="A29" t="s">
        <v>791</v>
      </c>
      <c r="B29" s="1">
        <f t="shared" si="1"/>
        <v>4.1833333333488554</v>
      </c>
      <c r="C29" s="1">
        <f t="shared" si="2"/>
        <v>8.6166666666395031</v>
      </c>
      <c r="D29" s="1">
        <f t="shared" si="3"/>
        <v>16.983333333337214</v>
      </c>
      <c r="E29" s="1">
        <f t="shared" si="0"/>
        <v>41.483333333220799</v>
      </c>
      <c r="F29" s="1">
        <f t="shared" si="4"/>
        <v>65.43333333323244</v>
      </c>
      <c r="G29" s="1">
        <f t="shared" si="5"/>
        <v>89.43333333323244</v>
      </c>
      <c r="H29" s="1">
        <f t="shared" si="6"/>
        <v>113.25</v>
      </c>
      <c r="I29" s="1">
        <f t="shared" si="7"/>
        <v>159.93333333323244</v>
      </c>
      <c r="J29" s="1">
        <f t="shared" si="8"/>
        <v>185.68333333334886</v>
      </c>
      <c r="K29" s="1">
        <f t="shared" si="9"/>
        <v>211.21666666661622</v>
      </c>
      <c r="L29" s="1"/>
      <c r="M29" s="1"/>
      <c r="N29" s="1"/>
      <c r="O29" s="1"/>
    </row>
    <row r="30" spans="1:25" x14ac:dyDescent="0.25">
      <c r="A30" t="s">
        <v>792</v>
      </c>
      <c r="B30" s="1">
        <f t="shared" si="1"/>
        <v>5.8333333333139308</v>
      </c>
      <c r="C30" s="1">
        <f t="shared" si="2"/>
        <v>13.183333333348855</v>
      </c>
      <c r="D30" s="1">
        <f t="shared" si="3"/>
        <v>20.466666666674428</v>
      </c>
      <c r="E30" s="1">
        <f t="shared" si="0"/>
        <v>37.599999999976717</v>
      </c>
      <c r="F30" s="1">
        <f t="shared" si="4"/>
        <v>61.03333333338378</v>
      </c>
      <c r="G30" s="1">
        <f t="shared" si="5"/>
        <v>84.600000000034925</v>
      </c>
      <c r="H30" s="1">
        <f t="shared" si="6"/>
        <v>108.09999999997672</v>
      </c>
      <c r="I30" s="1">
        <f t="shared" si="7"/>
        <v>132.28333333338378</v>
      </c>
      <c r="J30" s="1">
        <f t="shared" si="8"/>
        <v>157.31666666659294</v>
      </c>
      <c r="K30" s="1"/>
      <c r="L30" s="1"/>
      <c r="M30" s="1"/>
      <c r="N30" s="1"/>
      <c r="O30" s="1"/>
    </row>
    <row r="31" spans="1:25" x14ac:dyDescent="0.25">
      <c r="A31" t="s">
        <v>793</v>
      </c>
      <c r="B31" s="1">
        <f t="shared" si="1"/>
        <v>5.433333333407063</v>
      </c>
      <c r="C31" s="1">
        <f t="shared" si="2"/>
        <v>9.1666666666860692</v>
      </c>
      <c r="D31" s="1">
        <f t="shared" si="3"/>
        <v>18.766666666720994</v>
      </c>
      <c r="E31" s="1">
        <f t="shared" si="0"/>
        <v>28.116666666639503</v>
      </c>
      <c r="F31" s="1">
        <f t="shared" si="4"/>
        <v>42.049999999988358</v>
      </c>
      <c r="G31" s="1">
        <f t="shared" si="5"/>
        <v>66.766666666720994</v>
      </c>
      <c r="H31" s="1">
        <f t="shared" si="6"/>
        <v>74.399999999965075</v>
      </c>
      <c r="I31" s="1">
        <f t="shared" si="7"/>
        <v>90.083333333255723</v>
      </c>
      <c r="J31" s="1">
        <f t="shared" si="8"/>
        <v>115.1166666666395</v>
      </c>
      <c r="K31" s="1"/>
      <c r="L31" s="1"/>
      <c r="M31" s="1"/>
      <c r="N31" s="1"/>
      <c r="O31" s="1"/>
    </row>
    <row r="32" spans="1:25" x14ac:dyDescent="0.25">
      <c r="A32" t="s">
        <v>794</v>
      </c>
      <c r="B32" s="1">
        <f t="shared" si="1"/>
        <v>4.4333333332906477</v>
      </c>
      <c r="C32" s="1">
        <f t="shared" si="2"/>
        <v>10.233333333337214</v>
      </c>
      <c r="D32" s="1">
        <f t="shared" si="3"/>
        <v>19.716666666674428</v>
      </c>
      <c r="E32" s="1">
        <f t="shared" si="0"/>
        <v>24.616666666581295</v>
      </c>
      <c r="F32" s="1">
        <f t="shared" si="4"/>
        <v>40.133333333360497</v>
      </c>
      <c r="G32" s="1">
        <f t="shared" si="5"/>
        <v>66.28333333338378</v>
      </c>
      <c r="H32" s="1">
        <f t="shared" si="6"/>
        <v>75.816666666709352</v>
      </c>
      <c r="I32" s="1">
        <f t="shared" si="7"/>
        <v>90.899999999965075</v>
      </c>
      <c r="J32" s="1">
        <f t="shared" si="8"/>
        <v>113.53333333338378</v>
      </c>
      <c r="K32" s="1">
        <f t="shared" si="9"/>
        <v>138.6166666665813</v>
      </c>
      <c r="L32" s="1">
        <f t="shared" si="10"/>
        <v>163.61666666669771</v>
      </c>
      <c r="M32" s="1"/>
      <c r="N32" s="1"/>
      <c r="O32" s="1"/>
    </row>
    <row r="33" spans="1:15" x14ac:dyDescent="0.25">
      <c r="A33" t="s">
        <v>795</v>
      </c>
      <c r="B33" s="1">
        <f t="shared" si="1"/>
        <v>5.9000000000232831</v>
      </c>
      <c r="C33" s="1">
        <f t="shared" si="2"/>
        <v>11.316666666709352</v>
      </c>
      <c r="D33" s="1">
        <f t="shared" si="3"/>
        <v>21.833333333255723</v>
      </c>
      <c r="E33" s="1">
        <f t="shared" si="0"/>
        <v>44.966666666732635</v>
      </c>
      <c r="F33" s="1">
        <f t="shared" si="4"/>
        <v>69.366666666639503</v>
      </c>
      <c r="G33" s="1">
        <f t="shared" si="5"/>
        <v>94.616666666697711</v>
      </c>
      <c r="H33" s="1"/>
      <c r="I33" s="1"/>
      <c r="J33" s="1"/>
      <c r="K33" s="1"/>
      <c r="L33" s="1"/>
      <c r="M33" s="1"/>
      <c r="N33" s="1"/>
      <c r="O33" s="1"/>
    </row>
    <row r="34" spans="1:15" x14ac:dyDescent="0.25">
      <c r="A34" t="s">
        <v>796</v>
      </c>
      <c r="B34" s="1">
        <f t="shared" si="1"/>
        <v>4.7333333333954215</v>
      </c>
      <c r="C34" s="1">
        <f t="shared" si="2"/>
        <v>13.21666666661622</v>
      </c>
      <c r="D34" s="1">
        <f t="shared" si="3"/>
        <v>30.016666666720994</v>
      </c>
      <c r="E34" s="1">
        <f t="shared" si="0"/>
        <v>54.616666666581295</v>
      </c>
      <c r="F34" s="1">
        <f t="shared" si="4"/>
        <v>78.316666666651145</v>
      </c>
      <c r="G34" s="1">
        <f t="shared" si="5"/>
        <v>102.23333333339542</v>
      </c>
      <c r="H34" s="1">
        <f t="shared" si="6"/>
        <v>125.96666666673264</v>
      </c>
      <c r="I34" s="1">
        <f t="shared" si="7"/>
        <v>151.04999999993015</v>
      </c>
      <c r="J34" s="1">
        <f t="shared" si="8"/>
        <v>175.61666666669771</v>
      </c>
      <c r="K34" s="1">
        <f t="shared" si="9"/>
        <v>199.46666666673264</v>
      </c>
      <c r="L34" s="1">
        <f t="shared" si="10"/>
        <v>222.21666666667443</v>
      </c>
      <c r="M34" s="1">
        <f t="shared" si="11"/>
        <v>248.00000000005821</v>
      </c>
      <c r="N34" s="1"/>
      <c r="O34" s="1"/>
    </row>
    <row r="35" spans="1:15" x14ac:dyDescent="0.25">
      <c r="A35" t="s">
        <v>797</v>
      </c>
      <c r="B35" s="1">
        <f t="shared" si="1"/>
        <v>4.5999999999767169</v>
      </c>
      <c r="C35" s="1">
        <f t="shared" si="2"/>
        <v>11.966666666732635</v>
      </c>
      <c r="D35" s="1">
        <f t="shared" si="3"/>
        <v>22.750000000116415</v>
      </c>
      <c r="E35" s="1">
        <f t="shared" si="0"/>
        <v>38.466666666674428</v>
      </c>
      <c r="F35" s="1">
        <f t="shared" si="4"/>
        <v>61.5</v>
      </c>
      <c r="G35" s="1">
        <f t="shared" si="5"/>
        <v>87.316666666651145</v>
      </c>
      <c r="H35" s="1">
        <f t="shared" si="6"/>
        <v>111.53333333332557</v>
      </c>
      <c r="I35" s="1">
        <f t="shared" si="7"/>
        <v>135.73333333345363</v>
      </c>
      <c r="J35" s="1">
        <f t="shared" si="8"/>
        <v>157.40000000002328</v>
      </c>
      <c r="K35" s="1">
        <f t="shared" si="9"/>
        <v>167.91666666674428</v>
      </c>
      <c r="L35" s="1">
        <f t="shared" si="10"/>
        <v>172.8666666666395</v>
      </c>
      <c r="M35" s="1">
        <f t="shared" si="11"/>
        <v>182.60000000009313</v>
      </c>
      <c r="N35" s="1">
        <f t="shared" si="12"/>
        <v>206.29999999998836</v>
      </c>
      <c r="O35" s="1">
        <f t="shared" si="13"/>
        <v>230.73333333333721</v>
      </c>
    </row>
    <row r="36" spans="1:15" x14ac:dyDescent="0.25">
      <c r="A36" t="s">
        <v>798</v>
      </c>
      <c r="B36" s="1">
        <f t="shared" si="1"/>
        <v>7.3500000000349246</v>
      </c>
      <c r="C36" s="1">
        <f t="shared" si="2"/>
        <v>12.149999999965075</v>
      </c>
      <c r="D36" s="1">
        <f t="shared" si="3"/>
        <v>18.766666666720994</v>
      </c>
      <c r="E36" s="1">
        <f t="shared" si="0"/>
        <v>43.116666666639503</v>
      </c>
      <c r="F36" s="1">
        <f t="shared" si="4"/>
        <v>67.683333333407063</v>
      </c>
      <c r="G36" s="1">
        <f t="shared" si="5"/>
        <v>91.200000000069849</v>
      </c>
      <c r="H36" s="1">
        <f t="shared" si="6"/>
        <v>116.01666666660458</v>
      </c>
      <c r="I36" s="1">
        <f t="shared" si="7"/>
        <v>138.6166666665813</v>
      </c>
      <c r="J36" s="1">
        <f t="shared" si="8"/>
        <v>164.29999999998836</v>
      </c>
      <c r="K36" s="1">
        <f t="shared" si="9"/>
        <v>187.26666666660458</v>
      </c>
      <c r="L36" s="1"/>
      <c r="M36" s="1"/>
      <c r="N36" s="1"/>
      <c r="O36" s="1"/>
    </row>
    <row r="37" spans="1:15" x14ac:dyDescent="0.25">
      <c r="A37" t="s">
        <v>799</v>
      </c>
      <c r="B37" s="1">
        <f t="shared" si="1"/>
        <v>3.9666666666744277</v>
      </c>
      <c r="C37" s="1">
        <f t="shared" si="2"/>
        <v>9.8666666665230878</v>
      </c>
      <c r="D37" s="1">
        <f t="shared" si="3"/>
        <v>26.233333333279006</v>
      </c>
      <c r="E37" s="1">
        <f t="shared" si="0"/>
        <v>50.483333333220799</v>
      </c>
      <c r="F37" s="1">
        <f t="shared" si="4"/>
        <v>73.833333333197515</v>
      </c>
      <c r="G37" s="1">
        <f t="shared" si="5"/>
        <v>97.883333333360497</v>
      </c>
      <c r="H37" s="1">
        <f t="shared" si="6"/>
        <v>105.94999999995343</v>
      </c>
      <c r="I37" s="1">
        <f t="shared" si="7"/>
        <v>122.03333333332557</v>
      </c>
      <c r="J37" s="1">
        <f t="shared" si="8"/>
        <v>147.19999999995343</v>
      </c>
      <c r="K37" s="1">
        <f t="shared" si="9"/>
        <v>170.25</v>
      </c>
      <c r="L37" s="1"/>
      <c r="M37" s="1"/>
      <c r="N37" s="1"/>
      <c r="O37" s="1"/>
    </row>
    <row r="38" spans="1:15" x14ac:dyDescent="0.25">
      <c r="A38" t="s">
        <v>800</v>
      </c>
      <c r="B38" s="1">
        <f t="shared" si="1"/>
        <v>3.9833333333954215</v>
      </c>
      <c r="C38" s="1">
        <f t="shared" si="2"/>
        <v>8.7000000000698492</v>
      </c>
      <c r="D38" s="1">
        <f t="shared" si="3"/>
        <v>19.483333333279006</v>
      </c>
      <c r="E38" s="1">
        <f t="shared" si="0"/>
        <v>30.799999999988358</v>
      </c>
      <c r="F38" s="1">
        <f t="shared" si="4"/>
        <v>31.166666666627862</v>
      </c>
      <c r="G38" s="1">
        <f t="shared" si="5"/>
        <v>43.03333333338378</v>
      </c>
      <c r="H38" s="1">
        <f t="shared" si="6"/>
        <v>67.433333333290648</v>
      </c>
      <c r="I38" s="1">
        <f t="shared" si="7"/>
        <v>92.25</v>
      </c>
      <c r="J38" s="1">
        <f t="shared" si="8"/>
        <v>116.01666666660458</v>
      </c>
      <c r="K38" s="1">
        <f t="shared" si="9"/>
        <v>137.93333333329065</v>
      </c>
      <c r="L38" s="1"/>
      <c r="M38" s="1"/>
      <c r="N38" s="1"/>
      <c r="O38" s="1"/>
    </row>
    <row r="39" spans="1:15" x14ac:dyDescent="0.25">
      <c r="A39" t="s">
        <v>801</v>
      </c>
      <c r="B39" s="1">
        <f t="shared" si="1"/>
        <v>7.5666666667093523</v>
      </c>
      <c r="C39" s="1">
        <f t="shared" si="2"/>
        <v>11.299999999988358</v>
      </c>
      <c r="D39" s="1">
        <f t="shared" si="3"/>
        <v>19.400000000023283</v>
      </c>
      <c r="E39" s="1">
        <f t="shared" si="0"/>
        <v>68.566666666651145</v>
      </c>
      <c r="F39" s="1">
        <f t="shared" si="4"/>
        <v>91.599999999976717</v>
      </c>
      <c r="G39" s="1">
        <f t="shared" si="5"/>
        <v>115.78333333338378</v>
      </c>
      <c r="H39" s="1">
        <f t="shared" si="6"/>
        <v>138.6166666665813</v>
      </c>
      <c r="I39" s="1">
        <f t="shared" si="7"/>
        <v>163.26666666660458</v>
      </c>
      <c r="J39" s="1"/>
      <c r="K39" s="1"/>
      <c r="L39" s="1"/>
      <c r="M39" s="1"/>
      <c r="N39" s="1"/>
      <c r="O39" s="1"/>
    </row>
    <row r="40" spans="1:15" x14ac:dyDescent="0.25">
      <c r="A40" t="s">
        <v>802</v>
      </c>
      <c r="B40" s="1">
        <f t="shared" si="1"/>
        <v>8.6833333333488554</v>
      </c>
      <c r="C40" s="1">
        <f t="shared" si="2"/>
        <v>13.400000000023283</v>
      </c>
      <c r="D40" s="1">
        <f t="shared" si="3"/>
        <v>24.916666666686069</v>
      </c>
      <c r="E40" s="1">
        <f t="shared" si="0"/>
        <v>48.783333333441988</v>
      </c>
      <c r="F40" s="1">
        <f t="shared" si="4"/>
        <v>72.116666666697711</v>
      </c>
      <c r="G40" s="1">
        <f t="shared" si="5"/>
        <v>95.500000000116415</v>
      </c>
      <c r="H40" s="1">
        <f t="shared" si="6"/>
        <v>120.5166666667792</v>
      </c>
      <c r="I40" s="1"/>
      <c r="J40" s="1"/>
      <c r="K40" s="1"/>
      <c r="L40" s="1"/>
      <c r="M40" s="1"/>
      <c r="N40" s="1"/>
      <c r="O40" s="1"/>
    </row>
    <row r="41" spans="1:15" x14ac:dyDescent="0.25">
      <c r="A41" t="s">
        <v>803</v>
      </c>
      <c r="B41" s="1">
        <f t="shared" si="1"/>
        <v>7.6666666666860692</v>
      </c>
      <c r="C41" s="1">
        <f t="shared" si="2"/>
        <v>12.616666666581295</v>
      </c>
      <c r="D41" s="1">
        <f t="shared" si="3"/>
        <v>23.916666666569654</v>
      </c>
      <c r="E41" s="1">
        <f t="shared" si="0"/>
        <v>47.783333333325572</v>
      </c>
      <c r="F41" s="1">
        <f t="shared" si="4"/>
        <v>71.116666666581295</v>
      </c>
      <c r="G41" s="1">
        <f t="shared" si="5"/>
        <v>95.533333333209157</v>
      </c>
      <c r="H41" s="1">
        <f t="shared" si="6"/>
        <v>102.68333333329065</v>
      </c>
      <c r="I41" s="1">
        <f t="shared" si="7"/>
        <v>119.25</v>
      </c>
      <c r="J41" s="1"/>
      <c r="K41" s="1"/>
      <c r="L41" s="1"/>
      <c r="M41" s="1"/>
      <c r="N41" s="1"/>
      <c r="O41" s="1"/>
    </row>
    <row r="42" spans="1:15" x14ac:dyDescent="0.25">
      <c r="A42" t="s">
        <v>804</v>
      </c>
      <c r="B42" s="1">
        <f t="shared" si="1"/>
        <v>5.8500000000349246</v>
      </c>
      <c r="C42" s="1">
        <f t="shared" si="2"/>
        <v>7.8000000001047738</v>
      </c>
      <c r="D42" s="1">
        <f t="shared" si="3"/>
        <v>18.916666666686069</v>
      </c>
      <c r="E42" s="1">
        <f t="shared" si="0"/>
        <v>42.783333333441988</v>
      </c>
      <c r="F42" s="1">
        <f t="shared" si="4"/>
        <v>66.116666666697711</v>
      </c>
      <c r="G42" s="1">
        <f t="shared" si="5"/>
        <v>74.733333333337214</v>
      </c>
      <c r="H42" s="1">
        <f t="shared" si="6"/>
        <v>89.500000000116415</v>
      </c>
      <c r="I42" s="1">
        <f t="shared" si="7"/>
        <v>104.53333333338378</v>
      </c>
      <c r="J42" s="1"/>
      <c r="K42" s="1"/>
      <c r="L42" s="1"/>
      <c r="M42" s="1"/>
      <c r="N42" s="1"/>
      <c r="O42" s="1"/>
    </row>
    <row r="43" spans="1:15" x14ac:dyDescent="0.25">
      <c r="A43" t="s">
        <v>805</v>
      </c>
      <c r="B43" s="1">
        <f t="shared" si="1"/>
        <v>31.633333333244082</v>
      </c>
      <c r="C43" s="1">
        <f t="shared" si="2"/>
        <v>36.433333333348855</v>
      </c>
      <c r="D43" s="1">
        <f t="shared" si="3"/>
        <v>49.716666666674428</v>
      </c>
      <c r="E43" s="1">
        <f t="shared" si="0"/>
        <v>72.499999999883585</v>
      </c>
      <c r="F43" s="1">
        <f t="shared" si="4"/>
        <v>121.08333333319752</v>
      </c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25">
      <c r="A44" t="s">
        <v>806</v>
      </c>
      <c r="B44" s="1">
        <f t="shared" si="1"/>
        <v>21.466666666790843</v>
      </c>
      <c r="C44" s="1">
        <f t="shared" si="2"/>
        <v>33.233333333395422</v>
      </c>
      <c r="D44" s="1">
        <f t="shared" si="3"/>
        <v>42</v>
      </c>
      <c r="E44" s="1">
        <f t="shared" si="0"/>
        <v>68.950000000011642</v>
      </c>
      <c r="F44" s="1">
        <f t="shared" si="4"/>
        <v>113.96666666673264</v>
      </c>
      <c r="G44" s="1">
        <f t="shared" si="5"/>
        <v>124.21666666679084</v>
      </c>
      <c r="H44" s="1">
        <f t="shared" si="6"/>
        <v>138.86666666669771</v>
      </c>
      <c r="I44" s="1">
        <f t="shared" si="7"/>
        <v>162.40000000008149</v>
      </c>
      <c r="J44" s="1">
        <f t="shared" si="8"/>
        <v>189.56666666676756</v>
      </c>
      <c r="K44" s="1"/>
      <c r="L44" s="1"/>
      <c r="M44" s="1"/>
      <c r="N44" s="1"/>
      <c r="O44" s="1"/>
    </row>
    <row r="45" spans="1:15" x14ac:dyDescent="0.25">
      <c r="A45" t="s">
        <v>807</v>
      </c>
      <c r="B45" s="1">
        <f t="shared" si="1"/>
        <v>16.983333333337214</v>
      </c>
      <c r="C45" s="1">
        <f t="shared" si="2"/>
        <v>24.049999999988358</v>
      </c>
      <c r="D45" s="1">
        <f t="shared" si="3"/>
        <v>39.949999999953434</v>
      </c>
      <c r="E45" s="1">
        <f t="shared" si="0"/>
        <v>65.016666666604578</v>
      </c>
      <c r="F45" s="1">
        <f t="shared" si="4"/>
        <v>89.150000000023283</v>
      </c>
      <c r="G45" s="1">
        <f t="shared" si="5"/>
        <v>113.76666666660458</v>
      </c>
      <c r="H45" s="1">
        <f t="shared" si="6"/>
        <v>137.29999999998836</v>
      </c>
      <c r="I45" s="1">
        <f t="shared" si="7"/>
        <v>144.09999999997672</v>
      </c>
      <c r="J45" s="1">
        <f t="shared" si="8"/>
        <v>160.51666666654637</v>
      </c>
      <c r="K45" s="1">
        <f t="shared" si="9"/>
        <v>185.66666666662786</v>
      </c>
      <c r="L45" s="1">
        <f t="shared" si="10"/>
        <v>209.34999999997672</v>
      </c>
      <c r="M45" s="1">
        <f t="shared" si="11"/>
        <v>233.88333333330229</v>
      </c>
      <c r="N45" s="1"/>
      <c r="O45" s="1"/>
    </row>
    <row r="46" spans="1:15" x14ac:dyDescent="0.25">
      <c r="A46" t="s">
        <v>808</v>
      </c>
      <c r="B46" s="1">
        <f t="shared" si="1"/>
        <v>7.78333333338378</v>
      </c>
      <c r="C46" s="1">
        <f t="shared" si="2"/>
        <v>27.799999999988358</v>
      </c>
      <c r="D46" s="1">
        <f t="shared" si="3"/>
        <v>30.916666666686069</v>
      </c>
      <c r="E46" s="1">
        <f t="shared" si="0"/>
        <v>54.75</v>
      </c>
      <c r="F46" s="1">
        <f t="shared" si="4"/>
        <v>77.766666666779201</v>
      </c>
      <c r="G46" s="1">
        <f t="shared" si="5"/>
        <v>103.23333333333721</v>
      </c>
      <c r="H46" s="1"/>
      <c r="I46" s="1"/>
      <c r="J46" s="1"/>
      <c r="K46" s="1"/>
      <c r="L46" s="1"/>
      <c r="M46" s="1"/>
      <c r="N46" s="1"/>
      <c r="O46" s="1"/>
    </row>
    <row r="47" spans="1:15" x14ac:dyDescent="0.25">
      <c r="A47" t="s">
        <v>809</v>
      </c>
      <c r="B47" s="1">
        <f t="shared" si="1"/>
        <v>4.2000000000698492</v>
      </c>
      <c r="C47" s="1">
        <f t="shared" si="2"/>
        <v>10.950000000069849</v>
      </c>
      <c r="D47" s="1">
        <f t="shared" si="3"/>
        <v>20.050000000046566</v>
      </c>
      <c r="E47" s="1">
        <f t="shared" si="0"/>
        <v>27.366666666639503</v>
      </c>
      <c r="F47" s="1">
        <f t="shared" si="4"/>
        <v>43.533333333267365</v>
      </c>
      <c r="G47" s="1">
        <f t="shared" si="5"/>
        <v>67.933333333348855</v>
      </c>
      <c r="H47" s="1">
        <f t="shared" si="6"/>
        <v>91.933333333348855</v>
      </c>
      <c r="I47" s="1">
        <f t="shared" si="7"/>
        <v>115.25000000005821</v>
      </c>
      <c r="J47" s="1">
        <f t="shared" si="8"/>
        <v>139.96666666661622</v>
      </c>
      <c r="K47" s="1"/>
      <c r="L47" s="1"/>
      <c r="M47" s="1"/>
      <c r="N47" s="1"/>
      <c r="O47" s="1"/>
    </row>
    <row r="48" spans="1:15" x14ac:dyDescent="0.25">
      <c r="A48" t="s">
        <v>810</v>
      </c>
      <c r="B48" s="1">
        <f t="shared" si="1"/>
        <v>4.78333333338378</v>
      </c>
      <c r="C48" s="1">
        <f t="shared" si="2"/>
        <v>7.8666666666395031</v>
      </c>
      <c r="D48" s="1">
        <f t="shared" si="3"/>
        <v>16.533333333267365</v>
      </c>
      <c r="E48" s="1">
        <f t="shared" si="0"/>
        <v>41.816666666592937</v>
      </c>
      <c r="F48" s="1">
        <f t="shared" si="4"/>
        <v>65.366666666697711</v>
      </c>
      <c r="G48" s="1">
        <f t="shared" si="5"/>
        <v>89.900000000023283</v>
      </c>
      <c r="H48" s="1">
        <f t="shared" si="6"/>
        <v>114.51666666660458</v>
      </c>
      <c r="I48" s="1"/>
      <c r="J48" s="1"/>
      <c r="K48" s="1"/>
      <c r="L48" s="1"/>
      <c r="M48" s="1"/>
      <c r="N48" s="1"/>
      <c r="O48" s="1"/>
    </row>
    <row r="49" spans="1:15" x14ac:dyDescent="0.25">
      <c r="A49" t="s">
        <v>811</v>
      </c>
      <c r="B49" s="1">
        <f t="shared" si="1"/>
        <v>10.883333333360497</v>
      </c>
      <c r="C49" s="1">
        <f t="shared" si="2"/>
        <v>15.900000000139698</v>
      </c>
      <c r="D49" s="1">
        <f t="shared" si="3"/>
        <v>27.099999999976717</v>
      </c>
      <c r="E49" s="1">
        <f t="shared" si="0"/>
        <v>51.683333333465271</v>
      </c>
      <c r="F49" s="1">
        <f t="shared" si="4"/>
        <v>76.733333333395422</v>
      </c>
      <c r="G49" s="1">
        <f t="shared" si="5"/>
        <v>98.983333333453629</v>
      </c>
      <c r="H49" s="1">
        <f t="shared" si="6"/>
        <v>122.88333333347691</v>
      </c>
      <c r="I49" s="1">
        <f t="shared" si="7"/>
        <v>147.43333333334886</v>
      </c>
      <c r="J49" s="1"/>
      <c r="K49" s="1"/>
      <c r="L49" s="1"/>
      <c r="M49" s="1"/>
      <c r="N49" s="1"/>
      <c r="O49" s="1"/>
    </row>
    <row r="50" spans="1:15" x14ac:dyDescent="0.25">
      <c r="A50" t="s">
        <v>812</v>
      </c>
      <c r="B50" s="1">
        <f t="shared" si="1"/>
        <v>9.4166666666278616</v>
      </c>
      <c r="C50" s="1">
        <f t="shared" si="2"/>
        <v>17.700000000069849</v>
      </c>
      <c r="D50" s="1">
        <f t="shared" si="3"/>
        <v>23.116666666581295</v>
      </c>
      <c r="E50" s="1">
        <f t="shared" si="0"/>
        <v>40.616666666697711</v>
      </c>
      <c r="F50" s="1">
        <f t="shared" si="4"/>
        <v>64.950000000069849</v>
      </c>
      <c r="G50" s="1">
        <f t="shared" si="5"/>
        <v>89.399999999965075</v>
      </c>
      <c r="H50" s="1">
        <f t="shared" si="6"/>
        <v>112.03333333338378</v>
      </c>
      <c r="I50" s="1">
        <f t="shared" si="7"/>
        <v>137.93333333329065</v>
      </c>
      <c r="J50" s="1">
        <f t="shared" si="8"/>
        <v>160.83333333337214</v>
      </c>
      <c r="K50" s="1">
        <f t="shared" si="9"/>
        <v>185.85000000003492</v>
      </c>
      <c r="L50" s="1"/>
      <c r="M50" s="1"/>
      <c r="N50" s="1"/>
      <c r="O50" s="1"/>
    </row>
    <row r="51" spans="1:15" x14ac:dyDescent="0.25">
      <c r="A51" t="s">
        <v>813</v>
      </c>
      <c r="B51" s="1">
        <f t="shared" si="1"/>
        <v>4.2833333333255723</v>
      </c>
      <c r="C51" s="1">
        <f t="shared" si="2"/>
        <v>9.6166666665812954</v>
      </c>
      <c r="D51" s="1">
        <f t="shared" si="3"/>
        <v>20.633333333360497</v>
      </c>
      <c r="E51" s="1">
        <f t="shared" si="0"/>
        <v>44.833333333313931</v>
      </c>
      <c r="F51" s="1">
        <f t="shared" si="4"/>
        <v>69.233333333220799</v>
      </c>
      <c r="G51" s="1">
        <f t="shared" si="5"/>
        <v>92.583333333197515</v>
      </c>
      <c r="H51" s="1">
        <f t="shared" si="6"/>
        <v>116.6333333333605</v>
      </c>
      <c r="I51" s="1">
        <f t="shared" si="7"/>
        <v>141.18333333323244</v>
      </c>
      <c r="J51" s="1">
        <f t="shared" si="8"/>
        <v>165.81666666653473</v>
      </c>
      <c r="K51" s="1"/>
      <c r="L51" s="1"/>
      <c r="M51" s="1"/>
      <c r="N51" s="1"/>
      <c r="O51" s="1"/>
    </row>
    <row r="52" spans="1:15" x14ac:dyDescent="0.25">
      <c r="A52" t="s">
        <v>815</v>
      </c>
      <c r="H52" s="1"/>
    </row>
    <row r="53" spans="1:15" x14ac:dyDescent="0.25">
      <c r="A53" t="s">
        <v>789</v>
      </c>
      <c r="B53">
        <v>1.21</v>
      </c>
      <c r="C53">
        <v>2.79</v>
      </c>
      <c r="D53">
        <v>1.25</v>
      </c>
      <c r="E53">
        <v>0.60299999999999998</v>
      </c>
      <c r="F53">
        <v>0.66500000000000004</v>
      </c>
      <c r="G53">
        <v>0.69199999999999995</v>
      </c>
      <c r="H53">
        <v>0.54100000000000004</v>
      </c>
      <c r="I53">
        <v>0.48299999999999998</v>
      </c>
      <c r="J53">
        <v>0.10199999999999999</v>
      </c>
      <c r="K53">
        <v>6.9000000000000006E-2</v>
      </c>
      <c r="L53">
        <v>5.0999999999999997E-2</v>
      </c>
      <c r="M53">
        <v>3.5000000000000003E-2</v>
      </c>
    </row>
    <row r="54" spans="1:15" x14ac:dyDescent="0.25">
      <c r="A54" t="s">
        <v>790</v>
      </c>
      <c r="B54">
        <v>16.63</v>
      </c>
      <c r="C54">
        <v>21.43</v>
      </c>
      <c r="D54">
        <v>13.57</v>
      </c>
      <c r="E54">
        <v>8.8000000000000007</v>
      </c>
      <c r="F54">
        <v>7.91</v>
      </c>
      <c r="G54">
        <v>7.22</v>
      </c>
      <c r="H54">
        <v>6.78</v>
      </c>
      <c r="I54">
        <v>5.47</v>
      </c>
      <c r="J54">
        <v>4.72</v>
      </c>
      <c r="K54">
        <v>3.83</v>
      </c>
      <c r="L54">
        <v>3.02</v>
      </c>
      <c r="M54">
        <v>2.35</v>
      </c>
      <c r="N54">
        <v>1.52</v>
      </c>
      <c r="O54">
        <v>1.1200000000000001</v>
      </c>
    </row>
    <row r="55" spans="1:15" x14ac:dyDescent="0.25">
      <c r="A55" t="s">
        <v>791</v>
      </c>
      <c r="B55">
        <v>1.08</v>
      </c>
      <c r="C55">
        <v>7.25</v>
      </c>
      <c r="D55">
        <v>11.13</v>
      </c>
      <c r="E55">
        <v>6.28</v>
      </c>
      <c r="F55">
        <v>6.41</v>
      </c>
      <c r="G55">
        <v>5.47</v>
      </c>
      <c r="H55">
        <v>4</v>
      </c>
      <c r="I55">
        <v>1.34</v>
      </c>
      <c r="J55">
        <v>0.82799999999999996</v>
      </c>
      <c r="K55">
        <v>0.47599999999999998</v>
      </c>
    </row>
    <row r="56" spans="1:15" x14ac:dyDescent="0.25">
      <c r="A56" t="s">
        <v>792</v>
      </c>
      <c r="B56">
        <v>5.8000000000000003E-2</v>
      </c>
      <c r="C56">
        <v>0.215</v>
      </c>
      <c r="D56">
        <v>0.33100000000000002</v>
      </c>
      <c r="E56">
        <v>0.29799999999999999</v>
      </c>
      <c r="F56">
        <v>0.33</v>
      </c>
      <c r="G56">
        <v>0.33300000000000002</v>
      </c>
      <c r="H56">
        <v>0.19600000000000001</v>
      </c>
      <c r="I56">
        <v>7.8E-2</v>
      </c>
      <c r="J56">
        <v>3.5000000000000003E-2</v>
      </c>
    </row>
    <row r="57" spans="1:15" x14ac:dyDescent="0.25">
      <c r="A57" t="s">
        <v>793</v>
      </c>
      <c r="B57">
        <v>0.53</v>
      </c>
      <c r="C57">
        <v>0.749</v>
      </c>
      <c r="D57">
        <v>0.91100000000000003</v>
      </c>
      <c r="E57">
        <v>0.67300000000000004</v>
      </c>
      <c r="F57">
        <v>0.47399999999999998</v>
      </c>
      <c r="G57">
        <v>0.438</v>
      </c>
      <c r="H57">
        <v>0.35399999999999998</v>
      </c>
      <c r="I57">
        <v>0.371</v>
      </c>
      <c r="J57">
        <v>0.28100000000000003</v>
      </c>
    </row>
    <row r="58" spans="1:15" x14ac:dyDescent="0.25">
      <c r="A58" t="s">
        <v>794</v>
      </c>
      <c r="B58">
        <v>1.68</v>
      </c>
      <c r="C58">
        <v>3.74</v>
      </c>
      <c r="D58">
        <v>6.42</v>
      </c>
      <c r="E58">
        <v>3.69</v>
      </c>
      <c r="F58">
        <v>3.05</v>
      </c>
      <c r="G58">
        <v>2.41</v>
      </c>
      <c r="H58">
        <v>2.14</v>
      </c>
      <c r="I58">
        <v>2.39</v>
      </c>
      <c r="J58">
        <v>1.48</v>
      </c>
      <c r="K58">
        <v>0.62</v>
      </c>
      <c r="L58">
        <v>0.31900000000000001</v>
      </c>
    </row>
    <row r="59" spans="1:15" x14ac:dyDescent="0.25">
      <c r="A59" t="s">
        <v>795</v>
      </c>
      <c r="B59">
        <v>1.71</v>
      </c>
      <c r="C59">
        <v>9.36</v>
      </c>
      <c r="D59">
        <v>8.43</v>
      </c>
      <c r="E59">
        <v>4.3</v>
      </c>
      <c r="F59">
        <v>4.74</v>
      </c>
      <c r="G59">
        <v>3.85</v>
      </c>
    </row>
    <row r="60" spans="1:15" x14ac:dyDescent="0.25">
      <c r="A60" t="s">
        <v>796</v>
      </c>
      <c r="B60">
        <v>0.31</v>
      </c>
      <c r="C60">
        <v>3.72</v>
      </c>
      <c r="D60">
        <v>4.18</v>
      </c>
      <c r="E60">
        <v>2.13</v>
      </c>
      <c r="F60">
        <v>2.67</v>
      </c>
      <c r="G60">
        <v>3.99</v>
      </c>
      <c r="H60">
        <v>3.16</v>
      </c>
      <c r="I60">
        <v>1.71</v>
      </c>
      <c r="J60">
        <v>0.76</v>
      </c>
      <c r="K60">
        <v>0.45500000000000002</v>
      </c>
      <c r="L60">
        <v>0.29299999999999998</v>
      </c>
      <c r="M60">
        <v>0.182</v>
      </c>
    </row>
    <row r="61" spans="1:15" x14ac:dyDescent="0.25">
      <c r="A61" t="s">
        <v>797</v>
      </c>
      <c r="B61">
        <v>1.57</v>
      </c>
      <c r="C61">
        <v>7.81</v>
      </c>
      <c r="D61">
        <v>7.46</v>
      </c>
      <c r="E61">
        <v>6.58</v>
      </c>
      <c r="F61">
        <v>5.93</v>
      </c>
      <c r="G61">
        <v>4.9800000000000004</v>
      </c>
      <c r="H61">
        <v>1.72</v>
      </c>
      <c r="I61">
        <v>0.43</v>
      </c>
      <c r="J61">
        <v>0.14399999999999999</v>
      </c>
      <c r="K61">
        <v>2.1800000000000002</v>
      </c>
      <c r="L61">
        <v>2.14</v>
      </c>
      <c r="M61">
        <v>2.16</v>
      </c>
      <c r="N61">
        <v>0.89600000000000002</v>
      </c>
      <c r="O61">
        <v>0.97299999999999998</v>
      </c>
    </row>
    <row r="62" spans="1:15" x14ac:dyDescent="0.25">
      <c r="A62" t="s">
        <v>798</v>
      </c>
      <c r="B62">
        <v>5.15</v>
      </c>
      <c r="C62">
        <v>3.82</v>
      </c>
      <c r="D62">
        <v>3.03</v>
      </c>
      <c r="E62">
        <v>2.81</v>
      </c>
      <c r="F62">
        <v>2.69</v>
      </c>
      <c r="G62">
        <v>2.13</v>
      </c>
      <c r="H62">
        <v>0.88900000000000001</v>
      </c>
      <c r="I62">
        <v>0.45800000000000002</v>
      </c>
      <c r="J62">
        <v>0.22800000000000001</v>
      </c>
      <c r="K62">
        <v>0.124</v>
      </c>
    </row>
    <row r="63" spans="1:15" x14ac:dyDescent="0.25">
      <c r="A63" t="s">
        <v>799</v>
      </c>
      <c r="B63">
        <v>5.65</v>
      </c>
      <c r="C63">
        <v>18.55</v>
      </c>
      <c r="D63">
        <v>9.43</v>
      </c>
      <c r="E63">
        <v>4.24</v>
      </c>
      <c r="F63">
        <v>3.51</v>
      </c>
      <c r="G63">
        <v>3.17</v>
      </c>
      <c r="H63">
        <v>2.36</v>
      </c>
      <c r="I63" s="31">
        <v>42553</v>
      </c>
      <c r="J63">
        <v>1.91</v>
      </c>
      <c r="K63">
        <v>1.56</v>
      </c>
    </row>
    <row r="64" spans="1:15" x14ac:dyDescent="0.25">
      <c r="A64" t="s">
        <v>800</v>
      </c>
      <c r="B64">
        <v>0.73299999999999998</v>
      </c>
      <c r="C64">
        <v>1.1100000000000001</v>
      </c>
      <c r="D64">
        <v>1.18</v>
      </c>
      <c r="E64">
        <v>0.96299999999999997</v>
      </c>
      <c r="F64">
        <v>0.96299999999999997</v>
      </c>
      <c r="G64">
        <v>1.0900000000000001</v>
      </c>
      <c r="H64">
        <v>1.87</v>
      </c>
      <c r="I64">
        <v>2.16</v>
      </c>
      <c r="J64">
        <v>1.92</v>
      </c>
      <c r="K64">
        <v>1.46</v>
      </c>
    </row>
    <row r="65" spans="1:13" x14ac:dyDescent="0.25">
      <c r="A65" t="s">
        <v>801</v>
      </c>
      <c r="B65">
        <v>0.20599999999999999</v>
      </c>
      <c r="C65">
        <v>0.80300000000000005</v>
      </c>
      <c r="D65">
        <v>1.05</v>
      </c>
      <c r="E65">
        <v>0.504</v>
      </c>
      <c r="F65">
        <v>0.753</v>
      </c>
      <c r="G65">
        <v>0.62</v>
      </c>
      <c r="H65">
        <v>0.42799999999999999</v>
      </c>
      <c r="I65">
        <v>0.247</v>
      </c>
    </row>
    <row r="66" spans="1:13" x14ac:dyDescent="0.25">
      <c r="A66" t="s">
        <v>802</v>
      </c>
      <c r="B66">
        <v>8.7999999999999995E-2</v>
      </c>
      <c r="C66">
        <v>6.9000000000000006E-2</v>
      </c>
      <c r="D66">
        <v>7.2999999999999995E-2</v>
      </c>
      <c r="E66">
        <v>6.9000000000000006E-2</v>
      </c>
      <c r="F66">
        <v>7.5999999999999998E-2</v>
      </c>
      <c r="G66">
        <v>6.6000000000000003E-2</v>
      </c>
      <c r="H66">
        <v>4.1000000000000002E-2</v>
      </c>
    </row>
    <row r="67" spans="1:13" x14ac:dyDescent="0.25">
      <c r="A67" t="s">
        <v>803</v>
      </c>
      <c r="B67">
        <v>15.13</v>
      </c>
      <c r="C67">
        <v>24.39</v>
      </c>
      <c r="D67">
        <v>21.44</v>
      </c>
      <c r="E67">
        <v>10.59</v>
      </c>
      <c r="F67">
        <v>8.73</v>
      </c>
      <c r="G67">
        <v>7.28</v>
      </c>
      <c r="H67">
        <v>6.22</v>
      </c>
      <c r="I67">
        <v>5.88</v>
      </c>
    </row>
    <row r="68" spans="1:13" x14ac:dyDescent="0.25">
      <c r="A68" t="s">
        <v>804</v>
      </c>
      <c r="B68">
        <v>1.54</v>
      </c>
      <c r="C68">
        <v>2.4700000000000002</v>
      </c>
      <c r="D68">
        <v>2.5099999999999998</v>
      </c>
      <c r="E68">
        <v>1.37</v>
      </c>
      <c r="F68">
        <v>1.07</v>
      </c>
      <c r="G68">
        <v>1.08</v>
      </c>
      <c r="H68">
        <v>1.21</v>
      </c>
      <c r="I68">
        <v>1.02</v>
      </c>
    </row>
    <row r="69" spans="1:13" x14ac:dyDescent="0.25">
      <c r="A69" t="s">
        <v>805</v>
      </c>
      <c r="B69">
        <v>2.56</v>
      </c>
      <c r="C69">
        <v>2.5499999999999998</v>
      </c>
      <c r="D69">
        <v>2.2000000000000002</v>
      </c>
      <c r="E69">
        <v>1.74</v>
      </c>
      <c r="F69">
        <v>0.81200000000000006</v>
      </c>
    </row>
    <row r="70" spans="1:13" x14ac:dyDescent="0.25">
      <c r="A70" t="s">
        <v>806</v>
      </c>
      <c r="B70">
        <v>2.42</v>
      </c>
      <c r="C70">
        <v>13</v>
      </c>
      <c r="D70">
        <v>12.67</v>
      </c>
      <c r="E70">
        <v>8.94</v>
      </c>
      <c r="F70">
        <v>8.2200000000000006</v>
      </c>
      <c r="G70">
        <v>6.66</v>
      </c>
      <c r="H70">
        <v>5.1100000000000003</v>
      </c>
      <c r="I70" s="31">
        <v>42645</v>
      </c>
      <c r="J70">
        <v>0.75800000000000001</v>
      </c>
    </row>
    <row r="71" spans="1:13" x14ac:dyDescent="0.25">
      <c r="A71" t="s">
        <v>807</v>
      </c>
      <c r="B71">
        <v>1.34</v>
      </c>
      <c r="C71">
        <v>3.11</v>
      </c>
      <c r="D71">
        <v>2.67</v>
      </c>
      <c r="E71">
        <v>2.78</v>
      </c>
      <c r="F71">
        <v>2.9</v>
      </c>
      <c r="G71">
        <v>2.13</v>
      </c>
      <c r="H71">
        <v>0.96899999999999997</v>
      </c>
      <c r="I71">
        <v>0.65800000000000003</v>
      </c>
      <c r="J71">
        <v>0.48299999999999998</v>
      </c>
      <c r="K71">
        <v>0.26800000000000002</v>
      </c>
      <c r="L71">
        <v>0.189</v>
      </c>
      <c r="M71">
        <v>0.11799999999999999</v>
      </c>
    </row>
    <row r="72" spans="1:13" x14ac:dyDescent="0.25">
      <c r="A72" t="s">
        <v>808</v>
      </c>
      <c r="B72">
        <v>5.27</v>
      </c>
      <c r="C72">
        <v>4.4000000000000004</v>
      </c>
      <c r="D72">
        <v>2.42</v>
      </c>
      <c r="E72">
        <v>1.08</v>
      </c>
      <c r="F72">
        <v>0.752</v>
      </c>
      <c r="G72">
        <v>0.66800000000000004</v>
      </c>
    </row>
    <row r="73" spans="1:13" x14ac:dyDescent="0.25">
      <c r="A73" t="s">
        <v>809</v>
      </c>
      <c r="B73">
        <v>20.85</v>
      </c>
      <c r="C73">
        <v>17.72</v>
      </c>
      <c r="D73">
        <v>9.85</v>
      </c>
      <c r="E73">
        <v>7.47</v>
      </c>
      <c r="F73">
        <v>6.16</v>
      </c>
      <c r="G73">
        <v>5.75</v>
      </c>
      <c r="H73">
        <v>4.5199999999999996</v>
      </c>
      <c r="I73">
        <v>2.95</v>
      </c>
      <c r="J73">
        <v>1.33</v>
      </c>
    </row>
    <row r="74" spans="1:13" x14ac:dyDescent="0.25">
      <c r="A74" t="s">
        <v>810</v>
      </c>
      <c r="B74">
        <v>2.82</v>
      </c>
      <c r="C74">
        <v>12.21</v>
      </c>
      <c r="D74">
        <v>7.8</v>
      </c>
      <c r="E74">
        <v>3.48</v>
      </c>
      <c r="F74">
        <v>3.66</v>
      </c>
      <c r="G74">
        <v>3.66</v>
      </c>
      <c r="H74">
        <v>2.2200000000000002</v>
      </c>
    </row>
    <row r="75" spans="1:13" x14ac:dyDescent="0.25">
      <c r="A75" t="s">
        <v>811</v>
      </c>
      <c r="B75">
        <v>4</v>
      </c>
      <c r="C75">
        <v>13.96</v>
      </c>
      <c r="D75">
        <v>12.05</v>
      </c>
      <c r="E75">
        <v>12.33</v>
      </c>
      <c r="F75">
        <v>11.89</v>
      </c>
      <c r="G75">
        <v>9.59</v>
      </c>
      <c r="H75">
        <v>8.9</v>
      </c>
      <c r="I75">
        <v>7.06</v>
      </c>
    </row>
    <row r="76" spans="1:13" x14ac:dyDescent="0.25">
      <c r="A76" t="s">
        <v>812</v>
      </c>
      <c r="B76">
        <v>1.02</v>
      </c>
      <c r="C76">
        <v>9.64</v>
      </c>
      <c r="D76">
        <v>5.76</v>
      </c>
      <c r="E76">
        <v>3.16</v>
      </c>
      <c r="F76">
        <v>2.68</v>
      </c>
      <c r="G76">
        <v>2.93</v>
      </c>
      <c r="H76">
        <v>2.9</v>
      </c>
      <c r="I76">
        <v>2.11</v>
      </c>
      <c r="J76">
        <v>1.34</v>
      </c>
      <c r="K76">
        <v>0.74399999999999999</v>
      </c>
    </row>
    <row r="77" spans="1:13" x14ac:dyDescent="0.25">
      <c r="A77" t="s">
        <v>813</v>
      </c>
      <c r="B77">
        <v>0.89900000000000002</v>
      </c>
      <c r="C77">
        <v>2.83</v>
      </c>
      <c r="D77">
        <v>3.11</v>
      </c>
      <c r="E77">
        <v>1.83</v>
      </c>
      <c r="F77">
        <v>1.91</v>
      </c>
      <c r="G77">
        <v>1.64</v>
      </c>
      <c r="H77">
        <v>1.44</v>
      </c>
      <c r="I77">
        <v>1.1399999999999999</v>
      </c>
      <c r="J77">
        <v>0.78200000000000003</v>
      </c>
    </row>
  </sheetData>
  <phoneticPr fontId="2" type="noConversion"/>
  <conditionalFormatting sqref="B27:O51">
    <cfRule type="expression" dxfId="2" priority="1">
      <formula>AND(ISNUMBER(B27), B27=0)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7678C-49F8-438C-8607-768C4D2B550B}">
  <dimension ref="A1:AC452"/>
  <sheetViews>
    <sheetView topLeftCell="A418" zoomScaleNormal="100" workbookViewId="0">
      <selection activeCell="B436" sqref="B436:J436"/>
    </sheetView>
  </sheetViews>
  <sheetFormatPr defaultRowHeight="15" x14ac:dyDescent="0.25"/>
  <cols>
    <col min="1" max="1" width="20" customWidth="1"/>
    <col min="2" max="2" width="15" bestFit="1" customWidth="1"/>
    <col min="3" max="3" width="13.5703125" bestFit="1" customWidth="1"/>
    <col min="4" max="4" width="20.7109375" customWidth="1"/>
    <col min="5" max="5" width="18" customWidth="1"/>
    <col min="9" max="9" width="9.140625" customWidth="1"/>
    <col min="10" max="10" width="17.28515625" customWidth="1"/>
    <col min="11" max="11" width="13.7109375" customWidth="1"/>
    <col min="12" max="12" width="18" customWidth="1"/>
    <col min="23" max="23" width="30.7109375" customWidth="1"/>
    <col min="30" max="30" width="9.28515625" customWidth="1"/>
    <col min="31" max="31" width="9.5703125" customWidth="1"/>
    <col min="32" max="32" width="9.28515625" customWidth="1"/>
    <col min="33" max="33" width="9.5703125" customWidth="1"/>
    <col min="34" max="34" width="9.28515625" customWidth="1"/>
    <col min="35" max="35" width="9.5703125" customWidth="1"/>
    <col min="36" max="36" width="9.28515625" customWidth="1"/>
    <col min="37" max="37" width="9.5703125" customWidth="1"/>
    <col min="38" max="38" width="9.28515625" customWidth="1"/>
    <col min="39" max="39" width="9.5703125" customWidth="1"/>
    <col min="40" max="40" width="9.28515625" customWidth="1"/>
    <col min="41" max="41" width="9.5703125" customWidth="1"/>
    <col min="42" max="42" width="9.28515625" customWidth="1"/>
  </cols>
  <sheetData>
    <row r="1" spans="1:22" x14ac:dyDescent="0.25">
      <c r="A1" t="s">
        <v>62</v>
      </c>
      <c r="B1" t="s">
        <v>137</v>
      </c>
      <c r="C1" t="s">
        <v>138</v>
      </c>
    </row>
    <row r="2" spans="1:22" x14ac:dyDescent="0.25">
      <c r="A2" t="s">
        <v>139</v>
      </c>
      <c r="B2" s="2">
        <v>0.50277777777777777</v>
      </c>
      <c r="C2" s="3" t="s">
        <v>92</v>
      </c>
      <c r="D2" s="21" t="s">
        <v>412</v>
      </c>
      <c r="E2" s="21" t="s">
        <v>413</v>
      </c>
      <c r="F2" s="21" t="s">
        <v>414</v>
      </c>
      <c r="G2" s="21" t="s">
        <v>415</v>
      </c>
      <c r="H2" s="21" t="s">
        <v>416</v>
      </c>
      <c r="I2" s="21" t="s">
        <v>417</v>
      </c>
      <c r="J2" s="21" t="s">
        <v>418</v>
      </c>
      <c r="K2" s="21" t="s">
        <v>419</v>
      </c>
      <c r="L2" s="21"/>
      <c r="M2" s="21"/>
      <c r="N2" s="21"/>
      <c r="O2" s="21"/>
      <c r="P2" s="21"/>
      <c r="Q2" s="21"/>
      <c r="R2" s="21"/>
      <c r="S2" s="21"/>
      <c r="T2" s="21"/>
      <c r="V2" s="22"/>
    </row>
    <row r="3" spans="1:22" x14ac:dyDescent="0.25">
      <c r="A3" t="s">
        <v>140</v>
      </c>
      <c r="B3" s="2">
        <v>0.93194444444444446</v>
      </c>
      <c r="C3" s="3" t="s">
        <v>93</v>
      </c>
      <c r="D3" s="21" t="s">
        <v>420</v>
      </c>
      <c r="E3" s="21" t="s">
        <v>421</v>
      </c>
      <c r="F3" s="21" t="s">
        <v>422</v>
      </c>
      <c r="G3" s="21" t="s">
        <v>423</v>
      </c>
      <c r="H3" s="21" t="s">
        <v>424</v>
      </c>
      <c r="I3" s="21" t="s">
        <v>425</v>
      </c>
      <c r="J3" s="21" t="s">
        <v>426</v>
      </c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22" x14ac:dyDescent="0.25">
      <c r="A4" t="s">
        <v>141</v>
      </c>
      <c r="B4" s="2">
        <v>0.67638888888888893</v>
      </c>
      <c r="C4" s="3" t="s">
        <v>94</v>
      </c>
      <c r="D4" s="21" t="s">
        <v>427</v>
      </c>
      <c r="E4" s="21" t="s">
        <v>428</v>
      </c>
      <c r="F4" s="21" t="s">
        <v>429</v>
      </c>
      <c r="G4" s="21" t="s">
        <v>430</v>
      </c>
      <c r="H4" s="21" t="s">
        <v>431</v>
      </c>
      <c r="I4" s="21" t="s">
        <v>432</v>
      </c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</row>
    <row r="5" spans="1:22" x14ac:dyDescent="0.25">
      <c r="A5" t="s">
        <v>142</v>
      </c>
      <c r="B5" s="2">
        <v>0.71180555555555547</v>
      </c>
      <c r="C5" s="3" t="s">
        <v>95</v>
      </c>
      <c r="D5" s="21" t="s">
        <v>433</v>
      </c>
      <c r="E5" s="21" t="s">
        <v>434</v>
      </c>
      <c r="F5" s="21" t="s">
        <v>435</v>
      </c>
      <c r="G5" s="21" t="s">
        <v>436</v>
      </c>
      <c r="H5" s="21" t="s">
        <v>437</v>
      </c>
      <c r="I5" s="21" t="s">
        <v>438</v>
      </c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</row>
    <row r="6" spans="1:22" x14ac:dyDescent="0.25">
      <c r="A6" t="s">
        <v>143</v>
      </c>
      <c r="B6" s="2">
        <v>0.97986111111111107</v>
      </c>
      <c r="C6" s="3" t="s">
        <v>96</v>
      </c>
      <c r="D6" s="21" t="s">
        <v>439</v>
      </c>
      <c r="E6" s="21" t="s">
        <v>440</v>
      </c>
      <c r="F6" s="21" t="s">
        <v>441</v>
      </c>
      <c r="G6" s="21" t="s">
        <v>442</v>
      </c>
      <c r="H6" s="21" t="s">
        <v>443</v>
      </c>
      <c r="I6" s="21" t="s">
        <v>444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</row>
    <row r="7" spans="1:22" x14ac:dyDescent="0.25">
      <c r="A7" t="s">
        <v>144</v>
      </c>
      <c r="B7" s="2">
        <v>0.9291666666666667</v>
      </c>
      <c r="C7" s="3" t="s">
        <v>97</v>
      </c>
      <c r="D7" s="21" t="s">
        <v>445</v>
      </c>
      <c r="E7" s="21" t="s">
        <v>446</v>
      </c>
      <c r="F7" s="21" t="s">
        <v>447</v>
      </c>
      <c r="G7" s="21" t="s">
        <v>448</v>
      </c>
      <c r="H7" s="21" t="s">
        <v>449</v>
      </c>
      <c r="I7" s="21" t="s">
        <v>450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</row>
    <row r="8" spans="1:22" x14ac:dyDescent="0.25">
      <c r="A8" t="s">
        <v>145</v>
      </c>
      <c r="B8" s="2">
        <v>0.47569444444444442</v>
      </c>
      <c r="C8" s="3" t="s">
        <v>98</v>
      </c>
      <c r="D8" s="21" t="s">
        <v>451</v>
      </c>
      <c r="E8" s="21" t="s">
        <v>452</v>
      </c>
      <c r="F8" s="21" t="s">
        <v>453</v>
      </c>
      <c r="G8" s="21" t="s">
        <v>454</v>
      </c>
      <c r="H8" s="21" t="s">
        <v>455</v>
      </c>
      <c r="I8" s="21" t="s">
        <v>456</v>
      </c>
      <c r="J8" s="21" t="s">
        <v>457</v>
      </c>
      <c r="K8" s="21" t="s">
        <v>458</v>
      </c>
      <c r="L8" s="21" t="s">
        <v>459</v>
      </c>
      <c r="M8" s="21" t="s">
        <v>460</v>
      </c>
      <c r="N8" s="21" t="s">
        <v>461</v>
      </c>
      <c r="O8" s="21" t="s">
        <v>462</v>
      </c>
      <c r="P8" s="21" t="s">
        <v>434</v>
      </c>
      <c r="Q8" s="21" t="s">
        <v>436</v>
      </c>
      <c r="R8" s="21" t="s">
        <v>437</v>
      </c>
      <c r="S8" s="21" t="s">
        <v>438</v>
      </c>
      <c r="T8" s="21"/>
    </row>
    <row r="9" spans="1:22" x14ac:dyDescent="0.25">
      <c r="A9" t="s">
        <v>146</v>
      </c>
      <c r="B9" s="2">
        <v>0.46527777777777779</v>
      </c>
      <c r="C9" s="3" t="s">
        <v>99</v>
      </c>
      <c r="D9" s="21" t="s">
        <v>463</v>
      </c>
      <c r="E9" s="21" t="s">
        <v>464</v>
      </c>
      <c r="F9" s="21" t="s">
        <v>465</v>
      </c>
      <c r="G9" s="21" t="s">
        <v>466</v>
      </c>
      <c r="H9" s="21" t="s">
        <v>467</v>
      </c>
      <c r="I9" s="21" t="s">
        <v>468</v>
      </c>
      <c r="J9" s="21" t="s">
        <v>469</v>
      </c>
      <c r="K9" s="21" t="s">
        <v>470</v>
      </c>
      <c r="L9" s="21" t="s">
        <v>471</v>
      </c>
      <c r="M9" s="21"/>
      <c r="N9" s="21"/>
      <c r="O9" s="21"/>
      <c r="P9" s="21"/>
      <c r="Q9" s="21"/>
      <c r="R9" s="21"/>
      <c r="S9" s="21"/>
      <c r="T9" s="21"/>
    </row>
    <row r="10" spans="1:22" x14ac:dyDescent="0.25">
      <c r="A10" t="s">
        <v>147</v>
      </c>
      <c r="B10" s="5">
        <v>0.13819444444444445</v>
      </c>
      <c r="C10" s="3" t="s">
        <v>100</v>
      </c>
      <c r="D10" s="21" t="s">
        <v>472</v>
      </c>
      <c r="E10" s="21" t="s">
        <v>472</v>
      </c>
      <c r="F10" s="21" t="s">
        <v>473</v>
      </c>
      <c r="G10" s="21" t="s">
        <v>474</v>
      </c>
      <c r="H10" s="21" t="s">
        <v>475</v>
      </c>
      <c r="I10" s="21" t="s">
        <v>476</v>
      </c>
      <c r="J10" s="21" t="s">
        <v>477</v>
      </c>
      <c r="K10" s="21" t="s">
        <v>478</v>
      </c>
      <c r="L10" s="21"/>
      <c r="M10" s="21"/>
      <c r="N10" s="21"/>
      <c r="O10" s="21"/>
      <c r="P10" s="21"/>
      <c r="Q10" s="21"/>
      <c r="R10" s="21"/>
      <c r="S10" s="21"/>
      <c r="T10" s="21"/>
    </row>
    <row r="11" spans="1:22" x14ac:dyDescent="0.25">
      <c r="A11" t="s">
        <v>148</v>
      </c>
      <c r="B11" s="2">
        <v>0.97222222222222221</v>
      </c>
      <c r="C11" s="3" t="s">
        <v>101</v>
      </c>
      <c r="D11" s="21" t="s">
        <v>479</v>
      </c>
      <c r="E11" s="21" t="s">
        <v>480</v>
      </c>
      <c r="F11" s="21" t="s">
        <v>481</v>
      </c>
      <c r="G11" s="21" t="s">
        <v>482</v>
      </c>
      <c r="H11" s="21" t="s">
        <v>483</v>
      </c>
      <c r="I11" s="21" t="s">
        <v>484</v>
      </c>
      <c r="J11" s="21" t="s">
        <v>485</v>
      </c>
      <c r="K11" s="21" t="s">
        <v>486</v>
      </c>
      <c r="L11" s="21"/>
      <c r="M11" s="21"/>
      <c r="N11" s="21"/>
      <c r="O11" s="21"/>
      <c r="P11" s="21"/>
      <c r="Q11" s="21"/>
      <c r="R11" s="21"/>
      <c r="S11" s="21"/>
      <c r="T11" s="21"/>
    </row>
    <row r="12" spans="1:22" x14ac:dyDescent="0.25">
      <c r="A12" t="s">
        <v>149</v>
      </c>
      <c r="B12" s="2">
        <v>0.68263888888888891</v>
      </c>
      <c r="C12" s="3" t="s">
        <v>102</v>
      </c>
      <c r="D12" s="21" t="s">
        <v>487</v>
      </c>
      <c r="E12" s="21" t="s">
        <v>488</v>
      </c>
      <c r="F12" s="21" t="s">
        <v>489</v>
      </c>
      <c r="G12" s="21" t="s">
        <v>490</v>
      </c>
      <c r="H12" s="21" t="s">
        <v>491</v>
      </c>
      <c r="I12" s="21" t="s">
        <v>492</v>
      </c>
      <c r="J12" s="21" t="s">
        <v>493</v>
      </c>
      <c r="K12" s="21"/>
      <c r="L12" s="21"/>
      <c r="M12" s="21"/>
      <c r="N12" s="21"/>
      <c r="O12" s="21"/>
      <c r="P12" s="21"/>
      <c r="Q12" s="21"/>
      <c r="R12" s="21"/>
      <c r="S12" s="21"/>
      <c r="T12" s="21"/>
    </row>
    <row r="13" spans="1:22" x14ac:dyDescent="0.25">
      <c r="A13" t="s">
        <v>150</v>
      </c>
      <c r="B13" s="5">
        <v>0.67361111111111116</v>
      </c>
      <c r="C13" s="3" t="s">
        <v>103</v>
      </c>
      <c r="D13" s="21" t="s">
        <v>494</v>
      </c>
      <c r="E13" s="21" t="s">
        <v>495</v>
      </c>
      <c r="F13" s="21" t="s">
        <v>496</v>
      </c>
      <c r="G13" s="21" t="s">
        <v>497</v>
      </c>
      <c r="H13" s="21" t="s">
        <v>498</v>
      </c>
      <c r="I13" s="21" t="s">
        <v>499</v>
      </c>
      <c r="J13" s="21" t="s">
        <v>500</v>
      </c>
      <c r="K13" s="21" t="s">
        <v>501</v>
      </c>
      <c r="L13" s="21" t="s">
        <v>502</v>
      </c>
      <c r="M13" s="21" t="s">
        <v>503</v>
      </c>
      <c r="N13" s="21" t="s">
        <v>504</v>
      </c>
      <c r="O13" s="21" t="s">
        <v>505</v>
      </c>
      <c r="P13" s="21" t="s">
        <v>506</v>
      </c>
      <c r="Q13" s="21"/>
      <c r="R13" s="21"/>
      <c r="S13" s="21"/>
      <c r="T13" s="21"/>
    </row>
    <row r="14" spans="1:22" x14ac:dyDescent="0.25">
      <c r="A14" t="s">
        <v>151</v>
      </c>
      <c r="B14" s="5">
        <v>0.74305555555555558</v>
      </c>
      <c r="C14" s="3" t="s">
        <v>104</v>
      </c>
      <c r="D14" s="21" t="s">
        <v>507</v>
      </c>
      <c r="E14" s="21" t="s">
        <v>508</v>
      </c>
      <c r="F14" s="21" t="s">
        <v>509</v>
      </c>
      <c r="G14" s="21" t="s">
        <v>510</v>
      </c>
      <c r="H14" s="21" t="s">
        <v>511</v>
      </c>
      <c r="I14" s="21" t="s">
        <v>512</v>
      </c>
      <c r="J14" s="21" t="s">
        <v>513</v>
      </c>
      <c r="K14" s="21" t="s">
        <v>514</v>
      </c>
      <c r="L14" s="21" t="s">
        <v>515</v>
      </c>
      <c r="M14" s="21" t="s">
        <v>516</v>
      </c>
      <c r="N14" s="21"/>
      <c r="O14" s="21"/>
      <c r="P14" s="21"/>
      <c r="Q14" s="21"/>
      <c r="R14" s="21"/>
      <c r="S14" s="21"/>
      <c r="T14" s="21"/>
    </row>
    <row r="15" spans="1:22" x14ac:dyDescent="0.25">
      <c r="A15" t="s">
        <v>152</v>
      </c>
      <c r="B15" s="2">
        <v>9.7222222222222224E-2</v>
      </c>
      <c r="C15" s="3" t="s">
        <v>105</v>
      </c>
      <c r="D15" s="21" t="s">
        <v>517</v>
      </c>
      <c r="E15" s="21" t="s">
        <v>518</v>
      </c>
      <c r="F15" s="21" t="s">
        <v>519</v>
      </c>
      <c r="G15" s="21" t="s">
        <v>520</v>
      </c>
      <c r="H15" s="21" t="s">
        <v>521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</row>
    <row r="16" spans="1:22" x14ac:dyDescent="0.25">
      <c r="A16" t="s">
        <v>153</v>
      </c>
      <c r="B16" s="2">
        <v>0.63194444444444442</v>
      </c>
      <c r="C16" s="3" t="s">
        <v>106</v>
      </c>
      <c r="D16" s="21" t="s">
        <v>522</v>
      </c>
      <c r="E16" s="21" t="s">
        <v>523</v>
      </c>
      <c r="F16" s="21" t="s">
        <v>524</v>
      </c>
      <c r="G16" s="21" t="s">
        <v>525</v>
      </c>
      <c r="H16" s="21" t="s">
        <v>526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</row>
    <row r="17" spans="1:20" x14ac:dyDescent="0.25">
      <c r="A17" t="s">
        <v>154</v>
      </c>
      <c r="B17" s="2">
        <v>0.12569444444444444</v>
      </c>
      <c r="C17" s="3" t="s">
        <v>107</v>
      </c>
      <c r="D17" s="21" t="s">
        <v>527</v>
      </c>
      <c r="E17" s="21" t="s">
        <v>528</v>
      </c>
      <c r="F17" s="21" t="s">
        <v>529</v>
      </c>
      <c r="G17" s="21" t="s">
        <v>530</v>
      </c>
      <c r="H17" s="21" t="s">
        <v>531</v>
      </c>
      <c r="I17" s="21" t="s">
        <v>532</v>
      </c>
      <c r="J17" s="21" t="s">
        <v>533</v>
      </c>
      <c r="K17" s="21"/>
      <c r="L17" s="21"/>
      <c r="M17" s="21"/>
      <c r="N17" s="21"/>
      <c r="O17" s="21"/>
      <c r="P17" s="21"/>
      <c r="Q17" s="21"/>
      <c r="R17" s="21"/>
      <c r="S17" s="21"/>
      <c r="T17" s="21"/>
    </row>
    <row r="18" spans="1:20" x14ac:dyDescent="0.25">
      <c r="A18" t="s">
        <v>155</v>
      </c>
      <c r="B18" s="2">
        <v>0.28125</v>
      </c>
      <c r="C18" s="3" t="s">
        <v>108</v>
      </c>
      <c r="D18" s="21" t="s">
        <v>534</v>
      </c>
      <c r="E18" s="21" t="s">
        <v>535</v>
      </c>
      <c r="F18" s="21" t="s">
        <v>536</v>
      </c>
      <c r="G18" s="21" t="s">
        <v>537</v>
      </c>
      <c r="H18" s="21" t="s">
        <v>538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</row>
    <row r="19" spans="1:20" x14ac:dyDescent="0.25">
      <c r="A19" t="s">
        <v>156</v>
      </c>
      <c r="B19" s="2">
        <v>0.4513888888888889</v>
      </c>
      <c r="C19" s="3" t="s">
        <v>109</v>
      </c>
      <c r="D19" s="21" t="s">
        <v>539</v>
      </c>
      <c r="E19" s="21" t="s">
        <v>540</v>
      </c>
      <c r="F19" s="21" t="s">
        <v>485</v>
      </c>
      <c r="G19" s="21" t="s">
        <v>486</v>
      </c>
      <c r="H19" s="21" t="s">
        <v>541</v>
      </c>
      <c r="I19" s="21" t="s">
        <v>542</v>
      </c>
      <c r="J19" s="21" t="s">
        <v>543</v>
      </c>
      <c r="K19" s="21" t="s">
        <v>544</v>
      </c>
      <c r="L19" s="21" t="s">
        <v>545</v>
      </c>
      <c r="M19" s="21" t="s">
        <v>546</v>
      </c>
      <c r="N19" s="21" t="s">
        <v>547</v>
      </c>
      <c r="O19" s="21"/>
      <c r="P19" s="21"/>
      <c r="Q19" s="21"/>
      <c r="R19" s="21"/>
      <c r="S19" s="21"/>
      <c r="T19" s="21"/>
    </row>
    <row r="20" spans="1:20" x14ac:dyDescent="0.25">
      <c r="A20" t="s">
        <v>157</v>
      </c>
      <c r="B20" s="2">
        <v>0.74305555555555558</v>
      </c>
      <c r="C20" s="3" t="s">
        <v>110</v>
      </c>
      <c r="D20" s="21" t="s">
        <v>548</v>
      </c>
      <c r="E20" s="21" t="s">
        <v>549</v>
      </c>
      <c r="F20" s="21" t="s">
        <v>550</v>
      </c>
      <c r="G20" s="21" t="s">
        <v>551</v>
      </c>
      <c r="H20" s="21" t="s">
        <v>552</v>
      </c>
      <c r="I20" s="21" t="s">
        <v>553</v>
      </c>
      <c r="J20" s="21" t="s">
        <v>554</v>
      </c>
      <c r="K20" s="21" t="s">
        <v>555</v>
      </c>
      <c r="L20" s="21" t="s">
        <v>556</v>
      </c>
      <c r="M20" s="21" t="s">
        <v>557</v>
      </c>
      <c r="N20" s="21" t="s">
        <v>558</v>
      </c>
      <c r="O20" s="21"/>
      <c r="P20" s="21"/>
      <c r="Q20" s="21"/>
      <c r="R20" s="21"/>
      <c r="S20" s="21"/>
      <c r="T20" s="21"/>
    </row>
    <row r="21" spans="1:20" x14ac:dyDescent="0.25">
      <c r="A21" t="s">
        <v>158</v>
      </c>
      <c r="B21" s="2">
        <v>0.55763888888888891</v>
      </c>
      <c r="C21" s="3" t="s">
        <v>111</v>
      </c>
      <c r="D21" s="21" t="s">
        <v>559</v>
      </c>
      <c r="E21" s="21" t="s">
        <v>560</v>
      </c>
      <c r="F21" s="21" t="s">
        <v>561</v>
      </c>
      <c r="G21" s="21" t="s">
        <v>562</v>
      </c>
      <c r="H21" s="21" t="s">
        <v>563</v>
      </c>
      <c r="I21" s="21" t="s">
        <v>564</v>
      </c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</row>
    <row r="22" spans="1:20" x14ac:dyDescent="0.25">
      <c r="A22" t="s">
        <v>159</v>
      </c>
      <c r="B22" s="5">
        <v>0.49791666666666667</v>
      </c>
      <c r="C22" s="3" t="s">
        <v>112</v>
      </c>
      <c r="D22" s="21" t="s">
        <v>565</v>
      </c>
      <c r="E22" s="21" t="s">
        <v>566</v>
      </c>
      <c r="F22" s="21" t="s">
        <v>567</v>
      </c>
      <c r="G22" s="21" t="s">
        <v>568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</row>
    <row r="23" spans="1:20" x14ac:dyDescent="0.25">
      <c r="A23" t="s">
        <v>160</v>
      </c>
      <c r="B23" s="2">
        <v>0.36249999999999999</v>
      </c>
      <c r="C23" s="3" t="s">
        <v>113</v>
      </c>
      <c r="D23" s="21" t="s">
        <v>569</v>
      </c>
      <c r="E23" s="21" t="s">
        <v>570</v>
      </c>
      <c r="F23" s="21" t="s">
        <v>571</v>
      </c>
      <c r="G23" s="21" t="s">
        <v>572</v>
      </c>
      <c r="H23" s="21" t="s">
        <v>573</v>
      </c>
      <c r="I23" s="21" t="s">
        <v>574</v>
      </c>
      <c r="J23" s="21" t="s">
        <v>575</v>
      </c>
      <c r="K23" s="21" t="s">
        <v>576</v>
      </c>
      <c r="L23" s="21" t="s">
        <v>577</v>
      </c>
      <c r="M23" s="21"/>
      <c r="N23" s="21"/>
      <c r="O23" s="21"/>
      <c r="P23" s="21"/>
      <c r="Q23" s="21"/>
      <c r="R23" s="21"/>
      <c r="S23" s="21"/>
      <c r="T23" s="21"/>
    </row>
    <row r="24" spans="1:20" x14ac:dyDescent="0.25">
      <c r="A24" t="s">
        <v>161</v>
      </c>
      <c r="B24" s="2">
        <v>0.17916666666666667</v>
      </c>
      <c r="C24" s="3" t="s">
        <v>114</v>
      </c>
      <c r="D24" s="21" t="s">
        <v>578</v>
      </c>
      <c r="E24" s="21" t="s">
        <v>579</v>
      </c>
      <c r="F24" s="21" t="s">
        <v>580</v>
      </c>
      <c r="G24" s="21" t="s">
        <v>581</v>
      </c>
      <c r="H24" s="21" t="s">
        <v>582</v>
      </c>
      <c r="I24" s="21" t="s">
        <v>583</v>
      </c>
      <c r="J24" s="21" t="s">
        <v>584</v>
      </c>
      <c r="K24" s="21" t="s">
        <v>585</v>
      </c>
      <c r="L24" s="21" t="s">
        <v>586</v>
      </c>
      <c r="M24" s="21" t="s">
        <v>587</v>
      </c>
      <c r="N24" s="21" t="s">
        <v>588</v>
      </c>
      <c r="O24" s="21" t="s">
        <v>589</v>
      </c>
      <c r="P24" s="21" t="s">
        <v>590</v>
      </c>
      <c r="Q24" s="21"/>
      <c r="R24" s="21"/>
      <c r="S24" s="21"/>
      <c r="T24" s="21"/>
    </row>
    <row r="25" spans="1:20" x14ac:dyDescent="0.25">
      <c r="A25" t="s">
        <v>162</v>
      </c>
      <c r="B25" s="2">
        <v>0.44930555555555557</v>
      </c>
      <c r="C25" s="3" t="s">
        <v>115</v>
      </c>
      <c r="D25" s="21" t="s">
        <v>591</v>
      </c>
      <c r="E25" s="21" t="s">
        <v>592</v>
      </c>
      <c r="F25" s="21" t="s">
        <v>593</v>
      </c>
      <c r="G25" s="21" t="s">
        <v>549</v>
      </c>
      <c r="H25" s="21" t="s">
        <v>594</v>
      </c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</row>
    <row r="26" spans="1:20" x14ac:dyDescent="0.25">
      <c r="A26" t="s">
        <v>163</v>
      </c>
      <c r="B26" s="2">
        <v>0.29375000000000001</v>
      </c>
      <c r="C26" s="3" t="s">
        <v>116</v>
      </c>
      <c r="D26" s="21" t="s">
        <v>595</v>
      </c>
      <c r="E26" s="21" t="s">
        <v>596</v>
      </c>
      <c r="F26" s="21" t="s">
        <v>597</v>
      </c>
      <c r="G26" s="21" t="s">
        <v>598</v>
      </c>
      <c r="H26" s="21" t="s">
        <v>599</v>
      </c>
      <c r="I26" s="21" t="s">
        <v>600</v>
      </c>
      <c r="J26" s="21" t="s">
        <v>601</v>
      </c>
      <c r="K26" s="21" t="s">
        <v>602</v>
      </c>
      <c r="L26" s="21" t="s">
        <v>603</v>
      </c>
      <c r="M26" s="21" t="s">
        <v>604</v>
      </c>
      <c r="N26" s="21" t="s">
        <v>605</v>
      </c>
      <c r="O26" s="21" t="s">
        <v>606</v>
      </c>
      <c r="P26" s="21"/>
      <c r="Q26" s="21"/>
      <c r="R26" s="21"/>
      <c r="S26" s="21"/>
      <c r="T26" s="21"/>
    </row>
    <row r="27" spans="1:20" x14ac:dyDescent="0.25">
      <c r="A27" t="s">
        <v>164</v>
      </c>
      <c r="B27" s="2">
        <v>0.26250000000000001</v>
      </c>
      <c r="C27" s="3" t="s">
        <v>117</v>
      </c>
      <c r="D27" s="21" t="s">
        <v>607</v>
      </c>
      <c r="E27" s="21" t="s">
        <v>608</v>
      </c>
      <c r="F27" s="21" t="s">
        <v>609</v>
      </c>
      <c r="G27" s="21" t="s">
        <v>610</v>
      </c>
      <c r="H27" s="21" t="s">
        <v>611</v>
      </c>
      <c r="I27" s="21" t="s">
        <v>612</v>
      </c>
      <c r="J27" s="21" t="s">
        <v>613</v>
      </c>
      <c r="K27" s="21"/>
      <c r="L27" s="21"/>
      <c r="M27" s="21"/>
      <c r="N27" s="21"/>
      <c r="O27" s="21"/>
      <c r="P27" s="21"/>
      <c r="Q27" s="21"/>
      <c r="R27" s="21"/>
      <c r="S27" s="21"/>
      <c r="T27" s="21"/>
    </row>
    <row r="28" spans="1:20" x14ac:dyDescent="0.25">
      <c r="A28" t="s">
        <v>165</v>
      </c>
      <c r="B28" s="2">
        <v>0.73402777777777772</v>
      </c>
      <c r="C28" s="3" t="s">
        <v>118</v>
      </c>
      <c r="D28" s="21" t="s">
        <v>614</v>
      </c>
      <c r="E28" s="21" t="s">
        <v>615</v>
      </c>
      <c r="F28" s="21" t="s">
        <v>616</v>
      </c>
      <c r="G28" s="21" t="s">
        <v>617</v>
      </c>
      <c r="H28" s="21" t="s">
        <v>618</v>
      </c>
      <c r="I28" s="21" t="s">
        <v>619</v>
      </c>
      <c r="J28" s="21" t="s">
        <v>620</v>
      </c>
      <c r="K28" s="21"/>
      <c r="L28" s="21"/>
      <c r="M28" s="21"/>
      <c r="N28" s="21"/>
      <c r="O28" s="21"/>
      <c r="P28" s="21"/>
      <c r="Q28" s="21"/>
      <c r="R28" s="21"/>
      <c r="S28" s="21"/>
      <c r="T28" s="21"/>
    </row>
    <row r="29" spans="1:20" x14ac:dyDescent="0.25">
      <c r="A29" t="s">
        <v>166</v>
      </c>
      <c r="B29" s="2">
        <v>0.10069444444444445</v>
      </c>
      <c r="C29" s="3" t="s">
        <v>119</v>
      </c>
      <c r="D29" s="21" t="s">
        <v>621</v>
      </c>
      <c r="E29" s="21" t="s">
        <v>622</v>
      </c>
      <c r="F29" s="21" t="s">
        <v>623</v>
      </c>
      <c r="G29" s="21" t="s">
        <v>624</v>
      </c>
      <c r="H29" s="21" t="s">
        <v>625</v>
      </c>
      <c r="I29" s="21" t="s">
        <v>626</v>
      </c>
      <c r="J29" s="21" t="s">
        <v>627</v>
      </c>
      <c r="K29" s="21" t="s">
        <v>628</v>
      </c>
      <c r="L29" s="21" t="s">
        <v>629</v>
      </c>
      <c r="M29" s="21" t="s">
        <v>630</v>
      </c>
      <c r="N29" s="21" t="s">
        <v>631</v>
      </c>
      <c r="O29" s="21" t="s">
        <v>632</v>
      </c>
      <c r="P29" s="21"/>
      <c r="Q29" s="21"/>
      <c r="R29" s="21"/>
      <c r="S29" s="21"/>
      <c r="T29" s="21"/>
    </row>
    <row r="30" spans="1:20" x14ac:dyDescent="0.25">
      <c r="A30" t="s">
        <v>167</v>
      </c>
      <c r="B30" s="2">
        <v>0.93333333333333335</v>
      </c>
      <c r="C30" s="3" t="s">
        <v>120</v>
      </c>
      <c r="D30" s="21" t="s">
        <v>633</v>
      </c>
      <c r="E30" s="21" t="s">
        <v>634</v>
      </c>
      <c r="F30" s="21" t="s">
        <v>634</v>
      </c>
      <c r="G30" s="21" t="s">
        <v>635</v>
      </c>
      <c r="H30" s="21" t="s">
        <v>636</v>
      </c>
      <c r="I30" s="21" t="s">
        <v>637</v>
      </c>
      <c r="J30" s="21" t="s">
        <v>638</v>
      </c>
      <c r="K30" s="21" t="s">
        <v>639</v>
      </c>
      <c r="L30" s="21" t="s">
        <v>640</v>
      </c>
      <c r="M30" s="21"/>
      <c r="N30" s="21"/>
      <c r="O30" s="21"/>
      <c r="P30" s="21"/>
      <c r="Q30" s="21"/>
      <c r="R30" s="21"/>
      <c r="S30" s="21"/>
      <c r="T30" s="21"/>
    </row>
    <row r="31" spans="1:20" x14ac:dyDescent="0.25">
      <c r="A31" t="s">
        <v>168</v>
      </c>
      <c r="B31" s="2">
        <v>0.24583333333333332</v>
      </c>
      <c r="C31" s="3" t="s">
        <v>121</v>
      </c>
      <c r="D31" s="21" t="s">
        <v>641</v>
      </c>
      <c r="E31" s="21" t="s">
        <v>642</v>
      </c>
      <c r="F31" s="21" t="s">
        <v>643</v>
      </c>
      <c r="G31" s="21" t="s">
        <v>644</v>
      </c>
      <c r="H31" s="21" t="s">
        <v>645</v>
      </c>
      <c r="I31" s="21" t="s">
        <v>646</v>
      </c>
      <c r="J31" s="21" t="s">
        <v>647</v>
      </c>
      <c r="K31" s="21" t="s">
        <v>648</v>
      </c>
      <c r="L31" s="21"/>
      <c r="M31" s="21"/>
      <c r="N31" s="21"/>
      <c r="O31" s="21"/>
      <c r="P31" s="21"/>
      <c r="Q31" s="21"/>
      <c r="R31" s="21"/>
      <c r="S31" s="21"/>
      <c r="T31" s="21"/>
    </row>
    <row r="32" spans="1:20" x14ac:dyDescent="0.25">
      <c r="A32" t="s">
        <v>169</v>
      </c>
      <c r="B32" s="2">
        <v>0.53472222222222221</v>
      </c>
      <c r="C32" s="3" t="s">
        <v>122</v>
      </c>
      <c r="D32" s="21" t="s">
        <v>649</v>
      </c>
      <c r="E32" s="21" t="s">
        <v>650</v>
      </c>
      <c r="F32" s="21" t="s">
        <v>651</v>
      </c>
      <c r="G32" s="21" t="s">
        <v>652</v>
      </c>
      <c r="H32" s="21" t="s">
        <v>653</v>
      </c>
      <c r="I32" s="21" t="s">
        <v>654</v>
      </c>
      <c r="J32" s="21" t="s">
        <v>655</v>
      </c>
      <c r="K32" s="21"/>
      <c r="L32" s="21"/>
      <c r="M32" s="21"/>
      <c r="N32" s="21"/>
      <c r="O32" s="21"/>
      <c r="P32" s="21"/>
      <c r="Q32" s="21"/>
      <c r="R32" s="21"/>
      <c r="S32" s="21"/>
      <c r="T32" s="21"/>
    </row>
    <row r="33" spans="1:20" x14ac:dyDescent="0.25">
      <c r="A33" t="s">
        <v>170</v>
      </c>
      <c r="B33" s="2">
        <v>0.73611111111111116</v>
      </c>
      <c r="C33" s="3" t="s">
        <v>123</v>
      </c>
      <c r="D33" s="21" t="s">
        <v>656</v>
      </c>
      <c r="E33" s="21" t="s">
        <v>657</v>
      </c>
      <c r="F33" s="21" t="s">
        <v>658</v>
      </c>
      <c r="G33" s="21" t="s">
        <v>659</v>
      </c>
      <c r="H33" s="21" t="s">
        <v>660</v>
      </c>
      <c r="I33" s="21" t="s">
        <v>661</v>
      </c>
      <c r="J33" s="21" t="s">
        <v>662</v>
      </c>
      <c r="K33" s="21" t="s">
        <v>663</v>
      </c>
      <c r="L33" s="21" t="s">
        <v>664</v>
      </c>
      <c r="M33" s="21" t="s">
        <v>665</v>
      </c>
      <c r="N33" s="21"/>
      <c r="O33" s="21"/>
      <c r="P33" s="21"/>
      <c r="Q33" s="21"/>
      <c r="R33" s="21"/>
      <c r="S33" s="21"/>
      <c r="T33" s="21"/>
    </row>
    <row r="34" spans="1:20" x14ac:dyDescent="0.25">
      <c r="A34" t="s">
        <v>171</v>
      </c>
      <c r="B34" s="2">
        <v>0.47916666666666669</v>
      </c>
      <c r="C34" s="3" t="s">
        <v>124</v>
      </c>
      <c r="D34" s="21" t="s">
        <v>666</v>
      </c>
      <c r="E34" s="21" t="s">
        <v>667</v>
      </c>
      <c r="F34" s="21" t="s">
        <v>668</v>
      </c>
      <c r="G34" s="21" t="s">
        <v>669</v>
      </c>
      <c r="H34" s="21" t="s">
        <v>670</v>
      </c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</row>
    <row r="35" spans="1:20" x14ac:dyDescent="0.25">
      <c r="A35" t="s">
        <v>172</v>
      </c>
      <c r="B35" s="2">
        <v>0.95138888888888884</v>
      </c>
      <c r="C35" s="3" t="s">
        <v>125</v>
      </c>
      <c r="D35" s="21" t="s">
        <v>671</v>
      </c>
      <c r="E35" s="21" t="s">
        <v>659</v>
      </c>
      <c r="F35" s="21" t="s">
        <v>672</v>
      </c>
      <c r="G35" s="21" t="s">
        <v>660</v>
      </c>
      <c r="H35" s="21" t="s">
        <v>661</v>
      </c>
      <c r="I35" s="21" t="s">
        <v>663</v>
      </c>
      <c r="J35" s="21" t="s">
        <v>664</v>
      </c>
      <c r="K35" s="21"/>
      <c r="L35" s="21"/>
      <c r="M35" s="21"/>
      <c r="N35" s="21"/>
      <c r="O35" s="21"/>
      <c r="P35" s="21"/>
      <c r="Q35" s="21"/>
      <c r="R35" s="21"/>
      <c r="S35" s="21"/>
      <c r="T35" s="21"/>
    </row>
    <row r="36" spans="1:20" x14ac:dyDescent="0.25">
      <c r="A36" t="s">
        <v>173</v>
      </c>
      <c r="B36" s="2">
        <v>0.84583333333333333</v>
      </c>
      <c r="C36" s="11" t="s">
        <v>126</v>
      </c>
      <c r="D36" s="21" t="s">
        <v>673</v>
      </c>
      <c r="E36" s="21" t="s">
        <v>674</v>
      </c>
      <c r="F36" s="21" t="s">
        <v>675</v>
      </c>
      <c r="G36" s="21" t="s">
        <v>676</v>
      </c>
      <c r="H36" s="21" t="s">
        <v>677</v>
      </c>
      <c r="I36" s="21" t="s">
        <v>678</v>
      </c>
      <c r="J36" s="21" t="s">
        <v>679</v>
      </c>
      <c r="K36" s="21" t="s">
        <v>680</v>
      </c>
      <c r="L36" s="21"/>
      <c r="M36" s="21"/>
      <c r="N36" s="21"/>
      <c r="O36" s="21"/>
      <c r="P36" s="21"/>
      <c r="Q36" s="21"/>
      <c r="R36" s="21"/>
      <c r="S36" s="21"/>
      <c r="T36" s="21"/>
    </row>
    <row r="37" spans="1:20" x14ac:dyDescent="0.25">
      <c r="A37" t="s">
        <v>174</v>
      </c>
      <c r="B37" s="2">
        <v>0.4548611111111111</v>
      </c>
      <c r="C37" s="11" t="s">
        <v>127</v>
      </c>
      <c r="D37" s="21" t="s">
        <v>681</v>
      </c>
      <c r="E37" s="21" t="s">
        <v>682</v>
      </c>
      <c r="F37" s="21" t="s">
        <v>683</v>
      </c>
      <c r="G37" s="21" t="s">
        <v>684</v>
      </c>
      <c r="H37" s="21" t="s">
        <v>685</v>
      </c>
      <c r="I37" s="21" t="s">
        <v>686</v>
      </c>
      <c r="J37" s="21" t="s">
        <v>687</v>
      </c>
      <c r="K37" s="21" t="s">
        <v>688</v>
      </c>
      <c r="L37" s="21"/>
      <c r="M37" s="21"/>
      <c r="N37" s="21"/>
      <c r="O37" s="21"/>
      <c r="P37" s="21"/>
      <c r="Q37" s="21"/>
      <c r="R37" s="21"/>
      <c r="S37" s="21"/>
      <c r="T37" s="21"/>
    </row>
    <row r="38" spans="1:20" x14ac:dyDescent="0.25">
      <c r="A38" t="s">
        <v>175</v>
      </c>
      <c r="B38" s="2">
        <v>0.83611111111111114</v>
      </c>
      <c r="C38" s="11" t="s">
        <v>128</v>
      </c>
      <c r="D38" s="21" t="s">
        <v>689</v>
      </c>
      <c r="E38" s="21" t="s">
        <v>690</v>
      </c>
      <c r="F38" s="21" t="s">
        <v>691</v>
      </c>
      <c r="G38" s="21" t="s">
        <v>692</v>
      </c>
      <c r="H38" s="21" t="s">
        <v>693</v>
      </c>
      <c r="I38" s="21" t="s">
        <v>694</v>
      </c>
      <c r="J38" s="21" t="s">
        <v>695</v>
      </c>
      <c r="K38" s="21" t="s">
        <v>696</v>
      </c>
      <c r="L38" s="21" t="s">
        <v>697</v>
      </c>
      <c r="M38" s="21"/>
      <c r="N38" s="21"/>
      <c r="O38" s="21"/>
      <c r="P38" s="21"/>
      <c r="Q38" s="21"/>
      <c r="R38" s="21"/>
      <c r="S38" s="21"/>
      <c r="T38" s="21"/>
    </row>
    <row r="39" spans="1:20" x14ac:dyDescent="0.25">
      <c r="A39" t="s">
        <v>176</v>
      </c>
      <c r="B39" s="2">
        <v>0.55972222222222223</v>
      </c>
      <c r="C39" s="11" t="s">
        <v>129</v>
      </c>
      <c r="D39" s="21" t="s">
        <v>698</v>
      </c>
      <c r="E39" s="21" t="s">
        <v>699</v>
      </c>
      <c r="F39" s="21" t="s">
        <v>700</v>
      </c>
      <c r="G39" s="21" t="s">
        <v>701</v>
      </c>
      <c r="H39" s="21" t="s">
        <v>702</v>
      </c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</row>
    <row r="40" spans="1:20" x14ac:dyDescent="0.25">
      <c r="A40" t="s">
        <v>177</v>
      </c>
      <c r="B40" s="2">
        <v>0.77430555555555558</v>
      </c>
      <c r="C40" s="11" t="s">
        <v>130</v>
      </c>
      <c r="D40" s="21" t="s">
        <v>703</v>
      </c>
      <c r="E40" s="21" t="s">
        <v>704</v>
      </c>
      <c r="F40" s="21" t="s">
        <v>705</v>
      </c>
      <c r="G40" s="21" t="s">
        <v>537</v>
      </c>
      <c r="H40" s="21" t="s">
        <v>538</v>
      </c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</row>
    <row r="41" spans="1:20" x14ac:dyDescent="0.25">
      <c r="A41" t="s">
        <v>178</v>
      </c>
      <c r="B41" s="2">
        <v>0.875</v>
      </c>
      <c r="C41" s="11" t="s">
        <v>131</v>
      </c>
      <c r="D41" s="21" t="s">
        <v>706</v>
      </c>
      <c r="E41" s="21" t="s">
        <v>707</v>
      </c>
      <c r="F41" s="21" t="s">
        <v>708</v>
      </c>
      <c r="G41" s="21" t="s">
        <v>709</v>
      </c>
      <c r="H41" s="21" t="s">
        <v>710</v>
      </c>
      <c r="I41" s="21" t="s">
        <v>711</v>
      </c>
      <c r="J41" s="21" t="s">
        <v>712</v>
      </c>
      <c r="K41" s="21"/>
      <c r="L41" s="21"/>
      <c r="M41" s="21"/>
      <c r="N41" s="21"/>
      <c r="O41" s="21"/>
      <c r="P41" s="21"/>
      <c r="Q41" s="21"/>
      <c r="R41" s="21"/>
      <c r="S41" s="21"/>
      <c r="T41" s="21"/>
    </row>
    <row r="42" spans="1:20" x14ac:dyDescent="0.25">
      <c r="A42" t="s">
        <v>179</v>
      </c>
      <c r="B42" s="2">
        <v>0.66666666666666663</v>
      </c>
      <c r="C42" s="11" t="s">
        <v>132</v>
      </c>
      <c r="D42" s="21" t="s">
        <v>713</v>
      </c>
      <c r="E42" s="21" t="s">
        <v>714</v>
      </c>
      <c r="F42" s="21" t="s">
        <v>715</v>
      </c>
      <c r="G42" s="21" t="s">
        <v>716</v>
      </c>
      <c r="H42" s="21" t="s">
        <v>717</v>
      </c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</row>
    <row r="43" spans="1:20" x14ac:dyDescent="0.25">
      <c r="A43" t="s">
        <v>180</v>
      </c>
      <c r="B43" s="2">
        <v>0.61736111111111114</v>
      </c>
      <c r="C43" s="11" t="s">
        <v>133</v>
      </c>
      <c r="D43" s="21" t="s">
        <v>718</v>
      </c>
      <c r="E43" s="21" t="s">
        <v>719</v>
      </c>
      <c r="F43" s="21" t="s">
        <v>720</v>
      </c>
      <c r="G43" s="21" t="s">
        <v>721</v>
      </c>
      <c r="H43" s="21" t="s">
        <v>722</v>
      </c>
      <c r="I43" s="21" t="s">
        <v>723</v>
      </c>
      <c r="J43" s="21" t="s">
        <v>724</v>
      </c>
      <c r="K43" s="21" t="s">
        <v>725</v>
      </c>
      <c r="L43" s="21"/>
      <c r="M43" s="21"/>
      <c r="N43" s="21"/>
      <c r="O43" s="21"/>
      <c r="P43" s="21"/>
      <c r="Q43" s="21"/>
      <c r="R43" s="21"/>
      <c r="S43" s="21"/>
      <c r="T43" s="21"/>
    </row>
    <row r="44" spans="1:20" x14ac:dyDescent="0.25">
      <c r="A44" t="s">
        <v>181</v>
      </c>
      <c r="B44" s="2">
        <v>0.43055555555555558</v>
      </c>
      <c r="C44" s="11" t="s">
        <v>134</v>
      </c>
      <c r="D44" s="21" t="s">
        <v>726</v>
      </c>
      <c r="E44" s="21" t="s">
        <v>727</v>
      </c>
      <c r="F44" s="21" t="s">
        <v>421</v>
      </c>
      <c r="G44" s="21" t="s">
        <v>422</v>
      </c>
      <c r="H44" s="21" t="s">
        <v>423</v>
      </c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</row>
    <row r="45" spans="1:20" x14ac:dyDescent="0.25">
      <c r="A45" t="s">
        <v>182</v>
      </c>
      <c r="B45" s="2">
        <v>0.53680555555555554</v>
      </c>
      <c r="C45" s="11" t="s">
        <v>135</v>
      </c>
      <c r="D45" s="21" t="s">
        <v>728</v>
      </c>
      <c r="E45" s="21" t="s">
        <v>729</v>
      </c>
      <c r="F45" s="21" t="s">
        <v>730</v>
      </c>
      <c r="G45" s="21" t="s">
        <v>731</v>
      </c>
      <c r="H45" s="21" t="s">
        <v>732</v>
      </c>
      <c r="I45" s="21" t="s">
        <v>733</v>
      </c>
      <c r="J45" s="21" t="s">
        <v>734</v>
      </c>
      <c r="K45" s="21" t="s">
        <v>735</v>
      </c>
      <c r="L45" s="21" t="s">
        <v>736</v>
      </c>
      <c r="M45" s="21" t="s">
        <v>737</v>
      </c>
      <c r="N45" s="21" t="s">
        <v>738</v>
      </c>
      <c r="O45" s="21" t="s">
        <v>739</v>
      </c>
      <c r="P45" s="21"/>
      <c r="Q45" s="21"/>
      <c r="R45" s="21"/>
      <c r="S45" s="21"/>
      <c r="T45" s="21"/>
    </row>
    <row r="46" spans="1:20" x14ac:dyDescent="0.25">
      <c r="A46" t="s">
        <v>183</v>
      </c>
      <c r="B46" s="2">
        <v>0.33402777777777776</v>
      </c>
      <c r="C46" s="3" t="s">
        <v>136</v>
      </c>
      <c r="D46" s="21" t="s">
        <v>740</v>
      </c>
      <c r="E46" s="21" t="s">
        <v>741</v>
      </c>
      <c r="F46" s="21" t="s">
        <v>742</v>
      </c>
      <c r="G46" s="21" t="s">
        <v>743</v>
      </c>
      <c r="H46" s="21" t="s">
        <v>744</v>
      </c>
      <c r="I46" s="21" t="s">
        <v>745</v>
      </c>
      <c r="J46" s="21" t="s">
        <v>746</v>
      </c>
      <c r="K46" s="21" t="s">
        <v>747</v>
      </c>
      <c r="L46" s="21"/>
      <c r="M46" s="21"/>
      <c r="N46" s="21"/>
      <c r="O46" s="21"/>
      <c r="P46" s="21"/>
      <c r="Q46" s="21"/>
      <c r="R46" s="21"/>
      <c r="S46" s="21"/>
      <c r="T46" s="21"/>
    </row>
    <row r="51" spans="1:29" x14ac:dyDescent="0.25">
      <c r="A51" t="s">
        <v>184</v>
      </c>
      <c r="B51" t="s">
        <v>185</v>
      </c>
      <c r="C51" t="s">
        <v>186</v>
      </c>
      <c r="AB51" s="3"/>
      <c r="AC51" s="2"/>
    </row>
    <row r="52" spans="1:29" x14ac:dyDescent="0.25">
      <c r="A52" s="3" t="s">
        <v>92</v>
      </c>
      <c r="B52" s="2">
        <v>0.50694444444444442</v>
      </c>
      <c r="C52">
        <v>5.3499999999999999E-2</v>
      </c>
      <c r="E52" t="str">
        <f>TEXT(A52,"yyyy/mm/dd") &amp; " " &amp; TEXT(B52,"hh:mm:ss")</f>
        <v>2019/10/26 12:10:00</v>
      </c>
      <c r="I52" s="3" t="s">
        <v>92</v>
      </c>
      <c r="J52" s="3" t="s">
        <v>92</v>
      </c>
      <c r="K52" s="3" t="s">
        <v>187</v>
      </c>
      <c r="L52" s="11" t="s">
        <v>188</v>
      </c>
      <c r="M52" s="3" t="s">
        <v>188</v>
      </c>
      <c r="N52" s="3" t="s">
        <v>189</v>
      </c>
      <c r="O52" s="3" t="s">
        <v>190</v>
      </c>
      <c r="P52" s="10" t="s">
        <v>191</v>
      </c>
      <c r="S52" s="3"/>
      <c r="T52" s="2"/>
      <c r="U52" s="3"/>
      <c r="V52" s="2"/>
      <c r="W52" s="3"/>
      <c r="X52" s="2"/>
      <c r="Y52" s="2"/>
      <c r="AB52" s="3"/>
      <c r="AC52" s="2"/>
    </row>
    <row r="53" spans="1:29" x14ac:dyDescent="0.25">
      <c r="A53" s="3" t="s">
        <v>92</v>
      </c>
      <c r="B53" s="2">
        <v>0.7006944444444444</v>
      </c>
      <c r="C53">
        <v>5.7700000000000001E-2</v>
      </c>
      <c r="E53" t="str">
        <f t="shared" ref="E53:E116" si="0">TEXT(A53,"yyyy/mm/dd") &amp; " " &amp; TEXT(B53,"hh:mm:ss")</f>
        <v>2019/10/26 16:49:00</v>
      </c>
      <c r="I53" s="2">
        <v>0.50694444444444442</v>
      </c>
      <c r="J53" s="2">
        <v>0.7006944444444444</v>
      </c>
      <c r="K53" s="2">
        <v>3.1944444444444449E-2</v>
      </c>
      <c r="L53" s="2">
        <v>6.2499999999999995E-3</v>
      </c>
      <c r="M53" s="2">
        <v>0.66180555555555554</v>
      </c>
      <c r="N53" s="2">
        <v>6.9444444444444441E-3</v>
      </c>
      <c r="O53" s="2">
        <v>1.1111111111111112E-2</v>
      </c>
      <c r="P53" s="9">
        <v>0.23819444444444446</v>
      </c>
      <c r="R53" s="3"/>
      <c r="S53" s="2"/>
      <c r="T53" s="3"/>
      <c r="U53" s="2"/>
      <c r="V53" s="3"/>
      <c r="W53" s="2"/>
      <c r="X53" s="11"/>
      <c r="AB53" s="3"/>
      <c r="AC53" s="2"/>
    </row>
    <row r="54" spans="1:29" x14ac:dyDescent="0.25">
      <c r="A54" s="3" t="s">
        <v>187</v>
      </c>
      <c r="B54" s="2">
        <v>3.1944444444444449E-2</v>
      </c>
      <c r="C54">
        <v>4.3799999999999999E-2</v>
      </c>
      <c r="E54" t="str">
        <f t="shared" si="0"/>
        <v>2019/10/27 00:46:00</v>
      </c>
      <c r="I54" s="14">
        <v>5.3499999999999999E-2</v>
      </c>
      <c r="J54">
        <v>5.7700000000000001E-2</v>
      </c>
      <c r="K54">
        <v>4.3799999999999999E-2</v>
      </c>
      <c r="L54">
        <v>3.4200000000000001E-2</v>
      </c>
      <c r="M54">
        <v>3.15E-2</v>
      </c>
      <c r="N54">
        <v>2.4399999999999998E-2</v>
      </c>
      <c r="O54">
        <v>1.9E-2</v>
      </c>
      <c r="P54" s="12">
        <v>1.2800000000000001E-2</v>
      </c>
      <c r="AB54" s="11"/>
      <c r="AC54" s="2"/>
    </row>
    <row r="55" spans="1:29" x14ac:dyDescent="0.25">
      <c r="A55" s="11" t="s">
        <v>188</v>
      </c>
      <c r="B55" s="2">
        <v>6.2499999999999995E-3</v>
      </c>
      <c r="C55">
        <v>3.4200000000000001E-2</v>
      </c>
      <c r="E55" t="str">
        <f t="shared" si="0"/>
        <v>2019/10/28 00:09:00</v>
      </c>
      <c r="AB55" s="3"/>
      <c r="AC55" s="2"/>
    </row>
    <row r="56" spans="1:29" x14ac:dyDescent="0.25">
      <c r="A56" s="3" t="s">
        <v>188</v>
      </c>
      <c r="B56" s="2">
        <v>0.66180555555555554</v>
      </c>
      <c r="C56">
        <v>3.15E-2</v>
      </c>
      <c r="E56" t="str">
        <f t="shared" si="0"/>
        <v>2019/10/28 15:53:00</v>
      </c>
      <c r="AB56" s="3"/>
      <c r="AC56" s="2"/>
    </row>
    <row r="57" spans="1:29" x14ac:dyDescent="0.25">
      <c r="A57" s="3" t="s">
        <v>189</v>
      </c>
      <c r="B57" s="2">
        <v>6.9444444444444441E-3</v>
      </c>
      <c r="C57">
        <v>2.4399999999999998E-2</v>
      </c>
      <c r="E57" t="str">
        <f t="shared" si="0"/>
        <v>2019/10/29 00:10:00</v>
      </c>
      <c r="AB57" s="3"/>
      <c r="AC57" s="2"/>
    </row>
    <row r="58" spans="1:29" x14ac:dyDescent="0.25">
      <c r="A58" s="3" t="s">
        <v>190</v>
      </c>
      <c r="B58" s="2">
        <v>1.1111111111111112E-2</v>
      </c>
      <c r="C58">
        <v>1.9E-2</v>
      </c>
      <c r="E58" t="str">
        <f t="shared" si="0"/>
        <v>2019/10/30 00:16:00</v>
      </c>
      <c r="AB58" s="3"/>
      <c r="AC58" s="2"/>
    </row>
    <row r="59" spans="1:29" s="19" customFormat="1" x14ac:dyDescent="0.25">
      <c r="A59" s="17" t="s">
        <v>191</v>
      </c>
      <c r="B59" s="18">
        <v>0.23819444444444446</v>
      </c>
      <c r="C59" s="19">
        <v>1.2800000000000001E-2</v>
      </c>
      <c r="E59" s="19" t="str">
        <f t="shared" si="0"/>
        <v>2019/10/31 05:43:00</v>
      </c>
      <c r="AB59" s="17"/>
      <c r="AC59" s="18"/>
    </row>
    <row r="60" spans="1:29" x14ac:dyDescent="0.25">
      <c r="A60" s="3" t="s">
        <v>93</v>
      </c>
      <c r="B60" s="2">
        <v>0.93402777777777779</v>
      </c>
      <c r="C60">
        <v>1.8100000000000002E-2</v>
      </c>
      <c r="E60" t="str">
        <f t="shared" si="0"/>
        <v>2019/07/05 22:25:00</v>
      </c>
      <c r="I60" s="3" t="s">
        <v>93</v>
      </c>
      <c r="J60" s="3" t="s">
        <v>192</v>
      </c>
      <c r="K60" s="3" t="s">
        <v>193</v>
      </c>
      <c r="L60" s="3" t="s">
        <v>194</v>
      </c>
      <c r="M60" s="3" t="s">
        <v>194</v>
      </c>
      <c r="N60" s="3" t="s">
        <v>195</v>
      </c>
      <c r="O60" s="10" t="s">
        <v>196</v>
      </c>
      <c r="AB60" s="3"/>
      <c r="AC60" s="2"/>
    </row>
    <row r="61" spans="1:29" x14ac:dyDescent="0.25">
      <c r="A61" s="3" t="s">
        <v>192</v>
      </c>
      <c r="B61" s="2">
        <v>1.0416666666666666E-2</v>
      </c>
      <c r="C61">
        <v>1.2199999999999999E-2</v>
      </c>
      <c r="E61" t="str">
        <f t="shared" si="0"/>
        <v>2019/07/06 00:15:00</v>
      </c>
      <c r="I61" s="2">
        <v>0.93402777777777779</v>
      </c>
      <c r="J61" s="2">
        <v>1.0416666666666666E-2</v>
      </c>
      <c r="K61" s="2">
        <v>6.2499999999999995E-3</v>
      </c>
      <c r="L61" s="2">
        <v>1.2499999999999999E-2</v>
      </c>
      <c r="M61" s="2">
        <v>0.72013888888888899</v>
      </c>
      <c r="N61" s="2">
        <v>1.3888888888888888E-2</v>
      </c>
      <c r="O61" s="9">
        <v>1.3888888888888889E-3</v>
      </c>
      <c r="AB61" s="3"/>
      <c r="AC61" s="2"/>
    </row>
    <row r="62" spans="1:29" x14ac:dyDescent="0.25">
      <c r="A62" s="3" t="s">
        <v>193</v>
      </c>
      <c r="B62" s="2">
        <v>6.2499999999999995E-3</v>
      </c>
      <c r="C62">
        <v>8.0999999999999996E-3</v>
      </c>
      <c r="E62" t="str">
        <f t="shared" si="0"/>
        <v>2019/07/07 00:09:00</v>
      </c>
      <c r="I62" s="14">
        <v>1.8100000000000002E-2</v>
      </c>
      <c r="J62">
        <v>1.2199999999999999E-2</v>
      </c>
      <c r="K62">
        <v>8.0999999999999996E-3</v>
      </c>
      <c r="L62">
        <v>5.7000000000000002E-3</v>
      </c>
      <c r="M62">
        <v>1.26E-2</v>
      </c>
      <c r="N62">
        <v>7.6E-3</v>
      </c>
      <c r="O62" s="12">
        <v>7.7000000000000002E-3</v>
      </c>
      <c r="AB62" s="3"/>
      <c r="AC62" s="2"/>
    </row>
    <row r="63" spans="1:29" x14ac:dyDescent="0.25">
      <c r="A63" s="3" t="s">
        <v>194</v>
      </c>
      <c r="B63" s="2">
        <v>1.2499999999999999E-2</v>
      </c>
      <c r="C63">
        <v>5.7000000000000002E-3</v>
      </c>
      <c r="E63" t="str">
        <f t="shared" si="0"/>
        <v>2019/07/08 00:18:00</v>
      </c>
      <c r="AB63" s="3"/>
      <c r="AC63" s="2"/>
    </row>
    <row r="64" spans="1:29" x14ac:dyDescent="0.25">
      <c r="A64" s="3" t="s">
        <v>194</v>
      </c>
      <c r="B64" s="2">
        <v>0.72013888888888899</v>
      </c>
      <c r="C64">
        <v>1.26E-2</v>
      </c>
      <c r="E64" t="str">
        <f t="shared" si="0"/>
        <v>2019/07/08 17:17:00</v>
      </c>
      <c r="AB64" s="3"/>
      <c r="AC64" s="2"/>
    </row>
    <row r="65" spans="1:29" x14ac:dyDescent="0.25">
      <c r="A65" s="3" t="s">
        <v>195</v>
      </c>
      <c r="B65" s="2">
        <v>1.3888888888888888E-2</v>
      </c>
      <c r="C65">
        <v>7.6E-3</v>
      </c>
      <c r="E65" t="str">
        <f t="shared" si="0"/>
        <v>2019/07/09 00:20:00</v>
      </c>
      <c r="AB65" s="3"/>
      <c r="AC65" s="2"/>
    </row>
    <row r="66" spans="1:29" s="19" customFormat="1" x14ac:dyDescent="0.25">
      <c r="A66" s="17" t="s">
        <v>196</v>
      </c>
      <c r="B66" s="18">
        <v>1.3888888888888889E-3</v>
      </c>
      <c r="C66" s="19">
        <v>7.7000000000000002E-3</v>
      </c>
      <c r="E66" s="19" t="str">
        <f t="shared" si="0"/>
        <v>2019/07/10 00:02:00</v>
      </c>
      <c r="AB66" s="17"/>
      <c r="AC66" s="18"/>
    </row>
    <row r="67" spans="1:29" x14ac:dyDescent="0.25">
      <c r="A67" s="3" t="s">
        <v>94</v>
      </c>
      <c r="B67" s="2">
        <v>0.68263888888888891</v>
      </c>
      <c r="C67">
        <v>0.158</v>
      </c>
      <c r="E67" t="str">
        <f t="shared" si="0"/>
        <v>2019/01/24 16:23:00</v>
      </c>
      <c r="I67" s="3" t="s">
        <v>94</v>
      </c>
      <c r="J67" s="3" t="s">
        <v>197</v>
      </c>
      <c r="K67" s="3" t="s">
        <v>197</v>
      </c>
      <c r="L67" s="3" t="s">
        <v>198</v>
      </c>
      <c r="M67" s="3" t="s">
        <v>199</v>
      </c>
      <c r="N67" s="10" t="s">
        <v>200</v>
      </c>
      <c r="AB67" s="3"/>
      <c r="AC67" s="2"/>
    </row>
    <row r="68" spans="1:29" x14ac:dyDescent="0.25">
      <c r="A68" s="3" t="s">
        <v>197</v>
      </c>
      <c r="B68" s="2">
        <v>1.3888888888888889E-3</v>
      </c>
      <c r="C68">
        <v>0.14399999999999999</v>
      </c>
      <c r="E68" t="str">
        <f t="shared" si="0"/>
        <v>2019/01/25 00:02:00</v>
      </c>
      <c r="I68" s="2">
        <v>0.68263888888888891</v>
      </c>
      <c r="J68" s="2">
        <v>1.3888888888888889E-3</v>
      </c>
      <c r="K68" s="2">
        <v>0.72916666666666663</v>
      </c>
      <c r="L68" s="2">
        <v>8.3333333333333332E-3</v>
      </c>
      <c r="M68" s="2">
        <v>1.2499999999999999E-2</v>
      </c>
      <c r="N68" s="9">
        <v>0.23819444444444446</v>
      </c>
      <c r="AB68" s="3"/>
      <c r="AC68" s="2"/>
    </row>
    <row r="69" spans="1:29" x14ac:dyDescent="0.25">
      <c r="A69" s="3" t="s">
        <v>197</v>
      </c>
      <c r="B69" s="2">
        <v>0.72916666666666663</v>
      </c>
      <c r="C69">
        <v>0.11</v>
      </c>
      <c r="E69" t="str">
        <f t="shared" si="0"/>
        <v>2019/01/25 17:30:00</v>
      </c>
      <c r="I69" s="14">
        <v>0.158</v>
      </c>
      <c r="J69">
        <v>0.14399999999999999</v>
      </c>
      <c r="K69">
        <v>0.11</v>
      </c>
      <c r="L69">
        <v>0.127</v>
      </c>
      <c r="M69">
        <v>0.157</v>
      </c>
      <c r="N69" s="12">
        <v>0.153</v>
      </c>
      <c r="AB69" s="3"/>
      <c r="AC69" s="2"/>
    </row>
    <row r="70" spans="1:29" x14ac:dyDescent="0.25">
      <c r="A70" s="3" t="s">
        <v>198</v>
      </c>
      <c r="B70" s="2">
        <v>8.3333333333333332E-3</v>
      </c>
      <c r="C70">
        <v>0.127</v>
      </c>
      <c r="E70" t="str">
        <f t="shared" si="0"/>
        <v>2019/01/26 00:12:00</v>
      </c>
      <c r="AB70" s="3"/>
      <c r="AC70" s="2"/>
    </row>
    <row r="71" spans="1:29" x14ac:dyDescent="0.25">
      <c r="A71" s="3" t="s">
        <v>199</v>
      </c>
      <c r="B71" s="2">
        <v>1.2499999999999999E-2</v>
      </c>
      <c r="C71">
        <v>0.157</v>
      </c>
      <c r="E71" t="str">
        <f t="shared" si="0"/>
        <v>2019/01/27 00:18:00</v>
      </c>
      <c r="AB71" s="3"/>
      <c r="AC71" s="2"/>
    </row>
    <row r="72" spans="1:29" s="19" customFormat="1" x14ac:dyDescent="0.25">
      <c r="A72" s="17" t="s">
        <v>200</v>
      </c>
      <c r="B72" s="18">
        <v>0.23819444444444446</v>
      </c>
      <c r="C72" s="19">
        <v>0.153</v>
      </c>
      <c r="E72" s="19" t="str">
        <f t="shared" si="0"/>
        <v>2019/01/28 05:43:00</v>
      </c>
      <c r="AB72" s="17"/>
      <c r="AC72" s="18"/>
    </row>
    <row r="73" spans="1:29" x14ac:dyDescent="0.25">
      <c r="A73" s="3" t="s">
        <v>201</v>
      </c>
      <c r="B73" s="2">
        <v>0.71388888888888891</v>
      </c>
      <c r="C73">
        <v>5.5E-2</v>
      </c>
      <c r="E73" t="str">
        <f t="shared" si="0"/>
        <v>2019/03/24 17:08:00</v>
      </c>
      <c r="I73" s="3" t="s">
        <v>201</v>
      </c>
      <c r="J73" s="3" t="s">
        <v>202</v>
      </c>
      <c r="K73" s="3" t="s">
        <v>202</v>
      </c>
      <c r="L73" s="3" t="s">
        <v>203</v>
      </c>
      <c r="M73" s="3" t="s">
        <v>204</v>
      </c>
      <c r="N73" s="10" t="s">
        <v>205</v>
      </c>
      <c r="AB73" s="3"/>
      <c r="AC73" s="2"/>
    </row>
    <row r="74" spans="1:29" x14ac:dyDescent="0.25">
      <c r="A74" s="3" t="s">
        <v>202</v>
      </c>
      <c r="B74" s="2">
        <v>1.1111111111111112E-2</v>
      </c>
      <c r="C74">
        <v>4.9000000000000002E-2</v>
      </c>
      <c r="E74" t="str">
        <f t="shared" si="0"/>
        <v>2019/03/25 00:16:00</v>
      </c>
      <c r="I74" s="2">
        <v>0.71388888888888891</v>
      </c>
      <c r="J74" s="2">
        <v>1.1111111111111112E-2</v>
      </c>
      <c r="K74" s="2">
        <v>0.69930555555555562</v>
      </c>
      <c r="L74" s="2">
        <v>9.0277777777777787E-3</v>
      </c>
      <c r="M74" s="2">
        <v>7.6388888888888886E-3</v>
      </c>
      <c r="N74" s="9">
        <v>2.0833333333333333E-3</v>
      </c>
      <c r="AB74" s="3"/>
      <c r="AC74" s="2"/>
    </row>
    <row r="75" spans="1:29" x14ac:dyDescent="0.25">
      <c r="A75" s="3" t="s">
        <v>202</v>
      </c>
      <c r="B75" s="2">
        <v>0.69930555555555562</v>
      </c>
      <c r="C75">
        <v>0.104</v>
      </c>
      <c r="E75" t="str">
        <f t="shared" si="0"/>
        <v>2019/03/25 16:47:00</v>
      </c>
      <c r="I75" s="14">
        <v>5.5E-2</v>
      </c>
      <c r="J75">
        <v>4.9000000000000002E-2</v>
      </c>
      <c r="K75">
        <v>0.104</v>
      </c>
      <c r="L75">
        <v>0.249</v>
      </c>
      <c r="M75">
        <v>0.17299999999999999</v>
      </c>
      <c r="N75" s="12">
        <v>0.13400000000000001</v>
      </c>
      <c r="AB75" s="3"/>
      <c r="AC75" s="2"/>
    </row>
    <row r="76" spans="1:29" x14ac:dyDescent="0.25">
      <c r="A76" s="3" t="s">
        <v>203</v>
      </c>
      <c r="B76" s="2">
        <v>9.0277777777777787E-3</v>
      </c>
      <c r="C76">
        <v>0.249</v>
      </c>
      <c r="E76" t="str">
        <f t="shared" si="0"/>
        <v>2019/03/26 00:13:00</v>
      </c>
      <c r="AB76" s="3"/>
      <c r="AC76" s="2"/>
    </row>
    <row r="77" spans="1:29" x14ac:dyDescent="0.25">
      <c r="A77" s="3" t="s">
        <v>204</v>
      </c>
      <c r="B77" s="2">
        <v>7.6388888888888886E-3</v>
      </c>
      <c r="C77">
        <v>0.17299999999999999</v>
      </c>
      <c r="E77" t="str">
        <f t="shared" si="0"/>
        <v>2019/03/27 00:11:00</v>
      </c>
      <c r="AB77" s="3"/>
      <c r="AC77" s="2"/>
    </row>
    <row r="78" spans="1:29" s="19" customFormat="1" x14ac:dyDescent="0.25">
      <c r="A78" s="17" t="s">
        <v>205</v>
      </c>
      <c r="B78" s="18">
        <v>2.0833333333333333E-3</v>
      </c>
      <c r="C78" s="19">
        <v>0.13400000000000001</v>
      </c>
      <c r="E78" s="19" t="str">
        <f t="shared" si="0"/>
        <v>2019/03/28 00:03:00</v>
      </c>
      <c r="AB78" s="17"/>
      <c r="AC78" s="18"/>
    </row>
    <row r="79" spans="1:29" x14ac:dyDescent="0.25">
      <c r="A79" s="3" t="s">
        <v>96</v>
      </c>
      <c r="B79" s="2">
        <v>0.98055555555555562</v>
      </c>
      <c r="C79">
        <v>0.08</v>
      </c>
      <c r="E79" t="str">
        <f t="shared" si="0"/>
        <v>2019/03/02 23:32:00</v>
      </c>
      <c r="I79" s="3" t="s">
        <v>96</v>
      </c>
      <c r="J79" s="3" t="s">
        <v>206</v>
      </c>
      <c r="K79" s="3" t="s">
        <v>207</v>
      </c>
      <c r="L79" s="3" t="s">
        <v>207</v>
      </c>
      <c r="M79" s="3" t="s">
        <v>208</v>
      </c>
      <c r="N79" s="10" t="s">
        <v>209</v>
      </c>
      <c r="AB79" s="3"/>
      <c r="AC79" s="2"/>
    </row>
    <row r="80" spans="1:29" x14ac:dyDescent="0.25">
      <c r="A80" s="3" t="s">
        <v>206</v>
      </c>
      <c r="B80" s="2">
        <v>1.2499999999999999E-2</v>
      </c>
      <c r="C80">
        <v>0.126</v>
      </c>
      <c r="E80" t="str">
        <f t="shared" si="0"/>
        <v>2019/03/03 00:18:00</v>
      </c>
      <c r="I80" s="2">
        <v>0.98055555555555562</v>
      </c>
      <c r="J80" s="2">
        <v>1.2499999999999999E-2</v>
      </c>
      <c r="K80" s="2">
        <v>1.5972222222222224E-2</v>
      </c>
      <c r="L80" s="2">
        <v>0.6972222222222223</v>
      </c>
      <c r="M80" s="2">
        <v>2.2916666666666669E-2</v>
      </c>
      <c r="N80" s="9">
        <v>6.2499999999999995E-3</v>
      </c>
      <c r="AB80" s="3"/>
      <c r="AC80" s="2"/>
    </row>
    <row r="81" spans="1:29" x14ac:dyDescent="0.25">
      <c r="A81" s="3" t="s">
        <v>207</v>
      </c>
      <c r="B81" s="2">
        <v>1.5972222222222224E-2</v>
      </c>
      <c r="C81">
        <v>0.13500000000000001</v>
      </c>
      <c r="E81" t="str">
        <f t="shared" si="0"/>
        <v>2019/03/04 00:23:00</v>
      </c>
      <c r="I81" s="14">
        <v>0.08</v>
      </c>
      <c r="J81">
        <v>0.126</v>
      </c>
      <c r="K81">
        <v>0.13500000000000001</v>
      </c>
      <c r="L81">
        <v>0.128</v>
      </c>
      <c r="M81">
        <v>0.12</v>
      </c>
      <c r="N81" s="12">
        <v>0.13</v>
      </c>
      <c r="AB81" s="3"/>
      <c r="AC81" s="2"/>
    </row>
    <row r="82" spans="1:29" x14ac:dyDescent="0.25">
      <c r="A82" s="3" t="s">
        <v>207</v>
      </c>
      <c r="B82" s="2">
        <v>0.6972222222222223</v>
      </c>
      <c r="C82">
        <v>0.128</v>
      </c>
      <c r="E82" t="str">
        <f t="shared" si="0"/>
        <v>2019/03/04 16:44:00</v>
      </c>
      <c r="AB82" s="3"/>
      <c r="AC82" s="2"/>
    </row>
    <row r="83" spans="1:29" x14ac:dyDescent="0.25">
      <c r="A83" s="3" t="s">
        <v>208</v>
      </c>
      <c r="B83" s="2">
        <v>2.2916666666666669E-2</v>
      </c>
      <c r="C83">
        <v>0.12</v>
      </c>
      <c r="E83" t="str">
        <f t="shared" si="0"/>
        <v>2019/03/05 00:33:00</v>
      </c>
      <c r="AB83" s="3"/>
      <c r="AC83" s="2"/>
    </row>
    <row r="84" spans="1:29" s="19" customFormat="1" x14ac:dyDescent="0.25">
      <c r="A84" s="17" t="s">
        <v>209</v>
      </c>
      <c r="B84" s="18">
        <v>6.2499999999999995E-3</v>
      </c>
      <c r="C84" s="19">
        <v>0.13</v>
      </c>
      <c r="E84" s="19" t="str">
        <f t="shared" si="0"/>
        <v>2019/03/06 00:09:00</v>
      </c>
      <c r="AB84" s="17"/>
      <c r="AC84" s="18"/>
    </row>
    <row r="85" spans="1:29" x14ac:dyDescent="0.25">
      <c r="A85" s="3" t="s">
        <v>97</v>
      </c>
      <c r="B85" s="2">
        <v>0.93125000000000002</v>
      </c>
      <c r="C85">
        <v>0.33229999999999998</v>
      </c>
      <c r="E85" t="str">
        <f t="shared" si="0"/>
        <v>2019/12/17 22:21:00</v>
      </c>
      <c r="I85" s="3" t="s">
        <v>97</v>
      </c>
      <c r="J85" s="3" t="s">
        <v>210</v>
      </c>
      <c r="K85" s="3" t="s">
        <v>210</v>
      </c>
      <c r="L85" s="3" t="s">
        <v>211</v>
      </c>
      <c r="M85" s="3" t="s">
        <v>212</v>
      </c>
      <c r="N85" s="10" t="s">
        <v>213</v>
      </c>
      <c r="AB85" s="3"/>
      <c r="AC85" s="2"/>
    </row>
    <row r="86" spans="1:29" x14ac:dyDescent="0.25">
      <c r="A86" s="3" t="s">
        <v>210</v>
      </c>
      <c r="B86" s="2">
        <v>8.3333333333333332E-3</v>
      </c>
      <c r="C86">
        <v>1.23</v>
      </c>
      <c r="E86" t="str">
        <f t="shared" si="0"/>
        <v>2019/12/18 00:12:00</v>
      </c>
      <c r="I86" s="2">
        <v>0.93125000000000002</v>
      </c>
      <c r="J86" s="2">
        <v>8.3333333333333332E-3</v>
      </c>
      <c r="K86" s="2">
        <v>0.74305555555555547</v>
      </c>
      <c r="L86" s="2">
        <v>3.472222222222222E-3</v>
      </c>
      <c r="M86" s="2">
        <v>2.9861111111111113E-2</v>
      </c>
      <c r="N86" s="9">
        <v>3.472222222222222E-3</v>
      </c>
      <c r="AB86" s="3"/>
      <c r="AC86" s="2"/>
    </row>
    <row r="87" spans="1:29" x14ac:dyDescent="0.25">
      <c r="A87" s="3" t="s">
        <v>210</v>
      </c>
      <c r="B87" s="2">
        <v>0.74305555555555547</v>
      </c>
      <c r="C87">
        <v>1.0329999999999999</v>
      </c>
      <c r="E87" t="str">
        <f t="shared" si="0"/>
        <v>2019/12/18 17:50:00</v>
      </c>
      <c r="I87" s="14">
        <v>0.33229999999999998</v>
      </c>
      <c r="J87">
        <v>1.23</v>
      </c>
      <c r="K87">
        <v>1.0329999999999999</v>
      </c>
      <c r="L87">
        <v>0.54110000000000003</v>
      </c>
      <c r="M87">
        <v>0.61420000000000008</v>
      </c>
      <c r="N87" s="12">
        <v>0.6804</v>
      </c>
      <c r="AB87" s="3"/>
      <c r="AC87" s="2"/>
    </row>
    <row r="88" spans="1:29" x14ac:dyDescent="0.25">
      <c r="A88" s="3" t="s">
        <v>211</v>
      </c>
      <c r="B88" s="2">
        <v>3.472222222222222E-3</v>
      </c>
      <c r="C88">
        <v>0.54110000000000003</v>
      </c>
      <c r="E88" t="str">
        <f t="shared" si="0"/>
        <v>2019/12/19 00:05:00</v>
      </c>
      <c r="AB88" s="3"/>
      <c r="AC88" s="2"/>
    </row>
    <row r="89" spans="1:29" x14ac:dyDescent="0.25">
      <c r="A89" s="3" t="s">
        <v>212</v>
      </c>
      <c r="B89" s="2">
        <v>2.9861111111111113E-2</v>
      </c>
      <c r="C89">
        <v>0.61420000000000008</v>
      </c>
      <c r="E89" t="str">
        <f t="shared" si="0"/>
        <v>2019/12/20 00:43:00</v>
      </c>
      <c r="AB89" s="3"/>
      <c r="AC89" s="2"/>
    </row>
    <row r="90" spans="1:29" s="19" customFormat="1" x14ac:dyDescent="0.25">
      <c r="A90" s="17" t="s">
        <v>213</v>
      </c>
      <c r="B90" s="18">
        <v>3.472222222222222E-3</v>
      </c>
      <c r="C90" s="19">
        <v>0.6804</v>
      </c>
      <c r="E90" s="19" t="str">
        <f t="shared" si="0"/>
        <v>2019/12/21 00:05:00</v>
      </c>
      <c r="AB90" s="17"/>
      <c r="AC90" s="18"/>
    </row>
    <row r="91" spans="1:29" x14ac:dyDescent="0.25">
      <c r="A91" s="3" t="s">
        <v>214</v>
      </c>
      <c r="B91" s="2">
        <v>0.48055555555555557</v>
      </c>
      <c r="C91">
        <v>1.64</v>
      </c>
      <c r="E91" t="str">
        <f t="shared" si="0"/>
        <v>2019/03/16 11:32:00</v>
      </c>
      <c r="I91" s="3" t="s">
        <v>214</v>
      </c>
      <c r="J91" s="3" t="s">
        <v>214</v>
      </c>
      <c r="K91" s="3" t="s">
        <v>214</v>
      </c>
      <c r="L91" s="3" t="s">
        <v>215</v>
      </c>
      <c r="M91" s="3" t="s">
        <v>216</v>
      </c>
      <c r="N91" s="3" t="s">
        <v>216</v>
      </c>
      <c r="O91" s="3" t="s">
        <v>217</v>
      </c>
      <c r="P91" s="3" t="s">
        <v>218</v>
      </c>
      <c r="Q91" s="3" t="s">
        <v>95</v>
      </c>
      <c r="AB91" s="3"/>
      <c r="AC91" s="2"/>
    </row>
    <row r="92" spans="1:29" x14ac:dyDescent="0.25">
      <c r="A92" s="3" t="s">
        <v>214</v>
      </c>
      <c r="B92" s="2">
        <v>0.6694444444444444</v>
      </c>
      <c r="C92">
        <v>1.9</v>
      </c>
      <c r="E92" t="str">
        <f t="shared" si="0"/>
        <v>2019/03/16 16:04:00</v>
      </c>
      <c r="I92" s="2">
        <v>0.48055555555555557</v>
      </c>
      <c r="J92" s="2">
        <v>0.6694444444444444</v>
      </c>
      <c r="K92" s="2">
        <v>0.87986111111111109</v>
      </c>
      <c r="L92" s="2">
        <v>8.3333333333333332E-3</v>
      </c>
      <c r="M92" s="2">
        <v>6.2500000000000003E-3</v>
      </c>
      <c r="N92" s="2">
        <v>0.69097222222222221</v>
      </c>
      <c r="O92" s="2">
        <v>1.8055555555555554E-2</v>
      </c>
      <c r="P92" s="2">
        <v>6.9444444444444441E-3</v>
      </c>
      <c r="Q92" s="2">
        <v>1.3888888888888888E-2</v>
      </c>
      <c r="R92" s="3" t="s">
        <v>219</v>
      </c>
      <c r="S92" s="3" t="s">
        <v>220</v>
      </c>
      <c r="T92" s="3" t="s">
        <v>201</v>
      </c>
      <c r="U92" s="3" t="s">
        <v>202</v>
      </c>
      <c r="V92" s="3" t="s">
        <v>203</v>
      </c>
      <c r="W92" s="3" t="s">
        <v>204</v>
      </c>
      <c r="X92" s="10" t="s">
        <v>205</v>
      </c>
      <c r="AB92" s="3"/>
      <c r="AC92" s="2"/>
    </row>
    <row r="93" spans="1:29" x14ac:dyDescent="0.25">
      <c r="A93" s="3" t="s">
        <v>214</v>
      </c>
      <c r="B93" s="2">
        <v>0.87986111111111109</v>
      </c>
      <c r="C93">
        <v>2.39</v>
      </c>
      <c r="E93" t="str">
        <f t="shared" si="0"/>
        <v>2019/03/16 21:07:00</v>
      </c>
      <c r="I93" s="14">
        <v>1.64</v>
      </c>
      <c r="J93">
        <v>1.9</v>
      </c>
      <c r="K93">
        <v>2.39</v>
      </c>
      <c r="L93">
        <v>2.62</v>
      </c>
      <c r="M93">
        <v>1.63</v>
      </c>
      <c r="N93">
        <v>1.1599999999999999</v>
      </c>
      <c r="O93">
        <v>1.1000000000000001</v>
      </c>
      <c r="P93">
        <v>0.79600000000000004</v>
      </c>
      <c r="Q93">
        <v>0.40699999999999997</v>
      </c>
      <c r="R93" s="2">
        <v>3.472222222222222E-3</v>
      </c>
      <c r="S93" s="2">
        <v>2.9166666666666667E-2</v>
      </c>
      <c r="T93" s="2">
        <v>3.472222222222222E-3</v>
      </c>
      <c r="U93" s="2">
        <v>1.1111111111111112E-2</v>
      </c>
      <c r="V93" s="2">
        <v>9.0277777777777769E-3</v>
      </c>
      <c r="W93" s="2">
        <v>7.6388888888888886E-3</v>
      </c>
      <c r="X93" s="9">
        <v>2.0833333333333333E-3</v>
      </c>
      <c r="AB93" s="3"/>
      <c r="AC93" s="2"/>
    </row>
    <row r="94" spans="1:29" x14ac:dyDescent="0.25">
      <c r="A94" s="3" t="s">
        <v>215</v>
      </c>
      <c r="B94" s="2">
        <v>8.3333333333333332E-3</v>
      </c>
      <c r="C94">
        <v>2.62</v>
      </c>
      <c r="E94" t="str">
        <f t="shared" si="0"/>
        <v>2019/03/17 00:12:00</v>
      </c>
      <c r="R94">
        <v>0.27100000000000002</v>
      </c>
      <c r="S94">
        <v>0.183</v>
      </c>
      <c r="T94">
        <v>0.13200000000000001</v>
      </c>
      <c r="U94">
        <v>9.9000000000000005E-2</v>
      </c>
      <c r="V94">
        <v>6.9000000000000006E-2</v>
      </c>
      <c r="W94">
        <v>5.3999999999999999E-2</v>
      </c>
      <c r="X94" s="12">
        <v>4.2000000000000003E-2</v>
      </c>
      <c r="AB94" s="3"/>
      <c r="AC94" s="2"/>
    </row>
    <row r="95" spans="1:29" x14ac:dyDescent="0.25">
      <c r="A95" s="3" t="s">
        <v>216</v>
      </c>
      <c r="B95" s="2">
        <v>6.2500000000000003E-3</v>
      </c>
      <c r="C95">
        <v>1.63</v>
      </c>
      <c r="E95" t="str">
        <f t="shared" si="0"/>
        <v>2019/03/18 00:09:00</v>
      </c>
      <c r="AB95" s="3"/>
      <c r="AC95" s="2"/>
    </row>
    <row r="96" spans="1:29" x14ac:dyDescent="0.25">
      <c r="A96" s="3" t="s">
        <v>216</v>
      </c>
      <c r="B96" s="2">
        <v>0.69097222222222221</v>
      </c>
      <c r="C96">
        <v>1.1599999999999999</v>
      </c>
      <c r="E96" t="str">
        <f t="shared" si="0"/>
        <v>2019/03/18 16:35:00</v>
      </c>
      <c r="AB96" s="3"/>
      <c r="AC96" s="2"/>
    </row>
    <row r="97" spans="1:29" x14ac:dyDescent="0.25">
      <c r="A97" s="3" t="s">
        <v>217</v>
      </c>
      <c r="B97" s="2">
        <v>1.8055555555555554E-2</v>
      </c>
      <c r="C97">
        <v>1.1000000000000001</v>
      </c>
      <c r="E97" t="str">
        <f t="shared" si="0"/>
        <v>2019/03/19 00:26:00</v>
      </c>
      <c r="AB97" s="3"/>
      <c r="AC97" s="2"/>
    </row>
    <row r="98" spans="1:29" x14ac:dyDescent="0.25">
      <c r="A98" s="3" t="s">
        <v>218</v>
      </c>
      <c r="B98" s="2">
        <v>6.9444444444444441E-3</v>
      </c>
      <c r="C98">
        <v>0.79600000000000004</v>
      </c>
      <c r="E98" t="str">
        <f t="shared" si="0"/>
        <v>2019/03/20 00:10:00</v>
      </c>
      <c r="AB98" s="3"/>
      <c r="AC98" s="2"/>
    </row>
    <row r="99" spans="1:29" x14ac:dyDescent="0.25">
      <c r="A99" s="3" t="s">
        <v>95</v>
      </c>
      <c r="B99" s="2">
        <v>1.3888888888888888E-2</v>
      </c>
      <c r="C99">
        <v>0.40699999999999997</v>
      </c>
      <c r="E99" t="str">
        <f t="shared" si="0"/>
        <v>2019/03/21 00:20:00</v>
      </c>
      <c r="AB99" s="3"/>
      <c r="AC99" s="2"/>
    </row>
    <row r="100" spans="1:29" x14ac:dyDescent="0.25">
      <c r="A100" s="3" t="s">
        <v>219</v>
      </c>
      <c r="B100" s="2">
        <v>3.472222222222222E-3</v>
      </c>
      <c r="C100">
        <v>0.27100000000000002</v>
      </c>
      <c r="E100" t="str">
        <f t="shared" si="0"/>
        <v>2019/03/22 00:05:00</v>
      </c>
      <c r="AB100" s="3"/>
      <c r="AC100" s="2"/>
    </row>
    <row r="101" spans="1:29" x14ac:dyDescent="0.25">
      <c r="A101" s="3" t="s">
        <v>220</v>
      </c>
      <c r="B101" s="2">
        <v>2.9166666666666667E-2</v>
      </c>
      <c r="C101">
        <v>0.183</v>
      </c>
      <c r="E101" t="str">
        <f t="shared" si="0"/>
        <v>2019/03/23 00:42:00</v>
      </c>
      <c r="AB101" s="3"/>
      <c r="AC101" s="2"/>
    </row>
    <row r="102" spans="1:29" x14ac:dyDescent="0.25">
      <c r="A102" s="3" t="s">
        <v>201</v>
      </c>
      <c r="B102" s="2">
        <v>3.472222222222222E-3</v>
      </c>
      <c r="C102">
        <v>0.13200000000000001</v>
      </c>
      <c r="E102" t="str">
        <f t="shared" si="0"/>
        <v>2019/03/24 00:05:00</v>
      </c>
      <c r="AB102" s="3"/>
      <c r="AC102" s="2"/>
    </row>
    <row r="103" spans="1:29" x14ac:dyDescent="0.25">
      <c r="A103" s="3" t="s">
        <v>202</v>
      </c>
      <c r="B103" s="2">
        <v>1.1111111111111112E-2</v>
      </c>
      <c r="C103">
        <v>9.9000000000000005E-2</v>
      </c>
      <c r="E103" t="str">
        <f t="shared" si="0"/>
        <v>2019/03/25 00:16:00</v>
      </c>
      <c r="AB103" s="3"/>
      <c r="AC103" s="2"/>
    </row>
    <row r="104" spans="1:29" x14ac:dyDescent="0.25">
      <c r="A104" s="3" t="s">
        <v>203</v>
      </c>
      <c r="B104" s="2">
        <v>9.0277777777777769E-3</v>
      </c>
      <c r="C104">
        <v>6.9000000000000006E-2</v>
      </c>
      <c r="E104" t="str">
        <f t="shared" si="0"/>
        <v>2019/03/26 00:13:00</v>
      </c>
      <c r="AB104" s="3"/>
      <c r="AC104" s="2"/>
    </row>
    <row r="105" spans="1:29" x14ac:dyDescent="0.25">
      <c r="A105" s="3" t="s">
        <v>204</v>
      </c>
      <c r="B105" s="2">
        <v>7.6388888888888886E-3</v>
      </c>
      <c r="C105">
        <v>5.3999999999999999E-2</v>
      </c>
      <c r="E105" t="str">
        <f t="shared" si="0"/>
        <v>2019/03/27 00:11:00</v>
      </c>
      <c r="AB105" s="3"/>
      <c r="AC105" s="2"/>
    </row>
    <row r="106" spans="1:29" s="19" customFormat="1" x14ac:dyDescent="0.25">
      <c r="A106" s="17" t="s">
        <v>205</v>
      </c>
      <c r="B106" s="18">
        <v>2.0833333333333333E-3</v>
      </c>
      <c r="C106" s="19">
        <v>4.2000000000000003E-2</v>
      </c>
      <c r="E106" s="19" t="str">
        <f t="shared" si="0"/>
        <v>2019/03/28 00:03:00</v>
      </c>
      <c r="AB106" s="17"/>
      <c r="AC106" s="18"/>
    </row>
    <row r="107" spans="1:29" x14ac:dyDescent="0.25">
      <c r="A107" s="3" t="s">
        <v>99</v>
      </c>
      <c r="B107" s="2">
        <v>0.46666666666666667</v>
      </c>
      <c r="C107">
        <v>0.97399999999999998</v>
      </c>
      <c r="E107" t="str">
        <f t="shared" si="0"/>
        <v>2018/01/05 11:12:00</v>
      </c>
      <c r="I107" s="3" t="s">
        <v>99</v>
      </c>
      <c r="J107" s="3" t="s">
        <v>99</v>
      </c>
      <c r="K107" s="3" t="s">
        <v>221</v>
      </c>
      <c r="L107" s="3" t="s">
        <v>222</v>
      </c>
      <c r="M107" s="3" t="s">
        <v>223</v>
      </c>
      <c r="N107" s="3" t="s">
        <v>224</v>
      </c>
      <c r="O107" s="3" t="s">
        <v>224</v>
      </c>
      <c r="P107" s="3" t="s">
        <v>225</v>
      </c>
      <c r="Q107" s="10" t="s">
        <v>226</v>
      </c>
      <c r="AB107" s="3"/>
      <c r="AC107" s="2"/>
    </row>
    <row r="108" spans="1:29" x14ac:dyDescent="0.25">
      <c r="A108" s="3" t="s">
        <v>99</v>
      </c>
      <c r="B108" s="2">
        <v>0.90069444444444446</v>
      </c>
      <c r="C108">
        <v>1.08</v>
      </c>
      <c r="E108" t="str">
        <f t="shared" si="0"/>
        <v>2018/01/05 21:37:00</v>
      </c>
      <c r="I108" s="2">
        <v>0.46666666666666667</v>
      </c>
      <c r="J108" s="2">
        <v>0.90069444444444446</v>
      </c>
      <c r="K108" s="2">
        <v>2.2916666666666665E-2</v>
      </c>
      <c r="L108" s="2">
        <v>2.7777777777777779E-3</v>
      </c>
      <c r="M108" s="2">
        <v>0.23749999999999999</v>
      </c>
      <c r="N108" s="2">
        <v>9.0277777777777769E-3</v>
      </c>
      <c r="O108" s="2">
        <v>0.64444444444444449</v>
      </c>
      <c r="P108" s="2">
        <v>2.7777777777777779E-3</v>
      </c>
      <c r="Q108" s="9">
        <v>5.5555555555555558E-3</v>
      </c>
      <c r="AB108" s="3"/>
      <c r="AC108" s="2"/>
    </row>
    <row r="109" spans="1:29" x14ac:dyDescent="0.25">
      <c r="A109" s="3" t="s">
        <v>221</v>
      </c>
      <c r="B109" s="2">
        <v>2.2916666666666665E-2</v>
      </c>
      <c r="C109">
        <v>0.64300000000000002</v>
      </c>
      <c r="E109" t="str">
        <f t="shared" si="0"/>
        <v>2018/01/06 00:33:00</v>
      </c>
      <c r="I109" s="14">
        <v>0.97399999999999998</v>
      </c>
      <c r="J109">
        <v>1.08</v>
      </c>
      <c r="K109">
        <v>0.64300000000000002</v>
      </c>
      <c r="L109">
        <v>0.78100000000000003</v>
      </c>
      <c r="M109">
        <v>0.90500000000000003</v>
      </c>
      <c r="N109">
        <v>0.748</v>
      </c>
      <c r="O109">
        <v>0.65</v>
      </c>
      <c r="P109">
        <v>0.46</v>
      </c>
      <c r="Q109" s="12">
        <v>0.29499999999999998</v>
      </c>
      <c r="AB109" s="3"/>
      <c r="AC109" s="2"/>
    </row>
    <row r="110" spans="1:29" x14ac:dyDescent="0.25">
      <c r="A110" s="3" t="s">
        <v>222</v>
      </c>
      <c r="B110" s="2">
        <v>2.7777777777777779E-3</v>
      </c>
      <c r="C110">
        <v>0.78100000000000003</v>
      </c>
      <c r="E110" t="str">
        <f t="shared" si="0"/>
        <v>2018/01/07 00:04:00</v>
      </c>
      <c r="AB110" s="3"/>
      <c r="AC110" s="2"/>
    </row>
    <row r="111" spans="1:29" x14ac:dyDescent="0.25">
      <c r="A111" s="3" t="s">
        <v>223</v>
      </c>
      <c r="B111" s="2">
        <v>0.23749999999999999</v>
      </c>
      <c r="C111">
        <v>0.90500000000000003</v>
      </c>
      <c r="E111" t="str">
        <f t="shared" si="0"/>
        <v>2018/01/08 05:42:00</v>
      </c>
      <c r="AB111" s="3"/>
      <c r="AC111" s="2"/>
    </row>
    <row r="112" spans="1:29" x14ac:dyDescent="0.25">
      <c r="A112" s="3" t="s">
        <v>224</v>
      </c>
      <c r="B112" s="2">
        <v>9.0277777777777769E-3</v>
      </c>
      <c r="C112">
        <v>0.748</v>
      </c>
      <c r="E112" t="str">
        <f t="shared" si="0"/>
        <v>2018/01/09 00:13:00</v>
      </c>
      <c r="AB112" s="3"/>
      <c r="AC112" s="2"/>
    </row>
    <row r="113" spans="1:29" x14ac:dyDescent="0.25">
      <c r="A113" s="3" t="s">
        <v>224</v>
      </c>
      <c r="B113" s="2">
        <v>0.64444444444444449</v>
      </c>
      <c r="C113">
        <v>0.65</v>
      </c>
      <c r="E113" t="str">
        <f t="shared" si="0"/>
        <v>2018/01/09 15:28:00</v>
      </c>
      <c r="AB113" s="3"/>
      <c r="AC113" s="2"/>
    </row>
    <row r="114" spans="1:29" x14ac:dyDescent="0.25">
      <c r="A114" s="3" t="s">
        <v>225</v>
      </c>
      <c r="B114" s="2">
        <v>2.7777777777777779E-3</v>
      </c>
      <c r="C114">
        <v>0.46</v>
      </c>
      <c r="E114" t="str">
        <f t="shared" si="0"/>
        <v>2018/01/10 00:04:00</v>
      </c>
      <c r="AB114" s="3"/>
      <c r="AC114" s="2"/>
    </row>
    <row r="115" spans="1:29" s="19" customFormat="1" x14ac:dyDescent="0.25">
      <c r="A115" s="17" t="s">
        <v>226</v>
      </c>
      <c r="B115" s="18">
        <v>5.5555555555555558E-3</v>
      </c>
      <c r="C115" s="19">
        <v>0.29499999999999998</v>
      </c>
      <c r="E115" s="19" t="str">
        <f t="shared" si="0"/>
        <v>2018/01/11 00:08:00</v>
      </c>
      <c r="AB115" s="17"/>
      <c r="AC115" s="18"/>
    </row>
    <row r="116" spans="1:29" x14ac:dyDescent="0.25">
      <c r="A116" s="3" t="s">
        <v>100</v>
      </c>
      <c r="B116" s="2">
        <v>0.13958333333333334</v>
      </c>
      <c r="C116">
        <v>5.8999999999999997E-2</v>
      </c>
      <c r="E116" t="str">
        <f t="shared" si="0"/>
        <v>2018/07/06 03:21:00</v>
      </c>
      <c r="I116" s="3" t="s">
        <v>100</v>
      </c>
      <c r="J116" s="3" t="s">
        <v>100</v>
      </c>
      <c r="K116" s="3" t="s">
        <v>100</v>
      </c>
      <c r="L116" s="3" t="s">
        <v>227</v>
      </c>
      <c r="M116" s="3" t="s">
        <v>228</v>
      </c>
      <c r="N116" s="3" t="s">
        <v>229</v>
      </c>
      <c r="O116" s="3" t="s">
        <v>230</v>
      </c>
      <c r="P116" s="10" t="s">
        <v>231</v>
      </c>
      <c r="AB116" s="3"/>
      <c r="AC116" s="2"/>
    </row>
    <row r="117" spans="1:29" x14ac:dyDescent="0.25">
      <c r="A117" s="3" t="s">
        <v>100</v>
      </c>
      <c r="B117" s="2">
        <v>0.13958333333333334</v>
      </c>
      <c r="C117">
        <v>6.7000000000000004E-2</v>
      </c>
      <c r="E117" t="str">
        <f t="shared" ref="E117:E180" si="1">TEXT(A117,"yyyy/mm/dd") &amp; " " &amp; TEXT(B117,"hh:mm:ss")</f>
        <v>2018/07/06 03:21:00</v>
      </c>
      <c r="I117" s="2">
        <v>0.13958333333333334</v>
      </c>
      <c r="J117" s="2">
        <v>0.13958333333333334</v>
      </c>
      <c r="K117" s="5">
        <v>0.91319444444444442</v>
      </c>
      <c r="L117" s="2">
        <v>4.8611111111111112E-3</v>
      </c>
      <c r="M117" s="2">
        <v>0.24305555555555555</v>
      </c>
      <c r="N117" s="2">
        <v>1.1805555555555555E-2</v>
      </c>
      <c r="O117" s="2">
        <v>2.0833333333333333E-3</v>
      </c>
      <c r="P117" s="9">
        <v>3.472222222222222E-3</v>
      </c>
      <c r="AB117" s="3"/>
      <c r="AC117" s="5"/>
    </row>
    <row r="118" spans="1:29" x14ac:dyDescent="0.25">
      <c r="A118" s="3" t="s">
        <v>100</v>
      </c>
      <c r="B118" s="5">
        <v>0.91319444444444442</v>
      </c>
      <c r="C118">
        <v>7.8E-2</v>
      </c>
      <c r="E118" t="str">
        <f t="shared" si="1"/>
        <v>2018/07/06 21:55:00</v>
      </c>
      <c r="I118" s="14">
        <v>5.8999999999999997E-2</v>
      </c>
      <c r="J118">
        <v>6.7000000000000004E-2</v>
      </c>
      <c r="K118">
        <v>7.8E-2</v>
      </c>
      <c r="L118">
        <v>0.106</v>
      </c>
      <c r="M118">
        <v>7.5999999999999998E-2</v>
      </c>
      <c r="N118">
        <v>6.4000000000000001E-2</v>
      </c>
      <c r="O118">
        <v>5.1999999999999998E-2</v>
      </c>
      <c r="P118" s="12">
        <v>1.9E-2</v>
      </c>
      <c r="AB118" s="3"/>
      <c r="AC118" s="2"/>
    </row>
    <row r="119" spans="1:29" x14ac:dyDescent="0.25">
      <c r="A119" s="3" t="s">
        <v>227</v>
      </c>
      <c r="B119" s="2">
        <v>4.8611111111111112E-3</v>
      </c>
      <c r="C119">
        <v>0.106</v>
      </c>
      <c r="E119" t="str">
        <f t="shared" si="1"/>
        <v>2018/07/07 00:07:00</v>
      </c>
      <c r="AB119" s="3"/>
      <c r="AC119" s="2"/>
    </row>
    <row r="120" spans="1:29" x14ac:dyDescent="0.25">
      <c r="A120" s="3" t="s">
        <v>228</v>
      </c>
      <c r="B120" s="2">
        <v>0.24305555555555555</v>
      </c>
      <c r="C120">
        <v>7.5999999999999998E-2</v>
      </c>
      <c r="E120" t="str">
        <f t="shared" si="1"/>
        <v>2018/07/08 05:50:00</v>
      </c>
      <c r="AB120" s="3"/>
      <c r="AC120" s="2"/>
    </row>
    <row r="121" spans="1:29" x14ac:dyDescent="0.25">
      <c r="A121" s="3" t="s">
        <v>229</v>
      </c>
      <c r="B121" s="2">
        <v>1.1805555555555555E-2</v>
      </c>
      <c r="C121">
        <v>6.4000000000000001E-2</v>
      </c>
      <c r="E121" t="str">
        <f t="shared" si="1"/>
        <v>2018/07/09 00:17:00</v>
      </c>
      <c r="AB121" s="3"/>
      <c r="AC121" s="2"/>
    </row>
    <row r="122" spans="1:29" x14ac:dyDescent="0.25">
      <c r="A122" s="3" t="s">
        <v>230</v>
      </c>
      <c r="B122" s="2">
        <v>2.0833333333333333E-3</v>
      </c>
      <c r="C122">
        <v>5.1999999999999998E-2</v>
      </c>
      <c r="E122" t="str">
        <f t="shared" si="1"/>
        <v>2018/07/10 00:03:00</v>
      </c>
      <c r="AB122" s="3"/>
      <c r="AC122" s="2"/>
    </row>
    <row r="123" spans="1:29" s="19" customFormat="1" x14ac:dyDescent="0.25">
      <c r="A123" s="17" t="s">
        <v>231</v>
      </c>
      <c r="B123" s="18">
        <v>3.472222222222222E-3</v>
      </c>
      <c r="C123" s="19">
        <v>1.9E-2</v>
      </c>
      <c r="E123" s="19" t="str">
        <f t="shared" si="1"/>
        <v>2018/07/11 00:05:00</v>
      </c>
      <c r="AB123" s="17"/>
      <c r="AC123" s="18"/>
    </row>
    <row r="124" spans="1:29" x14ac:dyDescent="0.25">
      <c r="A124" s="3" t="s">
        <v>101</v>
      </c>
      <c r="B124" s="2">
        <v>0.98263888888888884</v>
      </c>
      <c r="C124">
        <v>0.73399999999999999</v>
      </c>
      <c r="E124" t="str">
        <f t="shared" si="1"/>
        <v>2018/10/03 23:35:00</v>
      </c>
      <c r="I124" s="3" t="s">
        <v>101</v>
      </c>
      <c r="J124" s="3" t="s">
        <v>232</v>
      </c>
      <c r="K124" s="3" t="s">
        <v>232</v>
      </c>
      <c r="L124" s="3" t="s">
        <v>233</v>
      </c>
      <c r="M124" s="3" t="s">
        <v>109</v>
      </c>
      <c r="N124" s="3" t="s">
        <v>234</v>
      </c>
      <c r="O124" s="3" t="s">
        <v>235</v>
      </c>
      <c r="P124" s="10" t="s">
        <v>236</v>
      </c>
      <c r="AB124" s="3"/>
      <c r="AC124" s="2"/>
    </row>
    <row r="125" spans="1:29" x14ac:dyDescent="0.25">
      <c r="A125" s="3" t="s">
        <v>232</v>
      </c>
      <c r="B125" s="2">
        <v>1.8055555555555554E-2</v>
      </c>
      <c r="C125">
        <v>1.81</v>
      </c>
      <c r="E125" t="str">
        <f t="shared" si="1"/>
        <v>2018/10/04 00:26:00</v>
      </c>
      <c r="I125" s="2">
        <v>0.98263888888888884</v>
      </c>
      <c r="J125" s="2">
        <v>1.8055555555555554E-2</v>
      </c>
      <c r="K125" s="2">
        <v>0.66527777777777775</v>
      </c>
      <c r="L125" s="2">
        <v>1.6666666666666666E-2</v>
      </c>
      <c r="M125" s="2">
        <v>1.6666666666666666E-2</v>
      </c>
      <c r="N125" s="2">
        <v>1.1805555555555555E-2</v>
      </c>
      <c r="O125" s="2">
        <v>2.2916666666666665E-2</v>
      </c>
      <c r="P125" s="9">
        <v>4.1666666666666666E-3</v>
      </c>
      <c r="AB125" s="3"/>
      <c r="AC125" s="2"/>
    </row>
    <row r="126" spans="1:29" x14ac:dyDescent="0.25">
      <c r="A126" s="3" t="s">
        <v>232</v>
      </c>
      <c r="B126" s="2">
        <v>0.66527777777777775</v>
      </c>
      <c r="C126">
        <v>2.56</v>
      </c>
      <c r="E126" t="str">
        <f t="shared" si="1"/>
        <v>2018/10/04 15:58:00</v>
      </c>
      <c r="I126" s="14">
        <v>0.73399999999999999</v>
      </c>
      <c r="J126">
        <v>1.81</v>
      </c>
      <c r="K126">
        <v>2.56</v>
      </c>
      <c r="L126">
        <v>1.46</v>
      </c>
      <c r="M126">
        <v>1.35</v>
      </c>
      <c r="N126">
        <v>1.35</v>
      </c>
      <c r="O126">
        <v>1.02</v>
      </c>
      <c r="P126" s="12">
        <v>0.57799999999999996</v>
      </c>
      <c r="AB126" s="3"/>
      <c r="AC126" s="2"/>
    </row>
    <row r="127" spans="1:29" x14ac:dyDescent="0.25">
      <c r="A127" s="3" t="s">
        <v>233</v>
      </c>
      <c r="B127" s="2">
        <v>1.6666666666666666E-2</v>
      </c>
      <c r="C127">
        <v>1.46</v>
      </c>
      <c r="E127" t="str">
        <f t="shared" si="1"/>
        <v>2018/10/05 00:24:00</v>
      </c>
      <c r="AB127" s="3"/>
      <c r="AC127" s="2"/>
    </row>
    <row r="128" spans="1:29" x14ac:dyDescent="0.25">
      <c r="A128" s="3" t="s">
        <v>109</v>
      </c>
      <c r="B128" s="2">
        <v>1.6666666666666666E-2</v>
      </c>
      <c r="C128">
        <v>1.35</v>
      </c>
      <c r="E128" t="str">
        <f t="shared" si="1"/>
        <v>2018/10/06 00:24:00</v>
      </c>
      <c r="AB128" s="3"/>
      <c r="AC128" s="2"/>
    </row>
    <row r="129" spans="1:29" x14ac:dyDescent="0.25">
      <c r="A129" s="3" t="s">
        <v>234</v>
      </c>
      <c r="B129" s="2">
        <v>1.1805555555555555E-2</v>
      </c>
      <c r="C129">
        <v>1.35</v>
      </c>
      <c r="E129" t="str">
        <f t="shared" si="1"/>
        <v>2018/10/07 00:17:00</v>
      </c>
      <c r="AB129" s="3"/>
      <c r="AC129" s="2"/>
    </row>
    <row r="130" spans="1:29" x14ac:dyDescent="0.25">
      <c r="A130" s="3" t="s">
        <v>235</v>
      </c>
      <c r="B130" s="2">
        <v>2.2916666666666665E-2</v>
      </c>
      <c r="C130">
        <v>1.02</v>
      </c>
      <c r="E130" t="str">
        <f t="shared" si="1"/>
        <v>2018/10/08 00:33:00</v>
      </c>
      <c r="AB130" s="3"/>
      <c r="AC130" s="2"/>
    </row>
    <row r="131" spans="1:29" s="19" customFormat="1" x14ac:dyDescent="0.25">
      <c r="A131" s="17" t="s">
        <v>236</v>
      </c>
      <c r="B131" s="18">
        <v>4.1666666666666666E-3</v>
      </c>
      <c r="C131" s="19">
        <v>0.57799999999999996</v>
      </c>
      <c r="E131" s="19" t="str">
        <f t="shared" si="1"/>
        <v>2018/10/09 00:06:00</v>
      </c>
      <c r="AB131" s="17"/>
      <c r="AC131" s="18"/>
    </row>
    <row r="132" spans="1:29" x14ac:dyDescent="0.25">
      <c r="A132" s="3" t="s">
        <v>237</v>
      </c>
      <c r="B132" s="2">
        <v>0.68333333333333335</v>
      </c>
      <c r="C132">
        <v>0.42299999999999999</v>
      </c>
      <c r="E132" t="str">
        <f t="shared" si="1"/>
        <v>2018/06/18 16:24:00</v>
      </c>
      <c r="I132" s="3" t="s">
        <v>237</v>
      </c>
      <c r="J132" s="3" t="s">
        <v>238</v>
      </c>
      <c r="K132" s="3" t="s">
        <v>238</v>
      </c>
      <c r="L132" s="3" t="s">
        <v>239</v>
      </c>
      <c r="M132" s="3" t="s">
        <v>240</v>
      </c>
      <c r="N132" s="3" t="s">
        <v>241</v>
      </c>
      <c r="O132" s="10" t="s">
        <v>242</v>
      </c>
      <c r="AB132" s="3"/>
      <c r="AC132" s="2"/>
    </row>
    <row r="133" spans="1:29" x14ac:dyDescent="0.25">
      <c r="A133" s="3" t="s">
        <v>238</v>
      </c>
      <c r="B133" s="2">
        <v>1.3194444444444444E-2</v>
      </c>
      <c r="C133">
        <v>0.47599999999999998</v>
      </c>
      <c r="E133" t="str">
        <f t="shared" si="1"/>
        <v>2018/06/19 00:19:00</v>
      </c>
      <c r="I133" s="2">
        <v>0.68333333333333335</v>
      </c>
      <c r="J133" s="2">
        <v>1.3194444444444444E-2</v>
      </c>
      <c r="K133" s="2">
        <v>0.83888888888888891</v>
      </c>
      <c r="L133" s="2">
        <v>2.1527777777777778E-2</v>
      </c>
      <c r="M133" s="2">
        <v>4.2361111111111113E-2</v>
      </c>
      <c r="N133" s="2">
        <v>2.7777777777777779E-3</v>
      </c>
      <c r="O133" s="9">
        <v>2.0833333333333333E-3</v>
      </c>
      <c r="AB133" s="3"/>
      <c r="AC133" s="2"/>
    </row>
    <row r="134" spans="1:29" x14ac:dyDescent="0.25">
      <c r="A134" s="3" t="s">
        <v>238</v>
      </c>
      <c r="B134" s="2">
        <v>0.83888888888888891</v>
      </c>
      <c r="C134">
        <v>0.44800000000000001</v>
      </c>
      <c r="E134" t="str">
        <f t="shared" si="1"/>
        <v>2018/06/19 20:08:00</v>
      </c>
      <c r="I134" s="14">
        <v>0.42299999999999999</v>
      </c>
      <c r="J134">
        <v>0.47599999999999998</v>
      </c>
      <c r="K134">
        <v>0.44800000000000001</v>
      </c>
      <c r="L134">
        <v>0.46300000000000002</v>
      </c>
      <c r="M134">
        <v>0.44700000000000001</v>
      </c>
      <c r="N134">
        <v>0.314</v>
      </c>
      <c r="O134" s="12">
        <v>0.19600000000000001</v>
      </c>
      <c r="AB134" s="3"/>
      <c r="AC134" s="2"/>
    </row>
    <row r="135" spans="1:29" x14ac:dyDescent="0.25">
      <c r="A135" s="3" t="s">
        <v>239</v>
      </c>
      <c r="B135" s="2">
        <v>2.1527777777777778E-2</v>
      </c>
      <c r="C135">
        <v>0.46300000000000002</v>
      </c>
      <c r="E135" t="str">
        <f t="shared" si="1"/>
        <v>2018/06/20 00:31:00</v>
      </c>
      <c r="AB135" s="3"/>
      <c r="AC135" s="2"/>
    </row>
    <row r="136" spans="1:29" x14ac:dyDescent="0.25">
      <c r="A136" s="3" t="s">
        <v>240</v>
      </c>
      <c r="B136" s="2">
        <v>4.2361111111111113E-2</v>
      </c>
      <c r="C136">
        <v>0.44700000000000001</v>
      </c>
      <c r="E136" t="str">
        <f t="shared" si="1"/>
        <v>2018/06/21 01:01:00</v>
      </c>
      <c r="AB136" s="3"/>
      <c r="AC136" s="2"/>
    </row>
    <row r="137" spans="1:29" x14ac:dyDescent="0.25">
      <c r="A137" s="3" t="s">
        <v>241</v>
      </c>
      <c r="B137" s="2">
        <v>2.7777777777777779E-3</v>
      </c>
      <c r="C137">
        <v>0.314</v>
      </c>
      <c r="E137" t="str">
        <f t="shared" si="1"/>
        <v>2018/06/22 00:04:00</v>
      </c>
      <c r="AB137" s="3"/>
      <c r="AC137" s="2"/>
    </row>
    <row r="138" spans="1:29" s="19" customFormat="1" x14ac:dyDescent="0.25">
      <c r="A138" s="17" t="s">
        <v>242</v>
      </c>
      <c r="B138" s="18">
        <v>2.0833333333333333E-3</v>
      </c>
      <c r="C138" s="19">
        <v>0.19600000000000001</v>
      </c>
      <c r="E138" s="19" t="str">
        <f t="shared" si="1"/>
        <v>2018/06/23 00:03:00</v>
      </c>
      <c r="AB138" s="17"/>
      <c r="AC138" s="18"/>
    </row>
    <row r="139" spans="1:29" x14ac:dyDescent="0.25">
      <c r="A139" s="3" t="s">
        <v>103</v>
      </c>
      <c r="B139" s="2">
        <v>0.67569444444444449</v>
      </c>
      <c r="C139">
        <v>0.19800000000000001</v>
      </c>
      <c r="E139" t="str">
        <f t="shared" si="1"/>
        <v>2019/02/23 16:13:00</v>
      </c>
      <c r="I139" s="3" t="s">
        <v>103</v>
      </c>
      <c r="J139" s="3" t="s">
        <v>103</v>
      </c>
      <c r="K139" s="3" t="s">
        <v>243</v>
      </c>
      <c r="L139" s="3" t="s">
        <v>244</v>
      </c>
      <c r="M139" s="3" t="s">
        <v>244</v>
      </c>
      <c r="N139" s="3" t="s">
        <v>245</v>
      </c>
      <c r="O139" s="3" t="s">
        <v>246</v>
      </c>
      <c r="P139" s="3" t="s">
        <v>246</v>
      </c>
      <c r="Q139" s="3" t="s">
        <v>247</v>
      </c>
      <c r="AB139" s="3"/>
      <c r="AC139" s="2"/>
    </row>
    <row r="140" spans="1:29" x14ac:dyDescent="0.25">
      <c r="A140" s="3" t="s">
        <v>103</v>
      </c>
      <c r="B140" s="2">
        <v>0.90138888888888891</v>
      </c>
      <c r="C140">
        <v>0.19800000000000001</v>
      </c>
      <c r="E140" t="str">
        <f t="shared" si="1"/>
        <v>2019/02/23 21:38:00</v>
      </c>
      <c r="I140" s="2">
        <v>0.67569444444444449</v>
      </c>
      <c r="J140" s="2">
        <v>0.90138888888888891</v>
      </c>
      <c r="K140" s="2">
        <v>8.3333333333333332E-3</v>
      </c>
      <c r="L140" s="2">
        <v>1.5972222222222221E-2</v>
      </c>
      <c r="M140" s="2">
        <v>0.72499999999999998</v>
      </c>
      <c r="N140" s="2">
        <v>1.1111111111111112E-2</v>
      </c>
      <c r="O140" s="2">
        <v>9.0277777777777769E-3</v>
      </c>
      <c r="P140" s="2">
        <v>0.6694444444444444</v>
      </c>
      <c r="Q140" s="2">
        <v>3.472222222222222E-3</v>
      </c>
      <c r="R140" s="3" t="s">
        <v>248</v>
      </c>
      <c r="S140" s="3" t="s">
        <v>96</v>
      </c>
      <c r="T140" s="3" t="s">
        <v>206</v>
      </c>
      <c r="U140" s="10" t="s">
        <v>207</v>
      </c>
      <c r="AB140" s="3"/>
      <c r="AC140" s="2"/>
    </row>
    <row r="141" spans="1:29" x14ac:dyDescent="0.25">
      <c r="A141" s="3" t="s">
        <v>243</v>
      </c>
      <c r="B141" s="2">
        <v>8.3333333333333332E-3</v>
      </c>
      <c r="C141">
        <v>0.17199999999999999</v>
      </c>
      <c r="E141" t="str">
        <f t="shared" si="1"/>
        <v>2019/02/24 00:12:00</v>
      </c>
      <c r="I141" s="14">
        <v>0.19800000000000001</v>
      </c>
      <c r="J141">
        <v>0.19800000000000001</v>
      </c>
      <c r="K141">
        <v>0.17199999999999999</v>
      </c>
      <c r="L141">
        <v>0.106</v>
      </c>
      <c r="M141">
        <v>9.9000000000000005E-2</v>
      </c>
      <c r="N141">
        <v>7.4999999999999997E-2</v>
      </c>
      <c r="O141">
        <v>4.8000000000000001E-2</v>
      </c>
      <c r="P141">
        <v>6.2E-2</v>
      </c>
      <c r="Q141">
        <v>6.4000000000000001E-2</v>
      </c>
      <c r="R141" s="2">
        <v>1.3888888888888889E-3</v>
      </c>
      <c r="S141" s="2">
        <v>2.0833333333333333E-3</v>
      </c>
      <c r="T141" s="2">
        <v>2.7083333333333334E-2</v>
      </c>
      <c r="U141" s="9">
        <v>0.23680555555555555</v>
      </c>
      <c r="AB141" s="3"/>
      <c r="AC141" s="2"/>
    </row>
    <row r="142" spans="1:29" x14ac:dyDescent="0.25">
      <c r="A142" s="3" t="s">
        <v>244</v>
      </c>
      <c r="B142" s="2">
        <v>1.5972222222222221E-2</v>
      </c>
      <c r="C142">
        <v>0.106</v>
      </c>
      <c r="E142" t="str">
        <f t="shared" si="1"/>
        <v>2019/02/25 00:23:00</v>
      </c>
      <c r="R142">
        <v>5.7000000000000002E-2</v>
      </c>
      <c r="S142">
        <v>4.7E-2</v>
      </c>
      <c r="T142">
        <v>3.7999999999999999E-2</v>
      </c>
      <c r="U142" s="12">
        <v>1.7999999999999999E-2</v>
      </c>
      <c r="AB142" s="3"/>
      <c r="AC142" s="2"/>
    </row>
    <row r="143" spans="1:29" x14ac:dyDescent="0.25">
      <c r="A143" s="3" t="s">
        <v>244</v>
      </c>
      <c r="B143" s="2">
        <v>0.72499999999999998</v>
      </c>
      <c r="C143">
        <v>9.9000000000000005E-2</v>
      </c>
      <c r="E143" t="str">
        <f t="shared" si="1"/>
        <v>2019/02/25 17:24:00</v>
      </c>
      <c r="AB143" s="3"/>
      <c r="AC143" s="2"/>
    </row>
    <row r="144" spans="1:29" x14ac:dyDescent="0.25">
      <c r="A144" s="3" t="s">
        <v>245</v>
      </c>
      <c r="B144" s="2">
        <v>1.1111111111111112E-2</v>
      </c>
      <c r="C144">
        <v>7.4999999999999997E-2</v>
      </c>
      <c r="E144" t="str">
        <f t="shared" si="1"/>
        <v>2019/02/26 00:16:00</v>
      </c>
      <c r="AB144" s="3"/>
      <c r="AC144" s="2"/>
    </row>
    <row r="145" spans="1:29" x14ac:dyDescent="0.25">
      <c r="A145" s="3" t="s">
        <v>246</v>
      </c>
      <c r="B145" s="2">
        <v>9.0277777777777769E-3</v>
      </c>
      <c r="C145">
        <v>4.8000000000000001E-2</v>
      </c>
      <c r="E145" t="str">
        <f t="shared" si="1"/>
        <v>2019/02/27 00:13:00</v>
      </c>
      <c r="AB145" s="3"/>
      <c r="AC145" s="2"/>
    </row>
    <row r="146" spans="1:29" x14ac:dyDescent="0.25">
      <c r="A146" s="3" t="s">
        <v>246</v>
      </c>
      <c r="B146" s="2">
        <v>0.6694444444444444</v>
      </c>
      <c r="C146">
        <v>6.2E-2</v>
      </c>
      <c r="E146" t="str">
        <f t="shared" si="1"/>
        <v>2019/02/27 16:04:00</v>
      </c>
      <c r="AB146" s="3"/>
      <c r="AC146" s="2"/>
    </row>
    <row r="147" spans="1:29" x14ac:dyDescent="0.25">
      <c r="A147" s="3" t="s">
        <v>247</v>
      </c>
      <c r="B147" s="2">
        <v>3.472222222222222E-3</v>
      </c>
      <c r="C147">
        <v>6.4000000000000001E-2</v>
      </c>
      <c r="E147" t="str">
        <f t="shared" si="1"/>
        <v>2019/02/28 00:05:00</v>
      </c>
      <c r="AB147" s="3"/>
      <c r="AC147" s="2"/>
    </row>
    <row r="148" spans="1:29" x14ac:dyDescent="0.25">
      <c r="A148" s="3" t="s">
        <v>248</v>
      </c>
      <c r="B148" s="2">
        <v>1.3888888888888889E-3</v>
      </c>
      <c r="C148">
        <v>5.7000000000000002E-2</v>
      </c>
      <c r="E148" t="str">
        <f t="shared" si="1"/>
        <v>2019/03/01 00:02:00</v>
      </c>
      <c r="AB148" s="3"/>
      <c r="AC148" s="2"/>
    </row>
    <row r="149" spans="1:29" x14ac:dyDescent="0.25">
      <c r="A149" s="3" t="s">
        <v>96</v>
      </c>
      <c r="B149" s="2">
        <v>2.0833333333333333E-3</v>
      </c>
      <c r="C149">
        <v>4.7E-2</v>
      </c>
      <c r="E149" t="str">
        <f t="shared" si="1"/>
        <v>2019/03/02 00:03:00</v>
      </c>
      <c r="AB149" s="3"/>
      <c r="AC149" s="2"/>
    </row>
    <row r="150" spans="1:29" x14ac:dyDescent="0.25">
      <c r="A150" s="3" t="s">
        <v>206</v>
      </c>
      <c r="B150" s="2">
        <v>2.7083333333333334E-2</v>
      </c>
      <c r="C150">
        <v>3.7999999999999999E-2</v>
      </c>
      <c r="E150" t="str">
        <f t="shared" si="1"/>
        <v>2019/03/03 00:39:00</v>
      </c>
      <c r="AB150" s="3"/>
      <c r="AC150" s="2"/>
    </row>
    <row r="151" spans="1:29" s="19" customFormat="1" x14ac:dyDescent="0.25">
      <c r="A151" s="17" t="s">
        <v>207</v>
      </c>
      <c r="B151" s="18">
        <v>0.23680555555555555</v>
      </c>
      <c r="C151" s="19">
        <v>1.7999999999999999E-2</v>
      </c>
      <c r="E151" s="19" t="str">
        <f t="shared" si="1"/>
        <v>2019/03/04 05:41:00</v>
      </c>
      <c r="AB151" s="17"/>
      <c r="AC151" s="18"/>
    </row>
    <row r="152" spans="1:29" x14ac:dyDescent="0.25">
      <c r="A152" s="3" t="s">
        <v>104</v>
      </c>
      <c r="B152" s="2">
        <v>0.74652777777777779</v>
      </c>
      <c r="C152">
        <v>0.27779999999999999</v>
      </c>
      <c r="E152" t="str">
        <f t="shared" si="1"/>
        <v>2019/08/16 17:55:00</v>
      </c>
      <c r="I152" s="3" t="s">
        <v>104</v>
      </c>
      <c r="J152" s="3" t="s">
        <v>249</v>
      </c>
      <c r="K152" s="3" t="s">
        <v>249</v>
      </c>
      <c r="L152" s="3" t="s">
        <v>250</v>
      </c>
      <c r="M152" s="3" t="s">
        <v>251</v>
      </c>
      <c r="N152" s="3" t="s">
        <v>252</v>
      </c>
      <c r="O152" s="3" t="s">
        <v>252</v>
      </c>
      <c r="P152" s="3" t="s">
        <v>253</v>
      </c>
      <c r="Q152" s="3" t="s">
        <v>254</v>
      </c>
      <c r="AB152" s="3"/>
      <c r="AC152" s="2"/>
    </row>
    <row r="153" spans="1:29" x14ac:dyDescent="0.25">
      <c r="A153" s="3" t="s">
        <v>249</v>
      </c>
      <c r="B153" s="2">
        <v>2.0833333333333332E-2</v>
      </c>
      <c r="C153">
        <v>0.62139999999999995</v>
      </c>
      <c r="E153" t="str">
        <f t="shared" si="1"/>
        <v>2019/08/17 00:30:00</v>
      </c>
      <c r="I153" s="2">
        <v>0.74652777777777779</v>
      </c>
      <c r="J153" s="2">
        <v>2.0833333333333332E-2</v>
      </c>
      <c r="K153" s="2">
        <v>2.4305555555555556E-2</v>
      </c>
      <c r="L153" s="2">
        <v>8.3333333333333332E-3</v>
      </c>
      <c r="M153" s="2">
        <v>6.9444444444444441E-3</v>
      </c>
      <c r="N153" s="2">
        <v>2.7777777777777779E-3</v>
      </c>
      <c r="O153" s="2">
        <v>0.77430555555555558</v>
      </c>
      <c r="P153" s="2">
        <v>1.3194444444444444E-2</v>
      </c>
      <c r="Q153" s="2">
        <v>7.6388888888888886E-3</v>
      </c>
      <c r="R153" s="10" t="s">
        <v>255</v>
      </c>
      <c r="AB153" s="3"/>
      <c r="AC153" s="2"/>
    </row>
    <row r="154" spans="1:29" x14ac:dyDescent="0.25">
      <c r="A154" s="3" t="s">
        <v>249</v>
      </c>
      <c r="B154" s="2">
        <v>2.4305555555555556E-2</v>
      </c>
      <c r="C154">
        <v>0.98739999999999994</v>
      </c>
      <c r="E154" t="str">
        <f t="shared" si="1"/>
        <v>2019/08/17 00:35:00</v>
      </c>
      <c r="I154" s="14">
        <v>0.27779999999999999</v>
      </c>
      <c r="J154">
        <v>0.62139999999999995</v>
      </c>
      <c r="K154">
        <v>0.98739999999999994</v>
      </c>
      <c r="L154">
        <v>1.6619999999999999</v>
      </c>
      <c r="M154">
        <v>1.6639999999999999</v>
      </c>
      <c r="N154">
        <v>1.95</v>
      </c>
      <c r="O154">
        <v>1.7929999999999999</v>
      </c>
      <c r="P154">
        <v>1.3460000000000001</v>
      </c>
      <c r="Q154">
        <v>0.5494</v>
      </c>
      <c r="R154" s="9">
        <v>0.24097222222222223</v>
      </c>
      <c r="AB154" s="3"/>
      <c r="AC154" s="2"/>
    </row>
    <row r="155" spans="1:29" x14ac:dyDescent="0.25">
      <c r="A155" s="3" t="s">
        <v>250</v>
      </c>
      <c r="B155" s="2">
        <v>8.3333333333333332E-3</v>
      </c>
      <c r="C155">
        <v>1.6619999999999999</v>
      </c>
      <c r="E155" t="str">
        <f t="shared" si="1"/>
        <v>2019/08/18 00:12:00</v>
      </c>
      <c r="R155" s="12">
        <v>0.23519999999999999</v>
      </c>
      <c r="AB155" s="3"/>
      <c r="AC155" s="2"/>
    </row>
    <row r="156" spans="1:29" x14ac:dyDescent="0.25">
      <c r="A156" s="3" t="s">
        <v>251</v>
      </c>
      <c r="B156" s="2">
        <v>6.9444444444444441E-3</v>
      </c>
      <c r="C156">
        <v>1.6639999999999999</v>
      </c>
      <c r="E156" t="str">
        <f t="shared" si="1"/>
        <v>2019/08/19 00:10:00</v>
      </c>
      <c r="AB156" s="3"/>
      <c r="AC156" s="2"/>
    </row>
    <row r="157" spans="1:29" x14ac:dyDescent="0.25">
      <c r="A157" s="3" t="s">
        <v>252</v>
      </c>
      <c r="B157" s="2">
        <v>2.7777777777777779E-3</v>
      </c>
      <c r="C157">
        <v>1.95</v>
      </c>
      <c r="E157" t="str">
        <f t="shared" si="1"/>
        <v>2019/08/20 00:04:00</v>
      </c>
      <c r="AB157" s="3"/>
      <c r="AC157" s="2"/>
    </row>
    <row r="158" spans="1:29" x14ac:dyDescent="0.25">
      <c r="A158" s="3" t="s">
        <v>252</v>
      </c>
      <c r="B158" s="2">
        <v>0.77430555555555558</v>
      </c>
      <c r="C158">
        <v>1.7929999999999999</v>
      </c>
      <c r="E158" t="str">
        <f t="shared" si="1"/>
        <v>2019/08/20 18:35:00</v>
      </c>
      <c r="AB158" s="3"/>
      <c r="AC158" s="2"/>
    </row>
    <row r="159" spans="1:29" x14ac:dyDescent="0.25">
      <c r="A159" s="3" t="s">
        <v>253</v>
      </c>
      <c r="B159" s="2">
        <v>1.3194444444444444E-2</v>
      </c>
      <c r="C159">
        <v>1.3460000000000001</v>
      </c>
      <c r="E159" t="str">
        <f t="shared" si="1"/>
        <v>2019/08/21 00:19:00</v>
      </c>
      <c r="AB159" s="3"/>
      <c r="AC159" s="2"/>
    </row>
    <row r="160" spans="1:29" x14ac:dyDescent="0.25">
      <c r="A160" s="3" t="s">
        <v>254</v>
      </c>
      <c r="B160" s="2">
        <v>7.6388888888888886E-3</v>
      </c>
      <c r="C160">
        <v>0.5494</v>
      </c>
      <c r="E160" t="str">
        <f t="shared" si="1"/>
        <v>2019/08/22 00:11:00</v>
      </c>
      <c r="AB160" s="3"/>
      <c r="AC160" s="2"/>
    </row>
    <row r="161" spans="1:29" s="19" customFormat="1" x14ac:dyDescent="0.25">
      <c r="A161" s="17" t="s">
        <v>255</v>
      </c>
      <c r="B161" s="18">
        <v>0.24097222222222223</v>
      </c>
      <c r="C161" s="19">
        <v>0.23519999999999999</v>
      </c>
      <c r="E161" s="19" t="str">
        <f t="shared" si="1"/>
        <v>2019/08/23 05:47:00</v>
      </c>
      <c r="AB161" s="17"/>
      <c r="AC161" s="18"/>
    </row>
    <row r="162" spans="1:29" x14ac:dyDescent="0.25">
      <c r="A162" s="3" t="s">
        <v>256</v>
      </c>
      <c r="B162" s="2">
        <v>0.10347222222222222</v>
      </c>
      <c r="C162">
        <v>0.16240000000000002</v>
      </c>
      <c r="E162" t="str">
        <f t="shared" si="1"/>
        <v>2019/08/01 02:29:00</v>
      </c>
      <c r="I162" s="3" t="s">
        <v>256</v>
      </c>
      <c r="J162" s="3" t="s">
        <v>256</v>
      </c>
      <c r="K162" s="3" t="s">
        <v>256</v>
      </c>
      <c r="L162" s="3" t="s">
        <v>257</v>
      </c>
      <c r="M162" s="10" t="s">
        <v>258</v>
      </c>
      <c r="AB162" s="3"/>
      <c r="AC162" s="2"/>
    </row>
    <row r="163" spans="1:29" x14ac:dyDescent="0.25">
      <c r="A163" s="3" t="s">
        <v>256</v>
      </c>
      <c r="B163" s="2">
        <v>0.13958333333333334</v>
      </c>
      <c r="C163">
        <v>9.9900000000000003E-2</v>
      </c>
      <c r="E163" t="str">
        <f t="shared" si="1"/>
        <v>2019/08/01 03:21:00</v>
      </c>
      <c r="I163" s="2">
        <v>0.10347222222222222</v>
      </c>
      <c r="J163" s="2">
        <v>0.13958333333333334</v>
      </c>
      <c r="K163" s="2">
        <v>0.71180555555555558</v>
      </c>
      <c r="L163" s="2">
        <v>1.3888888888888889E-3</v>
      </c>
      <c r="M163" s="9">
        <v>4.1666666666666666E-3</v>
      </c>
      <c r="AB163" s="3"/>
      <c r="AC163" s="2"/>
    </row>
    <row r="164" spans="1:29" x14ac:dyDescent="0.25">
      <c r="A164" s="3" t="s">
        <v>256</v>
      </c>
      <c r="B164" s="2">
        <v>0.71180555555555558</v>
      </c>
      <c r="C164">
        <v>4.6700000000000005E-2</v>
      </c>
      <c r="E164" t="str">
        <f t="shared" si="1"/>
        <v>2019/08/01 17:05:00</v>
      </c>
      <c r="I164" s="14">
        <v>0.16240000000000002</v>
      </c>
      <c r="J164">
        <v>9.9900000000000003E-2</v>
      </c>
      <c r="K164">
        <v>4.6700000000000005E-2</v>
      </c>
      <c r="L164">
        <v>4.1200000000000001E-2</v>
      </c>
      <c r="M164" s="12">
        <v>2.7300000000000001E-2</v>
      </c>
      <c r="AB164" s="3"/>
      <c r="AC164" s="2"/>
    </row>
    <row r="165" spans="1:29" x14ac:dyDescent="0.25">
      <c r="A165" s="3" t="s">
        <v>257</v>
      </c>
      <c r="B165" s="2">
        <v>1.3888888888888889E-3</v>
      </c>
      <c r="C165">
        <v>4.1200000000000001E-2</v>
      </c>
      <c r="E165" t="str">
        <f t="shared" si="1"/>
        <v>2019/08/02 00:02:00</v>
      </c>
      <c r="AB165" s="3"/>
      <c r="AC165" s="2"/>
    </row>
    <row r="166" spans="1:29" s="19" customFormat="1" x14ac:dyDescent="0.25">
      <c r="A166" s="17" t="s">
        <v>258</v>
      </c>
      <c r="B166" s="18">
        <v>4.1666666666666666E-3</v>
      </c>
      <c r="C166" s="19">
        <v>2.7300000000000001E-2</v>
      </c>
      <c r="E166" s="19" t="str">
        <f t="shared" si="1"/>
        <v>2019/08/03 00:06:00</v>
      </c>
      <c r="AB166" s="17"/>
      <c r="AC166" s="18"/>
    </row>
    <row r="167" spans="1:29" x14ac:dyDescent="0.25">
      <c r="A167" s="3" t="s">
        <v>106</v>
      </c>
      <c r="B167" s="2">
        <v>0.6958333333333333</v>
      </c>
      <c r="C167">
        <v>0.184</v>
      </c>
      <c r="E167" t="str">
        <f t="shared" si="1"/>
        <v>2018/03/02 16:42:00</v>
      </c>
      <c r="I167" s="3" t="s">
        <v>106</v>
      </c>
      <c r="J167" s="3" t="s">
        <v>106</v>
      </c>
      <c r="K167" s="3" t="s">
        <v>259</v>
      </c>
      <c r="L167" s="3" t="s">
        <v>260</v>
      </c>
      <c r="M167" s="10" t="s">
        <v>261</v>
      </c>
      <c r="AB167" s="3"/>
      <c r="AC167" s="2"/>
    </row>
    <row r="168" spans="1:29" x14ac:dyDescent="0.25">
      <c r="A168" s="3" t="s">
        <v>106</v>
      </c>
      <c r="B168" s="2">
        <v>0.89583333333333337</v>
      </c>
      <c r="C168">
        <v>0.192</v>
      </c>
      <c r="E168" t="str">
        <f t="shared" si="1"/>
        <v>2018/03/02 21:30:00</v>
      </c>
      <c r="I168" s="2">
        <v>0.6958333333333333</v>
      </c>
      <c r="J168" s="2">
        <v>0.89583333333333337</v>
      </c>
      <c r="K168" s="2">
        <v>2.2916666666666665E-2</v>
      </c>
      <c r="L168" s="2">
        <v>1.0416666666666666E-2</v>
      </c>
      <c r="M168" s="9">
        <v>6.9444444444444447E-4</v>
      </c>
      <c r="AB168" s="3"/>
      <c r="AC168" s="2"/>
    </row>
    <row r="169" spans="1:29" x14ac:dyDescent="0.25">
      <c r="A169" s="3" t="s">
        <v>259</v>
      </c>
      <c r="B169" s="2">
        <v>2.2916666666666665E-2</v>
      </c>
      <c r="C169">
        <v>0.20300000000000001</v>
      </c>
      <c r="E169" t="str">
        <f t="shared" si="1"/>
        <v>2018/03/03 00:33:00</v>
      </c>
      <c r="I169" s="14">
        <v>0.184</v>
      </c>
      <c r="J169">
        <v>0.192</v>
      </c>
      <c r="K169">
        <v>0.20300000000000001</v>
      </c>
      <c r="L169">
        <v>0.218</v>
      </c>
      <c r="M169" s="12">
        <v>0.23799999999999999</v>
      </c>
      <c r="AB169" s="3"/>
      <c r="AC169" s="2"/>
    </row>
    <row r="170" spans="1:29" x14ac:dyDescent="0.25">
      <c r="A170" s="3" t="s">
        <v>260</v>
      </c>
      <c r="B170" s="2">
        <v>1.0416666666666666E-2</v>
      </c>
      <c r="C170">
        <v>0.218</v>
      </c>
      <c r="E170" t="str">
        <f t="shared" si="1"/>
        <v>2018/03/04 00:15:00</v>
      </c>
      <c r="AB170" s="3"/>
      <c r="AC170" s="2"/>
    </row>
    <row r="171" spans="1:29" s="19" customFormat="1" x14ac:dyDescent="0.25">
      <c r="A171" s="17" t="s">
        <v>261</v>
      </c>
      <c r="B171" s="18">
        <v>6.9444444444444447E-4</v>
      </c>
      <c r="C171" s="19">
        <v>0.23799999999999999</v>
      </c>
      <c r="E171" s="19" t="str">
        <f t="shared" si="1"/>
        <v>2018/03/05 00:01:00</v>
      </c>
      <c r="AB171" s="17"/>
      <c r="AC171" s="18"/>
    </row>
    <row r="172" spans="1:29" x14ac:dyDescent="0.25">
      <c r="A172" s="3" t="s">
        <v>262</v>
      </c>
      <c r="B172" s="2">
        <v>0.14027777777777778</v>
      </c>
      <c r="C172">
        <v>0.89200000000000002</v>
      </c>
      <c r="E172" t="str">
        <f t="shared" si="1"/>
        <v>2018/06/14 03:22:00</v>
      </c>
      <c r="I172" s="3" t="s">
        <v>262</v>
      </c>
      <c r="J172" s="3" t="s">
        <v>262</v>
      </c>
      <c r="K172" s="3" t="s">
        <v>262</v>
      </c>
      <c r="L172" s="3" t="s">
        <v>263</v>
      </c>
      <c r="M172" s="3" t="s">
        <v>264</v>
      </c>
      <c r="N172" s="3" t="s">
        <v>102</v>
      </c>
      <c r="O172" s="10" t="s">
        <v>237</v>
      </c>
      <c r="AB172" s="3"/>
      <c r="AC172" s="2"/>
    </row>
    <row r="173" spans="1:29" x14ac:dyDescent="0.25">
      <c r="A173" s="3" t="s">
        <v>262</v>
      </c>
      <c r="B173" s="2">
        <v>0.14097222222222222</v>
      </c>
      <c r="C173">
        <v>0.83099999999999996</v>
      </c>
      <c r="E173" t="str">
        <f t="shared" si="1"/>
        <v>2018/06/14 03:23:00</v>
      </c>
      <c r="I173" s="2">
        <v>0.14027777777777778</v>
      </c>
      <c r="J173" s="2">
        <v>0.14097222222222222</v>
      </c>
      <c r="K173" s="2">
        <v>0.69930555555555551</v>
      </c>
      <c r="L173" s="2">
        <v>1.3194444444444444E-2</v>
      </c>
      <c r="M173" s="2">
        <v>1.0416666666666666E-2</v>
      </c>
      <c r="N173" s="2">
        <v>0.23194444444444445</v>
      </c>
      <c r="O173" s="9">
        <v>1.3888888888888888E-2</v>
      </c>
      <c r="AB173" s="3"/>
      <c r="AC173" s="2"/>
    </row>
    <row r="174" spans="1:29" x14ac:dyDescent="0.25">
      <c r="A174" s="3" t="s">
        <v>262</v>
      </c>
      <c r="B174" s="2">
        <v>0.69930555555555551</v>
      </c>
      <c r="C174">
        <v>0.67400000000000004</v>
      </c>
      <c r="E174" t="str">
        <f t="shared" si="1"/>
        <v>2018/06/14 16:47:00</v>
      </c>
      <c r="I174" s="14">
        <v>0.89200000000000002</v>
      </c>
      <c r="J174">
        <v>0.83099999999999996</v>
      </c>
      <c r="K174">
        <v>0.67400000000000004</v>
      </c>
      <c r="L174">
        <v>0.63900000000000001</v>
      </c>
      <c r="M174">
        <v>0.38200000000000001</v>
      </c>
      <c r="N174">
        <v>0.28000000000000003</v>
      </c>
      <c r="O174" s="12">
        <v>0.13800000000000001</v>
      </c>
      <c r="AB174" s="3"/>
      <c r="AC174" s="2"/>
    </row>
    <row r="175" spans="1:29" x14ac:dyDescent="0.25">
      <c r="A175" s="3" t="s">
        <v>263</v>
      </c>
      <c r="B175" s="2">
        <v>1.3194444444444444E-2</v>
      </c>
      <c r="C175">
        <v>0.63900000000000001</v>
      </c>
      <c r="E175" t="str">
        <f t="shared" si="1"/>
        <v>2018/06/15 00:19:00</v>
      </c>
      <c r="AB175" s="3"/>
      <c r="AC175" s="2"/>
    </row>
    <row r="176" spans="1:29" x14ac:dyDescent="0.25">
      <c r="A176" s="3" t="s">
        <v>264</v>
      </c>
      <c r="B176" s="2">
        <v>1.0416666666666666E-2</v>
      </c>
      <c r="C176">
        <v>0.38200000000000001</v>
      </c>
      <c r="E176" t="str">
        <f t="shared" si="1"/>
        <v>2018/06/16 00:15:00</v>
      </c>
      <c r="AB176" s="3"/>
      <c r="AC176" s="2"/>
    </row>
    <row r="177" spans="1:29" x14ac:dyDescent="0.25">
      <c r="A177" s="3" t="s">
        <v>102</v>
      </c>
      <c r="B177" s="2">
        <v>0.23194444444444445</v>
      </c>
      <c r="C177">
        <v>0.28000000000000003</v>
      </c>
      <c r="E177" t="str">
        <f t="shared" si="1"/>
        <v>2018/06/17 05:34:00</v>
      </c>
      <c r="AB177" s="3"/>
      <c r="AC177" s="2"/>
    </row>
    <row r="178" spans="1:29" s="19" customFormat="1" x14ac:dyDescent="0.25">
      <c r="A178" s="17" t="s">
        <v>237</v>
      </c>
      <c r="B178" s="18">
        <v>1.3888888888888888E-2</v>
      </c>
      <c r="C178" s="19">
        <v>0.13800000000000001</v>
      </c>
      <c r="E178" s="19" t="str">
        <f t="shared" si="1"/>
        <v>2018/06/18 00:20:00</v>
      </c>
      <c r="AB178" s="17"/>
      <c r="AC178" s="18"/>
    </row>
    <row r="179" spans="1:29" x14ac:dyDescent="0.25">
      <c r="A179" s="3" t="s">
        <v>265</v>
      </c>
      <c r="B179" s="2">
        <v>0.29305555555555557</v>
      </c>
      <c r="C179">
        <v>0.06</v>
      </c>
      <c r="E179" t="str">
        <f t="shared" si="1"/>
        <v>2018/05/09 07:02:00</v>
      </c>
      <c r="I179" s="3" t="s">
        <v>265</v>
      </c>
      <c r="J179" s="3" t="s">
        <v>265</v>
      </c>
      <c r="K179" s="3" t="s">
        <v>265</v>
      </c>
      <c r="L179" s="3" t="s">
        <v>116</v>
      </c>
      <c r="M179" s="10" t="s">
        <v>266</v>
      </c>
      <c r="AB179" s="3"/>
      <c r="AC179" s="2"/>
    </row>
    <row r="180" spans="1:29" x14ac:dyDescent="0.25">
      <c r="A180" s="3" t="s">
        <v>265</v>
      </c>
      <c r="B180" s="2">
        <v>0.29375000000000001</v>
      </c>
      <c r="C180">
        <v>5.8000000000000003E-2</v>
      </c>
      <c r="E180" t="str">
        <f t="shared" si="1"/>
        <v>2018/05/09 07:03:00</v>
      </c>
      <c r="I180" s="2">
        <v>0.29305555555555557</v>
      </c>
      <c r="J180" s="2">
        <v>0.29375000000000001</v>
      </c>
      <c r="K180" s="2">
        <v>0.65763888888888888</v>
      </c>
      <c r="L180" s="2">
        <v>1.3888888888888888E-2</v>
      </c>
      <c r="M180" s="9">
        <v>7.6388888888888886E-3</v>
      </c>
      <c r="AB180" s="3"/>
      <c r="AC180" s="2"/>
    </row>
    <row r="181" spans="1:29" x14ac:dyDescent="0.25">
      <c r="A181" s="3" t="s">
        <v>265</v>
      </c>
      <c r="B181" s="2">
        <v>0.65763888888888888</v>
      </c>
      <c r="C181">
        <v>5.8999999999999997E-2</v>
      </c>
      <c r="E181" t="str">
        <f t="shared" ref="E181:E244" si="2">TEXT(A181,"yyyy/mm/dd") &amp; " " &amp; TEXT(B181,"hh:mm:ss")</f>
        <v>2018/05/09 15:47:00</v>
      </c>
      <c r="I181" s="14">
        <v>0.06</v>
      </c>
      <c r="J181">
        <v>5.8000000000000003E-2</v>
      </c>
      <c r="K181">
        <v>5.8999999999999997E-2</v>
      </c>
      <c r="L181">
        <v>7.5999999999999998E-2</v>
      </c>
      <c r="M181" s="12">
        <v>5.3999999999999999E-2</v>
      </c>
      <c r="AB181" s="3"/>
      <c r="AC181" s="2"/>
    </row>
    <row r="182" spans="1:29" x14ac:dyDescent="0.25">
      <c r="A182" s="3" t="s">
        <v>116</v>
      </c>
      <c r="B182" s="2">
        <v>1.3888888888888888E-2</v>
      </c>
      <c r="C182">
        <v>7.5999999999999998E-2</v>
      </c>
      <c r="E182" t="str">
        <f t="shared" si="2"/>
        <v>2018/05/10 00:20:00</v>
      </c>
      <c r="AB182" s="3"/>
      <c r="AC182" s="2"/>
    </row>
    <row r="183" spans="1:29" s="19" customFormat="1" x14ac:dyDescent="0.25">
      <c r="A183" s="17" t="s">
        <v>266</v>
      </c>
      <c r="B183" s="18">
        <v>7.6388888888888886E-3</v>
      </c>
      <c r="C183" s="19">
        <v>5.3999999999999999E-2</v>
      </c>
      <c r="E183" s="19" t="str">
        <f t="shared" si="2"/>
        <v>2018/05/11 00:11:00</v>
      </c>
      <c r="AB183" s="17"/>
      <c r="AC183" s="18"/>
    </row>
    <row r="184" spans="1:29" x14ac:dyDescent="0.25">
      <c r="A184" s="3" t="s">
        <v>234</v>
      </c>
      <c r="B184" s="2">
        <v>0.45833333333333331</v>
      </c>
      <c r="C184">
        <v>0.39</v>
      </c>
      <c r="E184" t="str">
        <f t="shared" si="2"/>
        <v>2018/10/07 11:00:00</v>
      </c>
      <c r="I184" s="3" t="s">
        <v>234</v>
      </c>
      <c r="J184" s="3" t="s">
        <v>234</v>
      </c>
      <c r="K184" s="3" t="s">
        <v>235</v>
      </c>
      <c r="L184" s="3" t="s">
        <v>236</v>
      </c>
      <c r="M184" s="3" t="s">
        <v>267</v>
      </c>
      <c r="N184" s="3" t="s">
        <v>267</v>
      </c>
      <c r="O184" s="3" t="s">
        <v>268</v>
      </c>
      <c r="P184" s="3" t="s">
        <v>269</v>
      </c>
      <c r="Q184" s="3" t="s">
        <v>270</v>
      </c>
      <c r="AB184" s="3"/>
      <c r="AC184" s="2"/>
    </row>
    <row r="185" spans="1:29" x14ac:dyDescent="0.25">
      <c r="A185" s="3" t="s">
        <v>234</v>
      </c>
      <c r="B185" s="2">
        <v>0.91249999999999998</v>
      </c>
      <c r="C185">
        <v>1.26</v>
      </c>
      <c r="E185" t="str">
        <f t="shared" si="2"/>
        <v>2018/10/07 21:54:00</v>
      </c>
      <c r="I185" s="2">
        <v>0.45833333333333331</v>
      </c>
      <c r="J185" s="2">
        <v>0.91249999999999998</v>
      </c>
      <c r="K185" s="2">
        <v>2.2916666666666665E-2</v>
      </c>
      <c r="L185" s="2">
        <v>4.1666666666666666E-3</v>
      </c>
      <c r="M185" s="2">
        <v>3.4027777777777775E-2</v>
      </c>
      <c r="N185" s="2">
        <v>0.75486111111111109</v>
      </c>
      <c r="O185" s="2">
        <v>9.0277777777777769E-3</v>
      </c>
      <c r="P185" s="2">
        <v>2.7777777777777776E-2</v>
      </c>
      <c r="Q185" s="2">
        <v>4.1666666666666666E-3</v>
      </c>
      <c r="R185" s="3" t="s">
        <v>271</v>
      </c>
      <c r="S185" s="10" t="s">
        <v>272</v>
      </c>
      <c r="AB185" s="3"/>
      <c r="AC185" s="2"/>
    </row>
    <row r="186" spans="1:29" x14ac:dyDescent="0.25">
      <c r="A186" s="3" t="s">
        <v>235</v>
      </c>
      <c r="B186" s="2">
        <v>2.2916666666666665E-2</v>
      </c>
      <c r="C186">
        <v>0.89300000000000002</v>
      </c>
      <c r="E186" t="str">
        <f t="shared" si="2"/>
        <v>2018/10/08 00:33:00</v>
      </c>
      <c r="I186" s="14">
        <v>0.39</v>
      </c>
      <c r="J186">
        <v>1.26</v>
      </c>
      <c r="K186">
        <v>0.89300000000000002</v>
      </c>
      <c r="L186">
        <v>0.73499999999999999</v>
      </c>
      <c r="M186">
        <v>0.66600000000000004</v>
      </c>
      <c r="N186">
        <v>0.63400000000000001</v>
      </c>
      <c r="O186">
        <v>0.63900000000000001</v>
      </c>
      <c r="P186">
        <v>0.443</v>
      </c>
      <c r="Q186">
        <v>0.30599999999999999</v>
      </c>
      <c r="R186" s="2">
        <v>6.2500000000000003E-3</v>
      </c>
      <c r="S186" s="9">
        <v>5.5555555555555558E-3</v>
      </c>
      <c r="AB186" s="3"/>
      <c r="AC186" s="2"/>
    </row>
    <row r="187" spans="1:29" x14ac:dyDescent="0.25">
      <c r="A187" s="3" t="s">
        <v>236</v>
      </c>
      <c r="B187" s="2">
        <v>4.1666666666666666E-3</v>
      </c>
      <c r="C187">
        <v>0.73499999999999999</v>
      </c>
      <c r="E187" t="str">
        <f t="shared" si="2"/>
        <v>2018/10/09 00:06:00</v>
      </c>
      <c r="R187">
        <v>0.22700000000000001</v>
      </c>
      <c r="S187" s="12">
        <v>0.157</v>
      </c>
      <c r="AB187" s="3"/>
      <c r="AC187" s="2"/>
    </row>
    <row r="188" spans="1:29" x14ac:dyDescent="0.25">
      <c r="A188" s="3" t="s">
        <v>267</v>
      </c>
      <c r="B188" s="2">
        <v>3.4027777777777775E-2</v>
      </c>
      <c r="C188">
        <v>0.66600000000000004</v>
      </c>
      <c r="E188" t="str">
        <f t="shared" si="2"/>
        <v>2018/10/10 00:49:00</v>
      </c>
      <c r="AB188" s="3"/>
      <c r="AC188" s="2"/>
    </row>
    <row r="189" spans="1:29" x14ac:dyDescent="0.25">
      <c r="A189" s="3" t="s">
        <v>267</v>
      </c>
      <c r="B189" s="2">
        <v>0.75486111111111109</v>
      </c>
      <c r="C189">
        <v>0.63400000000000001</v>
      </c>
      <c r="E189" t="str">
        <f t="shared" si="2"/>
        <v>2018/10/10 18:07:00</v>
      </c>
      <c r="AB189" s="3"/>
      <c r="AC189" s="2"/>
    </row>
    <row r="190" spans="1:29" x14ac:dyDescent="0.25">
      <c r="A190" s="3" t="s">
        <v>268</v>
      </c>
      <c r="B190" s="2">
        <v>9.0277777777777769E-3</v>
      </c>
      <c r="C190">
        <v>0.63900000000000001</v>
      </c>
      <c r="E190" t="str">
        <f t="shared" si="2"/>
        <v>2018/10/11 00:13:00</v>
      </c>
      <c r="AB190" s="3"/>
      <c r="AC190" s="2"/>
    </row>
    <row r="191" spans="1:29" x14ac:dyDescent="0.25">
      <c r="A191" s="3" t="s">
        <v>269</v>
      </c>
      <c r="B191" s="2">
        <v>2.7777777777777776E-2</v>
      </c>
      <c r="C191">
        <v>0.443</v>
      </c>
      <c r="E191" t="str">
        <f t="shared" si="2"/>
        <v>2018/10/12 00:40:00</v>
      </c>
      <c r="AB191" s="3"/>
      <c r="AC191" s="2"/>
    </row>
    <row r="192" spans="1:29" x14ac:dyDescent="0.25">
      <c r="A192" s="3" t="s">
        <v>270</v>
      </c>
      <c r="B192" s="2">
        <v>4.1666666666666666E-3</v>
      </c>
      <c r="C192">
        <v>0.30599999999999999</v>
      </c>
      <c r="E192" t="str">
        <f t="shared" si="2"/>
        <v>2018/10/13 00:06:00</v>
      </c>
      <c r="AB192" s="3"/>
      <c r="AC192" s="2"/>
    </row>
    <row r="193" spans="1:29" x14ac:dyDescent="0.25">
      <c r="A193" s="3" t="s">
        <v>271</v>
      </c>
      <c r="B193" s="2">
        <v>6.2500000000000003E-3</v>
      </c>
      <c r="C193">
        <v>0.22700000000000001</v>
      </c>
      <c r="E193" t="str">
        <f t="shared" si="2"/>
        <v>2018/10/14 00:09:00</v>
      </c>
      <c r="AB193" s="3"/>
      <c r="AC193" s="2"/>
    </row>
    <row r="194" spans="1:29" s="19" customFormat="1" x14ac:dyDescent="0.25">
      <c r="A194" s="17" t="s">
        <v>272</v>
      </c>
      <c r="B194" s="18">
        <v>5.5555555555555558E-3</v>
      </c>
      <c r="C194" s="19">
        <v>0.157</v>
      </c>
      <c r="E194" s="19" t="str">
        <f t="shared" si="2"/>
        <v>2018/10/15 00:08:00</v>
      </c>
      <c r="AB194" s="17"/>
      <c r="AC194" s="18"/>
    </row>
    <row r="195" spans="1:29" x14ac:dyDescent="0.25">
      <c r="A195" s="3" t="s">
        <v>273</v>
      </c>
      <c r="B195" s="2">
        <v>0.74444444444444446</v>
      </c>
      <c r="C195">
        <v>0.34399999999999997</v>
      </c>
      <c r="E195" t="str">
        <f t="shared" si="2"/>
        <v>2018/10/22 17:52:00</v>
      </c>
      <c r="I195" s="3" t="s">
        <v>273</v>
      </c>
      <c r="J195" s="3" t="s">
        <v>274</v>
      </c>
      <c r="K195" s="3" t="s">
        <v>274</v>
      </c>
      <c r="L195" s="3" t="s">
        <v>275</v>
      </c>
      <c r="M195" s="3" t="s">
        <v>276</v>
      </c>
      <c r="N195" s="3" t="s">
        <v>276</v>
      </c>
      <c r="O195" s="3" t="s">
        <v>277</v>
      </c>
      <c r="P195" s="3" t="s">
        <v>277</v>
      </c>
      <c r="Q195" s="3" t="s">
        <v>278</v>
      </c>
      <c r="AB195" s="3"/>
      <c r="AC195" s="2"/>
    </row>
    <row r="196" spans="1:29" x14ac:dyDescent="0.25">
      <c r="A196" s="3" t="s">
        <v>274</v>
      </c>
      <c r="B196" s="2">
        <v>3.6111111111111108E-2</v>
      </c>
      <c r="C196">
        <v>0.30499999999999999</v>
      </c>
      <c r="E196" t="str">
        <f t="shared" si="2"/>
        <v>2018/10/23 00:52:00</v>
      </c>
      <c r="I196" s="2">
        <v>0.74444444444444446</v>
      </c>
      <c r="J196" s="2">
        <v>3.6111111111111108E-2</v>
      </c>
      <c r="K196" s="2">
        <v>0.66111111111111109</v>
      </c>
      <c r="L196" s="2">
        <v>2.6388888888888889E-2</v>
      </c>
      <c r="M196" s="2">
        <v>1.4583333333333334E-2</v>
      </c>
      <c r="N196" s="2">
        <v>0.71527777777777779</v>
      </c>
      <c r="O196" s="2">
        <v>0.24305555555555555</v>
      </c>
      <c r="P196" s="2">
        <v>0.48055555555555557</v>
      </c>
      <c r="Q196" s="2">
        <v>1.3888888888888889E-3</v>
      </c>
      <c r="R196" s="3" t="s">
        <v>279</v>
      </c>
      <c r="S196" s="10" t="s">
        <v>280</v>
      </c>
      <c r="AB196" s="3"/>
      <c r="AC196" s="2"/>
    </row>
    <row r="197" spans="1:29" x14ac:dyDescent="0.25">
      <c r="A197" s="3" t="s">
        <v>274</v>
      </c>
      <c r="B197" s="2">
        <v>0.66111111111111109</v>
      </c>
      <c r="C197">
        <v>0.25</v>
      </c>
      <c r="E197" t="str">
        <f t="shared" si="2"/>
        <v>2018/10/23 15:52:00</v>
      </c>
      <c r="I197" s="14">
        <v>0.34399999999999997</v>
      </c>
      <c r="J197">
        <v>0.30499999999999999</v>
      </c>
      <c r="K197">
        <v>0.25</v>
      </c>
      <c r="L197">
        <v>0.20899999999999999</v>
      </c>
      <c r="M197">
        <v>0.158</v>
      </c>
      <c r="N197">
        <v>0.13800000000000001</v>
      </c>
      <c r="O197">
        <v>8.0000000000000002E-3</v>
      </c>
      <c r="P197">
        <v>7.5999999999999998E-2</v>
      </c>
      <c r="Q197">
        <v>8.4000000000000005E-2</v>
      </c>
      <c r="R197" s="2">
        <v>4.1666666666666666E-3</v>
      </c>
      <c r="S197" s="9">
        <v>2.0833333333333333E-3</v>
      </c>
      <c r="AB197" s="3"/>
      <c r="AC197" s="2"/>
    </row>
    <row r="198" spans="1:29" x14ac:dyDescent="0.25">
      <c r="A198" s="3" t="s">
        <v>275</v>
      </c>
      <c r="B198" s="2">
        <v>2.6388888888888889E-2</v>
      </c>
      <c r="C198">
        <v>0.20899999999999999</v>
      </c>
      <c r="E198" t="str">
        <f t="shared" si="2"/>
        <v>2018/10/24 00:38:00</v>
      </c>
      <c r="R198">
        <v>7.3999999999999996E-2</v>
      </c>
      <c r="S198" s="12">
        <v>7.9000000000000001E-2</v>
      </c>
      <c r="AB198" s="3"/>
      <c r="AC198" s="2"/>
    </row>
    <row r="199" spans="1:29" x14ac:dyDescent="0.25">
      <c r="A199" s="3" t="s">
        <v>276</v>
      </c>
      <c r="B199" s="2">
        <v>1.4583333333333334E-2</v>
      </c>
      <c r="C199">
        <v>0.158</v>
      </c>
      <c r="E199" t="str">
        <f t="shared" si="2"/>
        <v>2018/10/25 00:21:00</v>
      </c>
      <c r="AB199" s="3"/>
      <c r="AC199" s="2"/>
    </row>
    <row r="200" spans="1:29" x14ac:dyDescent="0.25">
      <c r="A200" s="3" t="s">
        <v>276</v>
      </c>
      <c r="B200" s="2">
        <v>0.71527777777777779</v>
      </c>
      <c r="C200">
        <v>0.13800000000000001</v>
      </c>
      <c r="E200" t="str">
        <f t="shared" si="2"/>
        <v>2018/10/25 17:10:00</v>
      </c>
      <c r="AB200" s="3"/>
      <c r="AC200" s="2"/>
    </row>
    <row r="201" spans="1:29" x14ac:dyDescent="0.25">
      <c r="A201" s="3" t="s">
        <v>277</v>
      </c>
      <c r="B201" s="2">
        <v>0.24305555555555555</v>
      </c>
      <c r="C201">
        <v>8.0000000000000002E-3</v>
      </c>
      <c r="E201" t="str">
        <f t="shared" si="2"/>
        <v>2018/10/26 05:50:00</v>
      </c>
      <c r="AB201" s="3"/>
      <c r="AC201" s="2"/>
    </row>
    <row r="202" spans="1:29" x14ac:dyDescent="0.25">
      <c r="A202" s="3" t="s">
        <v>277</v>
      </c>
      <c r="B202" s="2">
        <v>0.48055555555555557</v>
      </c>
      <c r="C202">
        <v>7.5999999999999998E-2</v>
      </c>
      <c r="E202" t="str">
        <f t="shared" si="2"/>
        <v>2018/10/26 11:32:00</v>
      </c>
      <c r="AB202" s="3"/>
      <c r="AC202" s="2"/>
    </row>
    <row r="203" spans="1:29" x14ac:dyDescent="0.25">
      <c r="A203" s="3" t="s">
        <v>278</v>
      </c>
      <c r="B203" s="2">
        <v>1.3888888888888889E-3</v>
      </c>
      <c r="C203">
        <v>8.4000000000000005E-2</v>
      </c>
      <c r="E203" t="str">
        <f t="shared" si="2"/>
        <v>2018/10/27 00:02:00</v>
      </c>
      <c r="AB203" s="3"/>
      <c r="AC203" s="2"/>
    </row>
    <row r="204" spans="1:29" x14ac:dyDescent="0.25">
      <c r="A204" s="3" t="s">
        <v>279</v>
      </c>
      <c r="B204" s="2">
        <v>4.1666666666666666E-3</v>
      </c>
      <c r="C204">
        <v>7.3999999999999996E-2</v>
      </c>
      <c r="E204" t="str">
        <f t="shared" si="2"/>
        <v>2018/10/28 00:06:00</v>
      </c>
      <c r="AB204" s="3"/>
      <c r="AC204" s="2"/>
    </row>
    <row r="205" spans="1:29" s="19" customFormat="1" x14ac:dyDescent="0.25">
      <c r="A205" s="17" t="s">
        <v>280</v>
      </c>
      <c r="B205" s="18">
        <v>2.0833333333333333E-3</v>
      </c>
      <c r="C205" s="19">
        <v>7.9000000000000001E-2</v>
      </c>
      <c r="E205" s="19" t="str">
        <f t="shared" si="2"/>
        <v>2018/10/29 00:03:00</v>
      </c>
      <c r="AB205" s="17"/>
      <c r="AC205" s="18"/>
    </row>
    <row r="206" spans="1:29" x14ac:dyDescent="0.25">
      <c r="A206" s="3" t="s">
        <v>111</v>
      </c>
      <c r="B206" s="2">
        <v>0.67152777777777772</v>
      </c>
      <c r="C206">
        <v>0.13</v>
      </c>
      <c r="E206" t="str">
        <f t="shared" si="2"/>
        <v>2019/05/16 16:07:00</v>
      </c>
      <c r="I206" s="3" t="s">
        <v>111</v>
      </c>
      <c r="J206" s="3" t="s">
        <v>111</v>
      </c>
      <c r="K206" s="3" t="s">
        <v>281</v>
      </c>
      <c r="L206" s="3" t="s">
        <v>282</v>
      </c>
      <c r="M206" s="3" t="s">
        <v>283</v>
      </c>
      <c r="N206" s="10" t="s">
        <v>284</v>
      </c>
      <c r="AB206" s="3"/>
      <c r="AC206" s="5"/>
    </row>
    <row r="207" spans="1:29" x14ac:dyDescent="0.25">
      <c r="A207" s="3" t="s">
        <v>111</v>
      </c>
      <c r="B207" s="5">
        <v>0.91180555555555554</v>
      </c>
      <c r="C207">
        <v>0.217</v>
      </c>
      <c r="E207" t="str">
        <f t="shared" si="2"/>
        <v>2019/05/16 21:53:00</v>
      </c>
      <c r="I207" s="2">
        <v>0.67152777777777772</v>
      </c>
      <c r="J207" s="5">
        <v>0.91180555555555554</v>
      </c>
      <c r="K207" s="2">
        <v>1.8749999999999999E-2</v>
      </c>
      <c r="L207" s="2">
        <v>4.8611111111111112E-3</v>
      </c>
      <c r="M207" s="5">
        <v>0.25</v>
      </c>
      <c r="N207" s="9">
        <v>2.0833333333333333E-3</v>
      </c>
      <c r="AB207" s="3"/>
      <c r="AC207" s="2"/>
    </row>
    <row r="208" spans="1:29" x14ac:dyDescent="0.25">
      <c r="A208" s="3" t="s">
        <v>281</v>
      </c>
      <c r="B208" s="2">
        <v>1.8749999999999999E-2</v>
      </c>
      <c r="C208">
        <v>0.14699999999999999</v>
      </c>
      <c r="E208" t="str">
        <f t="shared" si="2"/>
        <v>2019/05/17 00:27:00</v>
      </c>
      <c r="I208" s="14">
        <v>0.13</v>
      </c>
      <c r="J208">
        <v>0.217</v>
      </c>
      <c r="K208">
        <v>0.14699999999999999</v>
      </c>
      <c r="L208">
        <v>0.1</v>
      </c>
      <c r="M208">
        <v>9.5000000000000001E-2</v>
      </c>
      <c r="N208" s="12">
        <v>7.5999999999999998E-2</v>
      </c>
      <c r="AB208" s="3"/>
      <c r="AC208" s="2"/>
    </row>
    <row r="209" spans="1:29" x14ac:dyDescent="0.25">
      <c r="A209" s="3" t="s">
        <v>282</v>
      </c>
      <c r="B209" s="2">
        <v>4.8611111111111112E-3</v>
      </c>
      <c r="C209">
        <v>0.1</v>
      </c>
      <c r="E209" t="str">
        <f t="shared" si="2"/>
        <v>2019/05/18 00:07:00</v>
      </c>
      <c r="AB209" s="3"/>
      <c r="AC209" s="5"/>
    </row>
    <row r="210" spans="1:29" x14ac:dyDescent="0.25">
      <c r="A210" s="3" t="s">
        <v>283</v>
      </c>
      <c r="B210" s="5">
        <v>0.25</v>
      </c>
      <c r="C210">
        <v>9.5000000000000001E-2</v>
      </c>
      <c r="E210" t="str">
        <f t="shared" si="2"/>
        <v>2019/05/19 06:00:00</v>
      </c>
      <c r="AB210" s="3"/>
      <c r="AC210" s="2"/>
    </row>
    <row r="211" spans="1:29" s="19" customFormat="1" x14ac:dyDescent="0.25">
      <c r="A211" s="17" t="s">
        <v>284</v>
      </c>
      <c r="B211" s="18">
        <v>2.0833333333333333E-3</v>
      </c>
      <c r="C211" s="19">
        <v>7.5999999999999998E-2</v>
      </c>
      <c r="E211" s="19" t="str">
        <f t="shared" si="2"/>
        <v>2019/05/20 00:03:00</v>
      </c>
      <c r="AB211" s="17"/>
      <c r="AC211" s="18"/>
    </row>
    <row r="212" spans="1:29" x14ac:dyDescent="0.25">
      <c r="A212" s="3" t="s">
        <v>285</v>
      </c>
      <c r="B212" s="2">
        <v>0.50069444444444444</v>
      </c>
      <c r="C212">
        <v>3.0000000000000001E-3</v>
      </c>
      <c r="E212" t="str">
        <f t="shared" si="2"/>
        <v>2018/04/09 12:01:00</v>
      </c>
      <c r="I212" s="3" t="s">
        <v>285</v>
      </c>
      <c r="J212" s="3" t="s">
        <v>285</v>
      </c>
      <c r="K212" s="3" t="s">
        <v>286</v>
      </c>
      <c r="L212" s="10" t="s">
        <v>287</v>
      </c>
      <c r="AB212" s="3"/>
      <c r="AC212" s="2"/>
    </row>
    <row r="213" spans="1:29" x14ac:dyDescent="0.25">
      <c r="A213" s="3" t="s">
        <v>285</v>
      </c>
      <c r="B213" s="2">
        <v>0.88055555555555554</v>
      </c>
      <c r="C213">
        <v>7.0000000000000001E-3</v>
      </c>
      <c r="E213" t="str">
        <f t="shared" si="2"/>
        <v>2018/04/09 21:08:00</v>
      </c>
      <c r="I213" s="2">
        <v>0.50069444444444444</v>
      </c>
      <c r="J213" s="2">
        <v>0.88055555555555554</v>
      </c>
      <c r="K213" s="2">
        <v>6.9444444444444447E-4</v>
      </c>
      <c r="L213" s="9">
        <v>5.5555555555555558E-3</v>
      </c>
      <c r="AB213" s="3"/>
      <c r="AC213" s="2"/>
    </row>
    <row r="214" spans="1:29" x14ac:dyDescent="0.25">
      <c r="A214" s="3" t="s">
        <v>286</v>
      </c>
      <c r="B214" s="2">
        <v>6.9444444444444447E-4</v>
      </c>
      <c r="C214">
        <v>3.0000000000000001E-3</v>
      </c>
      <c r="E214" t="str">
        <f t="shared" si="2"/>
        <v>2018/04/10 00:01:00</v>
      </c>
      <c r="I214" s="14">
        <v>3.0000000000000001E-3</v>
      </c>
      <c r="J214">
        <v>7.0000000000000001E-3</v>
      </c>
      <c r="K214">
        <v>3.0000000000000001E-3</v>
      </c>
      <c r="L214" s="12">
        <v>3.0000000000000001E-3</v>
      </c>
      <c r="AB214" s="3"/>
      <c r="AC214" s="2"/>
    </row>
    <row r="215" spans="1:29" s="19" customFormat="1" x14ac:dyDescent="0.25">
      <c r="A215" s="17" t="s">
        <v>287</v>
      </c>
      <c r="B215" s="18">
        <v>5.5555555555555558E-3</v>
      </c>
      <c r="C215" s="19">
        <v>3.0000000000000001E-3</v>
      </c>
      <c r="E215" s="19" t="str">
        <f t="shared" si="2"/>
        <v>2018/04/11 00:08:00</v>
      </c>
      <c r="AB215" s="17"/>
      <c r="AC215" s="18"/>
    </row>
    <row r="216" spans="1:29" x14ac:dyDescent="0.25">
      <c r="A216" s="3" t="s">
        <v>113</v>
      </c>
      <c r="B216" s="2">
        <v>0.36458333333333331</v>
      </c>
      <c r="C216">
        <v>6.0000000000000001E-3</v>
      </c>
      <c r="E216" t="str">
        <f t="shared" si="2"/>
        <v>2018/07/30 08:45:00</v>
      </c>
      <c r="I216" s="3" t="s">
        <v>113</v>
      </c>
      <c r="J216" s="3" t="s">
        <v>288</v>
      </c>
      <c r="K216" s="3" t="s">
        <v>289</v>
      </c>
      <c r="L216" s="3" t="s">
        <v>290</v>
      </c>
      <c r="M216" s="3" t="s">
        <v>291</v>
      </c>
      <c r="N216" s="3" t="s">
        <v>291</v>
      </c>
      <c r="O216" s="3" t="s">
        <v>292</v>
      </c>
      <c r="P216" s="3" t="s">
        <v>293</v>
      </c>
      <c r="Q216" s="10" t="s">
        <v>294</v>
      </c>
      <c r="AB216" s="3"/>
      <c r="AC216" s="2"/>
    </row>
    <row r="217" spans="1:29" x14ac:dyDescent="0.25">
      <c r="A217" s="3" t="s">
        <v>288</v>
      </c>
      <c r="B217" s="2">
        <v>3.472222222222222E-3</v>
      </c>
      <c r="E217" t="str">
        <f t="shared" si="2"/>
        <v>2018/07/31 00:05:00</v>
      </c>
      <c r="I217" s="2">
        <v>0.36458333333333331</v>
      </c>
      <c r="J217" s="2">
        <v>3.472222222222222E-3</v>
      </c>
      <c r="K217" s="2">
        <v>3.472222222222222E-3</v>
      </c>
      <c r="L217" s="2">
        <v>1.5972222222222221E-2</v>
      </c>
      <c r="M217" s="2">
        <v>5.5555555555555558E-3</v>
      </c>
      <c r="N217" s="2">
        <v>0.7319444444444444</v>
      </c>
      <c r="O217" s="2">
        <v>4.1666666666666666E-3</v>
      </c>
      <c r="P217" s="2">
        <v>4.8611111111111112E-3</v>
      </c>
      <c r="Q217" s="9">
        <v>1.3888888888888889E-3</v>
      </c>
      <c r="AB217" s="3"/>
      <c r="AC217" s="2"/>
    </row>
    <row r="218" spans="1:29" x14ac:dyDescent="0.25">
      <c r="A218" s="3" t="s">
        <v>289</v>
      </c>
      <c r="B218" s="2">
        <v>3.472222222222222E-3</v>
      </c>
      <c r="C218">
        <v>7.0000000000000001E-3</v>
      </c>
      <c r="E218" t="str">
        <f t="shared" si="2"/>
        <v>2018/08/01 00:05:00</v>
      </c>
      <c r="I218" s="14">
        <v>6.0000000000000001E-3</v>
      </c>
      <c r="K218">
        <v>7.0000000000000001E-3</v>
      </c>
      <c r="L218">
        <v>7.0000000000000001E-3</v>
      </c>
      <c r="M218">
        <v>8.0000000000000002E-3</v>
      </c>
      <c r="N218">
        <v>2.4E-2</v>
      </c>
      <c r="O218">
        <v>1.7000000000000001E-2</v>
      </c>
      <c r="P218">
        <v>1.2999999999999999E-2</v>
      </c>
      <c r="Q218" s="12">
        <v>1.2999999999999999E-2</v>
      </c>
      <c r="AB218" s="3"/>
      <c r="AC218" s="2"/>
    </row>
    <row r="219" spans="1:29" x14ac:dyDescent="0.25">
      <c r="A219" s="3" t="s">
        <v>290</v>
      </c>
      <c r="B219" s="2">
        <v>1.5972222222222221E-2</v>
      </c>
      <c r="C219">
        <v>7.0000000000000001E-3</v>
      </c>
      <c r="E219" t="str">
        <f t="shared" si="2"/>
        <v>2018/08/02 00:23:00</v>
      </c>
      <c r="AB219" s="3"/>
      <c r="AC219" s="2"/>
    </row>
    <row r="220" spans="1:29" x14ac:dyDescent="0.25">
      <c r="A220" s="3" t="s">
        <v>291</v>
      </c>
      <c r="B220" s="2">
        <v>5.5555555555555558E-3</v>
      </c>
      <c r="C220">
        <v>8.0000000000000002E-3</v>
      </c>
      <c r="E220" t="str">
        <f t="shared" si="2"/>
        <v>2018/08/03 00:08:00</v>
      </c>
      <c r="AB220" s="3"/>
      <c r="AC220" s="2"/>
    </row>
    <row r="221" spans="1:29" x14ac:dyDescent="0.25">
      <c r="A221" s="3" t="s">
        <v>291</v>
      </c>
      <c r="B221" s="2">
        <v>0.7319444444444444</v>
      </c>
      <c r="C221">
        <v>2.4E-2</v>
      </c>
      <c r="E221" t="str">
        <f t="shared" si="2"/>
        <v>2018/08/03 17:34:00</v>
      </c>
      <c r="AB221" s="3"/>
      <c r="AC221" s="2"/>
    </row>
    <row r="222" spans="1:29" x14ac:dyDescent="0.25">
      <c r="A222" s="3" t="s">
        <v>292</v>
      </c>
      <c r="B222" s="2">
        <v>4.1666666666666666E-3</v>
      </c>
      <c r="C222">
        <v>1.7000000000000001E-2</v>
      </c>
      <c r="E222" t="str">
        <f t="shared" si="2"/>
        <v>2018/08/04 00:06:00</v>
      </c>
      <c r="AB222" s="3"/>
      <c r="AC222" s="2"/>
    </row>
    <row r="223" spans="1:29" x14ac:dyDescent="0.25">
      <c r="A223" s="3" t="s">
        <v>293</v>
      </c>
      <c r="B223" s="2">
        <v>4.8611111111111112E-3</v>
      </c>
      <c r="C223">
        <v>1.2999999999999999E-2</v>
      </c>
      <c r="E223" t="str">
        <f t="shared" si="2"/>
        <v>2018/08/05 00:07:00</v>
      </c>
      <c r="AB223" s="3"/>
      <c r="AC223" s="2"/>
    </row>
    <row r="224" spans="1:29" s="19" customFormat="1" x14ac:dyDescent="0.25">
      <c r="A224" s="17" t="s">
        <v>294</v>
      </c>
      <c r="B224" s="18">
        <v>1.3888888888888889E-3</v>
      </c>
      <c r="C224" s="19">
        <v>1.2999999999999999E-2</v>
      </c>
      <c r="E224" s="19" t="str">
        <f t="shared" si="2"/>
        <v>2018/08/06 00:02:00</v>
      </c>
      <c r="AB224" s="17"/>
      <c r="AC224" s="18"/>
    </row>
    <row r="225" spans="1:29" x14ac:dyDescent="0.25">
      <c r="A225" s="3" t="s">
        <v>295</v>
      </c>
      <c r="B225" s="2">
        <v>0.18124999999999999</v>
      </c>
      <c r="C225">
        <v>0.27</v>
      </c>
      <c r="E225" t="str">
        <f t="shared" si="2"/>
        <v>2018/09/03 04:21:00</v>
      </c>
      <c r="I225" s="3" t="s">
        <v>295</v>
      </c>
      <c r="J225" s="3" t="s">
        <v>295</v>
      </c>
      <c r="K225" s="3" t="s">
        <v>295</v>
      </c>
      <c r="L225" s="3" t="s">
        <v>296</v>
      </c>
      <c r="M225" s="3" t="s">
        <v>297</v>
      </c>
      <c r="N225" s="3" t="s">
        <v>298</v>
      </c>
      <c r="O225" s="3" t="s">
        <v>299</v>
      </c>
      <c r="P225" s="3" t="s">
        <v>300</v>
      </c>
      <c r="Q225" s="3" t="s">
        <v>301</v>
      </c>
      <c r="AB225" s="3"/>
      <c r="AC225" s="2"/>
    </row>
    <row r="226" spans="1:29" x14ac:dyDescent="0.25">
      <c r="A226" s="3" t="s">
        <v>295</v>
      </c>
      <c r="B226" s="2">
        <v>0.18194444444444444</v>
      </c>
      <c r="C226">
        <v>0.219</v>
      </c>
      <c r="E226" t="str">
        <f t="shared" si="2"/>
        <v>2018/09/03 04:22:00</v>
      </c>
      <c r="I226" s="2">
        <v>0.18124999999999999</v>
      </c>
      <c r="J226" s="2">
        <v>0.18194444444444444</v>
      </c>
      <c r="K226" s="2">
        <v>0.65208333333333335</v>
      </c>
      <c r="L226" s="2">
        <v>1.8749999999999999E-2</v>
      </c>
      <c r="M226" s="2">
        <v>1.8055555555555554E-2</v>
      </c>
      <c r="N226" s="2">
        <v>8.3333333333333332E-3</v>
      </c>
      <c r="O226" s="2">
        <v>3.6805555555555557E-2</v>
      </c>
      <c r="P226" s="2">
        <v>3.1944444444444442E-2</v>
      </c>
      <c r="Q226" s="2">
        <v>9.0277777777777769E-3</v>
      </c>
      <c r="R226" s="3" t="s">
        <v>302</v>
      </c>
      <c r="S226" s="3" t="s">
        <v>303</v>
      </c>
      <c r="T226" s="3" t="s">
        <v>304</v>
      </c>
      <c r="U226" s="10" t="s">
        <v>117</v>
      </c>
      <c r="AB226" s="3"/>
      <c r="AC226" s="2"/>
    </row>
    <row r="227" spans="1:29" x14ac:dyDescent="0.25">
      <c r="A227" s="3" t="s">
        <v>295</v>
      </c>
      <c r="B227" s="2">
        <v>0.65208333333333335</v>
      </c>
      <c r="C227">
        <v>9.2999999999999999E-2</v>
      </c>
      <c r="E227" t="str">
        <f t="shared" si="2"/>
        <v>2018/09/03 15:39:00</v>
      </c>
      <c r="I227" s="14">
        <v>0.27</v>
      </c>
      <c r="J227">
        <v>0.219</v>
      </c>
      <c r="K227">
        <v>9.2999999999999999E-2</v>
      </c>
      <c r="L227">
        <v>6.4000000000000001E-2</v>
      </c>
      <c r="M227">
        <v>5.2999999999999999E-2</v>
      </c>
      <c r="N227">
        <v>3.5999999999999997E-2</v>
      </c>
      <c r="O227">
        <v>0.02</v>
      </c>
      <c r="P227">
        <v>1.2999999999999999E-2</v>
      </c>
      <c r="Q227">
        <v>0.01</v>
      </c>
      <c r="R227" s="2">
        <v>1.3888888888888889E-3</v>
      </c>
      <c r="S227" s="2">
        <v>4.1666666666666666E-3</v>
      </c>
      <c r="T227" s="2">
        <v>9.7222222222222224E-3</v>
      </c>
      <c r="U227" s="9">
        <v>6.1805555555555558E-2</v>
      </c>
      <c r="AB227" s="3"/>
      <c r="AC227" s="2"/>
    </row>
    <row r="228" spans="1:29" x14ac:dyDescent="0.25">
      <c r="A228" s="3" t="s">
        <v>296</v>
      </c>
      <c r="B228" s="2">
        <v>1.8749999999999999E-2</v>
      </c>
      <c r="C228">
        <v>6.4000000000000001E-2</v>
      </c>
      <c r="E228" t="str">
        <f t="shared" si="2"/>
        <v>2018/09/04 00:27:00</v>
      </c>
      <c r="R228">
        <v>1.0999999999999999E-2</v>
      </c>
      <c r="S228">
        <v>8.9999999999999993E-3</v>
      </c>
      <c r="U228" s="12">
        <v>1.0999999999999999E-2</v>
      </c>
      <c r="AB228" s="3"/>
      <c r="AC228" s="2"/>
    </row>
    <row r="229" spans="1:29" x14ac:dyDescent="0.25">
      <c r="A229" s="3" t="s">
        <v>297</v>
      </c>
      <c r="B229" s="2">
        <v>1.8055555555555554E-2</v>
      </c>
      <c r="C229">
        <v>5.2999999999999999E-2</v>
      </c>
      <c r="E229" t="str">
        <f t="shared" si="2"/>
        <v>2018/09/05 00:26:00</v>
      </c>
      <c r="AB229" s="3"/>
      <c r="AC229" s="2"/>
    </row>
    <row r="230" spans="1:29" x14ac:dyDescent="0.25">
      <c r="A230" s="3" t="s">
        <v>298</v>
      </c>
      <c r="B230" s="2">
        <v>8.3333333333333332E-3</v>
      </c>
      <c r="C230">
        <v>3.5999999999999997E-2</v>
      </c>
      <c r="E230" t="str">
        <f t="shared" si="2"/>
        <v>2018/09/06 00:12:00</v>
      </c>
      <c r="AB230" s="3"/>
      <c r="AC230" s="2"/>
    </row>
    <row r="231" spans="1:29" x14ac:dyDescent="0.25">
      <c r="A231" s="3" t="s">
        <v>299</v>
      </c>
      <c r="B231" s="2">
        <v>3.6805555555555557E-2</v>
      </c>
      <c r="C231">
        <v>0.02</v>
      </c>
      <c r="E231" t="str">
        <f t="shared" si="2"/>
        <v>2018/09/07 00:53:00</v>
      </c>
      <c r="AB231" s="3"/>
      <c r="AC231" s="2"/>
    </row>
    <row r="232" spans="1:29" x14ac:dyDescent="0.25">
      <c r="A232" s="3" t="s">
        <v>300</v>
      </c>
      <c r="B232" s="2">
        <v>3.1944444444444442E-2</v>
      </c>
      <c r="C232">
        <v>1.2999999999999999E-2</v>
      </c>
      <c r="E232" t="str">
        <f t="shared" si="2"/>
        <v>2018/09/08 00:46:00</v>
      </c>
      <c r="AB232" s="3"/>
      <c r="AC232" s="2"/>
    </row>
    <row r="233" spans="1:29" x14ac:dyDescent="0.25">
      <c r="A233" s="3" t="s">
        <v>301</v>
      </c>
      <c r="B233" s="2">
        <v>9.0277777777777769E-3</v>
      </c>
      <c r="C233">
        <v>0.01</v>
      </c>
      <c r="E233" t="str">
        <f t="shared" si="2"/>
        <v>2018/09/09 00:13:00</v>
      </c>
      <c r="AB233" s="3"/>
      <c r="AC233" s="2"/>
    </row>
    <row r="234" spans="1:29" x14ac:dyDescent="0.25">
      <c r="A234" s="3" t="s">
        <v>302</v>
      </c>
      <c r="B234" s="2">
        <v>1.3888888888888889E-3</v>
      </c>
      <c r="C234">
        <v>1.0999999999999999E-2</v>
      </c>
      <c r="E234" t="str">
        <f t="shared" si="2"/>
        <v>2018/09/10 00:02:00</v>
      </c>
      <c r="AB234" s="3"/>
      <c r="AC234" s="2"/>
    </row>
    <row r="235" spans="1:29" x14ac:dyDescent="0.25">
      <c r="A235" s="3" t="s">
        <v>303</v>
      </c>
      <c r="B235" s="2">
        <v>4.1666666666666666E-3</v>
      </c>
      <c r="C235">
        <v>8.9999999999999993E-3</v>
      </c>
      <c r="E235" t="str">
        <f t="shared" si="2"/>
        <v>2018/09/11 00:06:00</v>
      </c>
      <c r="AB235" s="3"/>
      <c r="AC235" s="2"/>
    </row>
    <row r="236" spans="1:29" x14ac:dyDescent="0.25">
      <c r="A236" s="3" t="s">
        <v>304</v>
      </c>
      <c r="B236" s="2">
        <v>9.7222222222222224E-3</v>
      </c>
      <c r="E236" t="str">
        <f t="shared" si="2"/>
        <v>2018/09/12 00:14:00</v>
      </c>
      <c r="AB236" s="3"/>
      <c r="AC236" s="2"/>
    </row>
    <row r="237" spans="1:29" s="19" customFormat="1" x14ac:dyDescent="0.25">
      <c r="A237" s="17" t="s">
        <v>117</v>
      </c>
      <c r="B237" s="18">
        <v>6.1805555555555558E-2</v>
      </c>
      <c r="C237" s="19">
        <v>1.0999999999999999E-2</v>
      </c>
      <c r="E237" s="19" t="str">
        <f t="shared" si="2"/>
        <v>2018/09/14 01:29:00</v>
      </c>
      <c r="AB237" s="17"/>
      <c r="AC237" s="18"/>
    </row>
    <row r="238" spans="1:29" x14ac:dyDescent="0.25">
      <c r="A238" s="3" t="s">
        <v>305</v>
      </c>
      <c r="B238" s="2">
        <v>0.46250000000000002</v>
      </c>
      <c r="C238">
        <v>1.38</v>
      </c>
      <c r="E238" t="str">
        <f t="shared" si="2"/>
        <v>2018/10/21 11:06:00</v>
      </c>
      <c r="I238" s="3" t="s">
        <v>305</v>
      </c>
      <c r="J238" s="3" t="s">
        <v>305</v>
      </c>
      <c r="K238" s="3" t="s">
        <v>273</v>
      </c>
      <c r="L238" s="3" t="s">
        <v>274</v>
      </c>
      <c r="M238" s="10" t="s">
        <v>275</v>
      </c>
      <c r="AB238" s="3"/>
      <c r="AC238" s="2"/>
    </row>
    <row r="239" spans="1:29" x14ac:dyDescent="0.25">
      <c r="A239" s="3" t="s">
        <v>305</v>
      </c>
      <c r="B239" s="2">
        <v>0.71458333333333335</v>
      </c>
      <c r="C239">
        <v>1.65</v>
      </c>
      <c r="E239" t="str">
        <f t="shared" si="2"/>
        <v>2018/10/21 17:09:00</v>
      </c>
      <c r="I239" s="2">
        <v>0.46250000000000002</v>
      </c>
      <c r="J239" s="2">
        <v>0.71458333333333335</v>
      </c>
      <c r="K239" s="2">
        <v>1.1111111111111112E-2</v>
      </c>
      <c r="L239" s="2">
        <v>3.6111111111111108E-2</v>
      </c>
      <c r="M239" s="9">
        <v>2.7777777777777779E-3</v>
      </c>
      <c r="AB239" s="3"/>
      <c r="AC239" s="2"/>
    </row>
    <row r="240" spans="1:29" x14ac:dyDescent="0.25">
      <c r="A240" s="3" t="s">
        <v>273</v>
      </c>
      <c r="B240" s="2">
        <v>1.1111111111111112E-2</v>
      </c>
      <c r="C240">
        <v>1.53</v>
      </c>
      <c r="E240" t="str">
        <f t="shared" si="2"/>
        <v>2018/10/22 00:16:00</v>
      </c>
      <c r="I240" s="14">
        <v>1.38</v>
      </c>
      <c r="J240">
        <v>1.65</v>
      </c>
      <c r="K240">
        <v>1.53</v>
      </c>
      <c r="L240">
        <v>1.66</v>
      </c>
      <c r="M240" s="12">
        <v>1.65</v>
      </c>
      <c r="AB240" s="3"/>
      <c r="AC240" s="2"/>
    </row>
    <row r="241" spans="1:29" x14ac:dyDescent="0.25">
      <c r="A241" s="3" t="s">
        <v>274</v>
      </c>
      <c r="B241" s="2">
        <v>3.6111111111111108E-2</v>
      </c>
      <c r="C241">
        <v>1.66</v>
      </c>
      <c r="E241" t="str">
        <f t="shared" si="2"/>
        <v>2018/10/23 00:52:00</v>
      </c>
      <c r="AB241" s="3"/>
      <c r="AC241" s="2"/>
    </row>
    <row r="242" spans="1:29" s="19" customFormat="1" x14ac:dyDescent="0.25">
      <c r="A242" s="17" t="s">
        <v>275</v>
      </c>
      <c r="B242" s="18">
        <v>2.7777777777777779E-3</v>
      </c>
      <c r="C242" s="19">
        <v>1.65</v>
      </c>
      <c r="E242" s="19" t="str">
        <f t="shared" si="2"/>
        <v>2018/10/24 00:04:00</v>
      </c>
      <c r="AB242" s="17"/>
      <c r="AC242" s="18"/>
    </row>
    <row r="243" spans="1:29" x14ac:dyDescent="0.25">
      <c r="A243" s="3" t="s">
        <v>116</v>
      </c>
      <c r="B243" s="2">
        <v>0.29583333333333334</v>
      </c>
      <c r="C243">
        <v>8.9999999999999993E-3</v>
      </c>
      <c r="E243" t="str">
        <f t="shared" si="2"/>
        <v>2018/05/10 07:06:00</v>
      </c>
      <c r="I243" s="3" t="s">
        <v>116</v>
      </c>
      <c r="J243" s="3" t="s">
        <v>116</v>
      </c>
      <c r="K243" s="3" t="s">
        <v>116</v>
      </c>
      <c r="L243" s="3" t="s">
        <v>266</v>
      </c>
      <c r="M243" s="3" t="s">
        <v>306</v>
      </c>
      <c r="N243" s="3" t="s">
        <v>307</v>
      </c>
      <c r="O243" s="3" t="s">
        <v>308</v>
      </c>
      <c r="P243" s="3" t="s">
        <v>309</v>
      </c>
      <c r="Q243" s="3" t="s">
        <v>310</v>
      </c>
      <c r="AB243" s="3"/>
      <c r="AC243" s="2"/>
    </row>
    <row r="244" spans="1:29" x14ac:dyDescent="0.25">
      <c r="A244" s="3" t="s">
        <v>116</v>
      </c>
      <c r="B244" s="2">
        <v>0.29722222222222222</v>
      </c>
      <c r="C244">
        <v>8.0000000000000002E-3</v>
      </c>
      <c r="E244" t="str">
        <f t="shared" si="2"/>
        <v>2018/05/10 07:08:00</v>
      </c>
      <c r="I244" s="2">
        <v>0.29583333333333334</v>
      </c>
      <c r="J244" s="2">
        <v>0.29722222222222222</v>
      </c>
      <c r="K244" s="2">
        <v>0.73888888888888893</v>
      </c>
      <c r="L244" s="2">
        <v>6.2500000000000003E-3</v>
      </c>
      <c r="M244" s="2">
        <v>3.472222222222222E-3</v>
      </c>
      <c r="N244" s="2">
        <v>1.1111111111111112E-2</v>
      </c>
      <c r="O244" s="2">
        <v>2.361111111111111E-2</v>
      </c>
      <c r="P244" s="2">
        <v>1.9444444444444445E-2</v>
      </c>
      <c r="Q244" s="2">
        <v>4.0972222222222222E-2</v>
      </c>
      <c r="R244" s="3" t="s">
        <v>310</v>
      </c>
      <c r="S244" s="3" t="s">
        <v>311</v>
      </c>
      <c r="T244" s="10" t="s">
        <v>312</v>
      </c>
      <c r="AB244" s="3"/>
      <c r="AC244" s="2"/>
    </row>
    <row r="245" spans="1:29" x14ac:dyDescent="0.25">
      <c r="A245" s="3" t="s">
        <v>116</v>
      </c>
      <c r="B245" s="2">
        <v>0.73888888888888893</v>
      </c>
      <c r="C245">
        <v>1.0999999999999999E-2</v>
      </c>
      <c r="E245" t="str">
        <f t="shared" ref="E245:E308" si="3">TEXT(A245,"yyyy/mm/dd") &amp; " " &amp; TEXT(B245,"hh:mm:ss")</f>
        <v>2018/05/10 17:44:00</v>
      </c>
      <c r="I245" s="14">
        <v>8.9999999999999993E-3</v>
      </c>
      <c r="J245">
        <v>8.0000000000000002E-3</v>
      </c>
      <c r="K245">
        <v>1.0999999999999999E-2</v>
      </c>
      <c r="L245">
        <v>2.1000000000000001E-2</v>
      </c>
      <c r="M245">
        <v>9.0999999999999998E-2</v>
      </c>
      <c r="N245">
        <v>0.156</v>
      </c>
      <c r="O245">
        <v>0.108</v>
      </c>
      <c r="P245">
        <v>0.04</v>
      </c>
      <c r="Q245">
        <v>9.6000000000000002E-2</v>
      </c>
      <c r="R245" s="2">
        <v>4.6527777777777779E-2</v>
      </c>
      <c r="S245" s="2">
        <v>3.472222222222222E-3</v>
      </c>
      <c r="T245" s="9">
        <v>1.3888888888888889E-3</v>
      </c>
      <c r="AB245" s="3"/>
      <c r="AC245" s="2"/>
    </row>
    <row r="246" spans="1:29" x14ac:dyDescent="0.25">
      <c r="A246" s="3" t="s">
        <v>266</v>
      </c>
      <c r="B246" s="2">
        <v>6.2500000000000003E-3</v>
      </c>
      <c r="C246">
        <v>2.1000000000000001E-2</v>
      </c>
      <c r="E246" t="str">
        <f t="shared" si="3"/>
        <v>2018/05/11 00:09:00</v>
      </c>
      <c r="R246">
        <v>5.3999999999999999E-2</v>
      </c>
      <c r="S246">
        <v>8.5999999999999993E-2</v>
      </c>
      <c r="T246" s="12">
        <v>9.2999999999999999E-2</v>
      </c>
      <c r="AB246" s="3"/>
      <c r="AC246" s="2"/>
    </row>
    <row r="247" spans="1:29" x14ac:dyDescent="0.25">
      <c r="A247" s="3" t="s">
        <v>306</v>
      </c>
      <c r="B247" s="2">
        <v>3.472222222222222E-3</v>
      </c>
      <c r="C247">
        <v>9.0999999999999998E-2</v>
      </c>
      <c r="E247" t="str">
        <f t="shared" si="3"/>
        <v>2018/05/12 00:05:00</v>
      </c>
      <c r="AB247" s="3"/>
      <c r="AC247" s="2"/>
    </row>
    <row r="248" spans="1:29" x14ac:dyDescent="0.25">
      <c r="A248" s="3" t="s">
        <v>307</v>
      </c>
      <c r="B248" s="2">
        <v>1.1111111111111112E-2</v>
      </c>
      <c r="C248">
        <v>0.156</v>
      </c>
      <c r="E248" t="str">
        <f t="shared" si="3"/>
        <v>2018/05/13 00:16:00</v>
      </c>
      <c r="AB248" s="3"/>
      <c r="AC248" s="2"/>
    </row>
    <row r="249" spans="1:29" x14ac:dyDescent="0.25">
      <c r="A249" s="3" t="s">
        <v>308</v>
      </c>
      <c r="B249" s="2">
        <v>2.361111111111111E-2</v>
      </c>
      <c r="C249">
        <v>0.108</v>
      </c>
      <c r="E249" t="str">
        <f t="shared" si="3"/>
        <v>2018/05/14 00:34:00</v>
      </c>
      <c r="AB249" s="3"/>
      <c r="AC249" s="2"/>
    </row>
    <row r="250" spans="1:29" x14ac:dyDescent="0.25">
      <c r="A250" s="3" t="s">
        <v>309</v>
      </c>
      <c r="B250" s="2">
        <v>1.9444444444444445E-2</v>
      </c>
      <c r="C250">
        <v>0.04</v>
      </c>
      <c r="E250" t="str">
        <f t="shared" si="3"/>
        <v>2018/05/15 00:28:00</v>
      </c>
      <c r="AB250" s="3"/>
      <c r="AC250" s="2"/>
    </row>
    <row r="251" spans="1:29" x14ac:dyDescent="0.25">
      <c r="A251" s="3" t="s">
        <v>310</v>
      </c>
      <c r="B251" s="2">
        <v>4.0972222222222222E-2</v>
      </c>
      <c r="C251">
        <v>9.6000000000000002E-2</v>
      </c>
      <c r="E251" t="str">
        <f t="shared" si="3"/>
        <v>2018/05/16 00:59:00</v>
      </c>
      <c r="AB251" s="3"/>
      <c r="AC251" s="2"/>
    </row>
    <row r="252" spans="1:29" x14ac:dyDescent="0.25">
      <c r="A252" s="3" t="s">
        <v>310</v>
      </c>
      <c r="B252" s="2">
        <v>4.6527777777777779E-2</v>
      </c>
      <c r="C252">
        <v>5.3999999999999999E-2</v>
      </c>
      <c r="E252" t="str">
        <f t="shared" si="3"/>
        <v>2018/05/16 01:07:00</v>
      </c>
      <c r="AB252" s="3"/>
      <c r="AC252" s="2"/>
    </row>
    <row r="253" spans="1:29" x14ac:dyDescent="0.25">
      <c r="A253" s="3" t="s">
        <v>311</v>
      </c>
      <c r="B253" s="2">
        <v>3.472222222222222E-3</v>
      </c>
      <c r="C253">
        <v>8.5999999999999993E-2</v>
      </c>
      <c r="E253" t="str">
        <f t="shared" si="3"/>
        <v>2018/05/17 00:05:00</v>
      </c>
      <c r="AB253" s="3"/>
      <c r="AC253" s="2"/>
    </row>
    <row r="254" spans="1:29" s="19" customFormat="1" x14ac:dyDescent="0.25">
      <c r="A254" s="17" t="s">
        <v>312</v>
      </c>
      <c r="B254" s="18">
        <v>1.3888888888888889E-3</v>
      </c>
      <c r="C254" s="19">
        <v>9.2999999999999999E-2</v>
      </c>
      <c r="E254" s="19" t="str">
        <f t="shared" si="3"/>
        <v>2018/05/18 00:02:00</v>
      </c>
      <c r="AB254" s="17"/>
      <c r="AC254" s="18"/>
    </row>
    <row r="255" spans="1:29" x14ac:dyDescent="0.25">
      <c r="A255" s="3" t="s">
        <v>117</v>
      </c>
      <c r="B255" s="2">
        <v>0.26597222222222222</v>
      </c>
      <c r="C255">
        <v>0.20699999999999999</v>
      </c>
      <c r="E255" t="str">
        <f t="shared" si="3"/>
        <v>2018/09/14 06:23:00</v>
      </c>
      <c r="I255" s="3" t="s">
        <v>117</v>
      </c>
      <c r="J255" s="3" t="s">
        <v>117</v>
      </c>
      <c r="K255" s="3" t="s">
        <v>117</v>
      </c>
      <c r="L255" s="3" t="s">
        <v>313</v>
      </c>
      <c r="M255" s="3" t="s">
        <v>314</v>
      </c>
      <c r="N255" s="3" t="s">
        <v>315</v>
      </c>
      <c r="O255" s="10" t="s">
        <v>316</v>
      </c>
      <c r="AB255" s="3"/>
      <c r="AC255" s="2"/>
    </row>
    <row r="256" spans="1:29" x14ac:dyDescent="0.25">
      <c r="A256" s="3" t="s">
        <v>117</v>
      </c>
      <c r="B256" s="2">
        <v>0.26666666666666666</v>
      </c>
      <c r="C256">
        <v>0.20599999999999999</v>
      </c>
      <c r="E256" t="str">
        <f t="shared" si="3"/>
        <v>2018/09/14 06:24:00</v>
      </c>
      <c r="I256" s="2">
        <v>0.26597222222222222</v>
      </c>
      <c r="J256" s="2">
        <v>0.26666666666666666</v>
      </c>
      <c r="K256" s="2">
        <v>0.64583333333333337</v>
      </c>
      <c r="L256" s="2">
        <v>1.1111111111111112E-2</v>
      </c>
      <c r="M256" s="2">
        <v>4.1666666666666666E-3</v>
      </c>
      <c r="N256" s="2">
        <v>4.4444444444444446E-2</v>
      </c>
      <c r="O256" s="9">
        <v>6.9444444444444441E-3</v>
      </c>
      <c r="AB256" s="3"/>
      <c r="AC256" s="2"/>
    </row>
    <row r="257" spans="1:29" x14ac:dyDescent="0.25">
      <c r="A257" s="3" t="s">
        <v>117</v>
      </c>
      <c r="B257" s="2">
        <v>0.64583333333333337</v>
      </c>
      <c r="C257">
        <v>0.59899999999999998</v>
      </c>
      <c r="E257" t="str">
        <f t="shared" si="3"/>
        <v>2018/09/14 15:30:00</v>
      </c>
      <c r="I257" s="14">
        <v>0.20699999999999999</v>
      </c>
      <c r="J257">
        <v>0.20599999999999999</v>
      </c>
      <c r="K257">
        <v>0.59899999999999998</v>
      </c>
      <c r="L257">
        <v>0.52900000000000003</v>
      </c>
      <c r="M257">
        <v>0.69799999999999995</v>
      </c>
      <c r="N257">
        <v>0.63200000000000001</v>
      </c>
      <c r="O257" s="12">
        <v>0.44700000000000001</v>
      </c>
      <c r="AB257" s="3"/>
      <c r="AC257" s="2"/>
    </row>
    <row r="258" spans="1:29" x14ac:dyDescent="0.25">
      <c r="A258" s="3" t="s">
        <v>313</v>
      </c>
      <c r="B258" s="2">
        <v>1.1111111111111112E-2</v>
      </c>
      <c r="C258">
        <v>0.52900000000000003</v>
      </c>
      <c r="E258" t="str">
        <f t="shared" si="3"/>
        <v>2018/09/15 00:16:00</v>
      </c>
      <c r="AB258" s="3"/>
      <c r="AC258" s="2"/>
    </row>
    <row r="259" spans="1:29" x14ac:dyDescent="0.25">
      <c r="A259" s="3" t="s">
        <v>314</v>
      </c>
      <c r="B259" s="2">
        <v>4.1666666666666666E-3</v>
      </c>
      <c r="C259">
        <v>0.69799999999999995</v>
      </c>
      <c r="E259" t="str">
        <f t="shared" si="3"/>
        <v>2018/09/16 00:06:00</v>
      </c>
      <c r="AB259" s="3"/>
      <c r="AC259" s="2"/>
    </row>
    <row r="260" spans="1:29" x14ac:dyDescent="0.25">
      <c r="A260" s="3" t="s">
        <v>315</v>
      </c>
      <c r="B260" s="2">
        <v>4.4444444444444446E-2</v>
      </c>
      <c r="C260">
        <v>0.63200000000000001</v>
      </c>
      <c r="E260" t="str">
        <f t="shared" si="3"/>
        <v>2018/09/17 01:04:00</v>
      </c>
      <c r="AB260" s="3"/>
      <c r="AC260" s="2"/>
    </row>
    <row r="261" spans="1:29" s="19" customFormat="1" x14ac:dyDescent="0.25">
      <c r="A261" s="17" t="s">
        <v>316</v>
      </c>
      <c r="B261" s="18">
        <v>6.9444444444444441E-3</v>
      </c>
      <c r="C261" s="19">
        <v>0.44700000000000001</v>
      </c>
      <c r="E261" s="19" t="str">
        <f t="shared" si="3"/>
        <v>2018/09/18 00:10:00</v>
      </c>
      <c r="AB261" s="17"/>
      <c r="AC261" s="18"/>
    </row>
    <row r="262" spans="1:29" x14ac:dyDescent="0.25">
      <c r="A262" s="3" t="s">
        <v>118</v>
      </c>
      <c r="B262" s="2">
        <v>0.73472222222222228</v>
      </c>
      <c r="C262">
        <v>0.24049999999999999</v>
      </c>
      <c r="E262" t="str">
        <f t="shared" si="3"/>
        <v>2019/07/14 17:38:00</v>
      </c>
      <c r="I262" s="3" t="s">
        <v>118</v>
      </c>
      <c r="J262" s="3" t="s">
        <v>317</v>
      </c>
      <c r="K262" s="3" t="s">
        <v>317</v>
      </c>
      <c r="L262" s="3" t="s">
        <v>318</v>
      </c>
      <c r="M262" s="3" t="s">
        <v>319</v>
      </c>
      <c r="N262" s="3" t="s">
        <v>320</v>
      </c>
      <c r="O262" s="10" t="s">
        <v>321</v>
      </c>
      <c r="AB262" s="3"/>
      <c r="AC262" s="2"/>
    </row>
    <row r="263" spans="1:29" x14ac:dyDescent="0.25">
      <c r="A263" s="3" t="s">
        <v>317</v>
      </c>
      <c r="B263" s="2">
        <v>7.6388888888888886E-3</v>
      </c>
      <c r="C263">
        <v>0.75179999999999991</v>
      </c>
      <c r="E263" t="str">
        <f t="shared" si="3"/>
        <v>2019/07/15 00:11:00</v>
      </c>
      <c r="I263" s="2">
        <v>0.73472222222222228</v>
      </c>
      <c r="J263" s="2">
        <v>7.6388888888888886E-3</v>
      </c>
      <c r="K263" s="2">
        <v>0.61944444444444446</v>
      </c>
      <c r="L263" s="2">
        <v>5.5555555555555558E-3</v>
      </c>
      <c r="M263" s="2">
        <v>9.0277777777777769E-3</v>
      </c>
      <c r="N263" s="2">
        <v>2.7777777777777779E-3</v>
      </c>
      <c r="O263" s="9">
        <v>6.9444444444444447E-4</v>
      </c>
      <c r="AB263" s="3"/>
      <c r="AC263" s="2"/>
    </row>
    <row r="264" spans="1:29" x14ac:dyDescent="0.25">
      <c r="A264" s="3" t="s">
        <v>317</v>
      </c>
      <c r="B264" s="2">
        <v>0.61944444444444446</v>
      </c>
      <c r="C264">
        <v>1.284</v>
      </c>
      <c r="E264" t="str">
        <f t="shared" si="3"/>
        <v>2019/07/15 14:52:00</v>
      </c>
      <c r="I264" s="14">
        <v>0.24049999999999999</v>
      </c>
      <c r="J264">
        <v>0.75179999999999991</v>
      </c>
      <c r="K264">
        <v>1.284</v>
      </c>
      <c r="L264">
        <v>0.9282999999999999</v>
      </c>
      <c r="M264">
        <v>1.018</v>
      </c>
      <c r="N264">
        <v>0.80020000000000002</v>
      </c>
      <c r="O264" s="12">
        <v>0.49869999999999998</v>
      </c>
      <c r="AB264" s="3"/>
      <c r="AC264" s="2"/>
    </row>
    <row r="265" spans="1:29" x14ac:dyDescent="0.25">
      <c r="A265" s="3" t="s">
        <v>318</v>
      </c>
      <c r="B265" s="2">
        <v>5.5555555555555558E-3</v>
      </c>
      <c r="C265">
        <v>0.9282999999999999</v>
      </c>
      <c r="E265" t="str">
        <f t="shared" si="3"/>
        <v>2019/07/16 00:08:00</v>
      </c>
      <c r="AB265" s="3"/>
      <c r="AC265" s="2"/>
    </row>
    <row r="266" spans="1:29" x14ac:dyDescent="0.25">
      <c r="A266" s="3" t="s">
        <v>319</v>
      </c>
      <c r="B266" s="2">
        <v>9.0277777777777769E-3</v>
      </c>
      <c r="C266">
        <v>1.018</v>
      </c>
      <c r="E266" t="str">
        <f t="shared" si="3"/>
        <v>2019/07/17 00:13:00</v>
      </c>
      <c r="AB266" s="3"/>
      <c r="AC266" s="2"/>
    </row>
    <row r="267" spans="1:29" x14ac:dyDescent="0.25">
      <c r="A267" s="3" t="s">
        <v>320</v>
      </c>
      <c r="B267" s="2">
        <v>2.7777777777777779E-3</v>
      </c>
      <c r="C267">
        <v>0.80020000000000002</v>
      </c>
      <c r="E267" t="str">
        <f t="shared" si="3"/>
        <v>2019/07/18 00:04:00</v>
      </c>
      <c r="AB267" s="3"/>
      <c r="AC267" s="2"/>
    </row>
    <row r="268" spans="1:29" s="19" customFormat="1" x14ac:dyDescent="0.25">
      <c r="A268" s="17" t="s">
        <v>321</v>
      </c>
      <c r="B268" s="18">
        <v>6.9444444444444447E-4</v>
      </c>
      <c r="C268" s="19">
        <v>0.49869999999999998</v>
      </c>
      <c r="E268" s="19" t="str">
        <f t="shared" si="3"/>
        <v>2019/07/19 00:01:00</v>
      </c>
      <c r="AB268" s="17"/>
      <c r="AC268" s="18"/>
    </row>
    <row r="269" spans="1:29" x14ac:dyDescent="0.25">
      <c r="A269" s="3" t="s">
        <v>119</v>
      </c>
      <c r="B269" s="2">
        <v>0.19791666666666666</v>
      </c>
      <c r="C269">
        <v>1.1359999999999999</v>
      </c>
      <c r="E269" t="str">
        <f t="shared" si="3"/>
        <v>2022/08/18 04:45:00</v>
      </c>
      <c r="I269" s="3" t="s">
        <v>119</v>
      </c>
      <c r="J269" s="3" t="s">
        <v>119</v>
      </c>
      <c r="K269" s="3" t="s">
        <v>119</v>
      </c>
      <c r="L269" s="3" t="s">
        <v>322</v>
      </c>
      <c r="M269" s="3" t="s">
        <v>323</v>
      </c>
      <c r="N269" s="3" t="s">
        <v>324</v>
      </c>
      <c r="O269" s="3" t="s">
        <v>325</v>
      </c>
      <c r="P269" s="3" t="s">
        <v>326</v>
      </c>
      <c r="Q269" s="3" t="s">
        <v>327</v>
      </c>
      <c r="AB269" s="3"/>
      <c r="AC269" s="2"/>
    </row>
    <row r="270" spans="1:29" x14ac:dyDescent="0.25">
      <c r="A270" s="3" t="s">
        <v>119</v>
      </c>
      <c r="B270" s="2">
        <v>0.42222222222222222</v>
      </c>
      <c r="C270">
        <v>2.835</v>
      </c>
      <c r="E270" t="str">
        <f t="shared" si="3"/>
        <v>2022/08/18 10:08:00</v>
      </c>
      <c r="I270" s="2">
        <v>0.19791666666666666</v>
      </c>
      <c r="J270" s="2">
        <v>0.42222222222222222</v>
      </c>
      <c r="K270" s="2">
        <v>0.73888888888888893</v>
      </c>
      <c r="L270" s="2">
        <v>2.361111111111111E-2</v>
      </c>
      <c r="M270" s="2">
        <v>2.361111111111111E-2</v>
      </c>
      <c r="N270" s="2">
        <v>0.26250000000000001</v>
      </c>
      <c r="O270" s="2">
        <v>0.26180555555555557</v>
      </c>
      <c r="P270" s="2">
        <v>1.3888888888888889E-3</v>
      </c>
      <c r="Q270" s="2">
        <v>2.7777777777777779E-3</v>
      </c>
      <c r="R270" s="3" t="s">
        <v>328</v>
      </c>
      <c r="S270" s="3" t="s">
        <v>329</v>
      </c>
      <c r="T270" s="10" t="s">
        <v>330</v>
      </c>
      <c r="AB270" s="3"/>
      <c r="AC270" s="2"/>
    </row>
    <row r="271" spans="1:29" x14ac:dyDescent="0.25">
      <c r="A271" s="3" t="s">
        <v>119</v>
      </c>
      <c r="B271" s="2">
        <v>0.73888888888888893</v>
      </c>
      <c r="C271">
        <v>2.7810000000000001</v>
      </c>
      <c r="E271" t="str">
        <f t="shared" si="3"/>
        <v>2022/08/18 17:44:00</v>
      </c>
      <c r="I271" s="14">
        <v>1.1359999999999999</v>
      </c>
      <c r="J271">
        <v>2.835</v>
      </c>
      <c r="K271">
        <v>2.7810000000000001</v>
      </c>
      <c r="L271">
        <v>1.9430000000000001</v>
      </c>
      <c r="M271">
        <v>2.2090000000000001</v>
      </c>
      <c r="N271">
        <v>2.5230000000000001</v>
      </c>
      <c r="O271">
        <v>1.8560000000000001</v>
      </c>
      <c r="P271">
        <v>1.165</v>
      </c>
      <c r="Q271">
        <v>0.52729999999999999</v>
      </c>
      <c r="R271" s="2">
        <v>0.24513888888888888</v>
      </c>
      <c r="S271" s="2">
        <v>2.0833333333333333E-3</v>
      </c>
      <c r="T271" s="9">
        <v>0</v>
      </c>
      <c r="AB271" s="3"/>
      <c r="AC271" s="2"/>
    </row>
    <row r="272" spans="1:29" x14ac:dyDescent="0.25">
      <c r="A272" s="3" t="s">
        <v>322</v>
      </c>
      <c r="B272" s="2">
        <v>2.361111111111111E-2</v>
      </c>
      <c r="C272">
        <v>1.9430000000000001</v>
      </c>
      <c r="E272" t="str">
        <f t="shared" si="3"/>
        <v>2022/08/19 00:34:00</v>
      </c>
      <c r="R272">
        <v>0.25459999999999999</v>
      </c>
      <c r="S272">
        <v>0.10890000000000001</v>
      </c>
      <c r="T272" s="12">
        <v>5.3800000000000001E-2</v>
      </c>
      <c r="AB272" s="3"/>
      <c r="AC272" s="2"/>
    </row>
    <row r="273" spans="1:29" x14ac:dyDescent="0.25">
      <c r="A273" s="3" t="s">
        <v>323</v>
      </c>
      <c r="B273" s="2">
        <v>2.361111111111111E-2</v>
      </c>
      <c r="C273">
        <v>2.2090000000000001</v>
      </c>
      <c r="E273" t="str">
        <f t="shared" si="3"/>
        <v>2022/08/20 00:34:00</v>
      </c>
      <c r="AB273" s="3"/>
      <c r="AC273" s="2"/>
    </row>
    <row r="274" spans="1:29" x14ac:dyDescent="0.25">
      <c r="A274" s="3" t="s">
        <v>324</v>
      </c>
      <c r="B274" s="2">
        <v>0.26250000000000001</v>
      </c>
      <c r="C274">
        <v>2.5230000000000001</v>
      </c>
      <c r="E274" t="str">
        <f t="shared" si="3"/>
        <v>2022/08/21 06:18:00</v>
      </c>
      <c r="AB274" s="3"/>
      <c r="AC274" s="2"/>
    </row>
    <row r="275" spans="1:29" x14ac:dyDescent="0.25">
      <c r="A275" s="3" t="s">
        <v>325</v>
      </c>
      <c r="B275" s="2">
        <v>0.26180555555555557</v>
      </c>
      <c r="C275">
        <v>1.8560000000000001</v>
      </c>
      <c r="E275" t="str">
        <f t="shared" si="3"/>
        <v>2022/08/22 06:17:00</v>
      </c>
      <c r="AB275" s="3"/>
      <c r="AC275" s="2"/>
    </row>
    <row r="276" spans="1:29" x14ac:dyDescent="0.25">
      <c r="A276" s="3" t="s">
        <v>326</v>
      </c>
      <c r="B276" s="2">
        <v>1.3888888888888889E-3</v>
      </c>
      <c r="C276">
        <v>1.165</v>
      </c>
      <c r="E276" t="str">
        <f t="shared" si="3"/>
        <v>2022/08/23 00:02:00</v>
      </c>
      <c r="AB276" s="3"/>
      <c r="AC276" s="2"/>
    </row>
    <row r="277" spans="1:29" x14ac:dyDescent="0.25">
      <c r="A277" s="3" t="s">
        <v>327</v>
      </c>
      <c r="B277" s="2">
        <v>2.7777777777777779E-3</v>
      </c>
      <c r="C277">
        <v>0.52729999999999999</v>
      </c>
      <c r="E277" t="str">
        <f t="shared" si="3"/>
        <v>2022/08/24 00:04:00</v>
      </c>
      <c r="AB277" s="3"/>
      <c r="AC277" s="2"/>
    </row>
    <row r="278" spans="1:29" x14ac:dyDescent="0.25">
      <c r="A278" s="3" t="s">
        <v>328</v>
      </c>
      <c r="B278" s="2">
        <v>0.24513888888888888</v>
      </c>
      <c r="C278">
        <v>0.25459999999999999</v>
      </c>
      <c r="E278" t="str">
        <f t="shared" si="3"/>
        <v>2022/08/25 05:53:00</v>
      </c>
      <c r="AB278" s="3"/>
      <c r="AC278" s="2"/>
    </row>
    <row r="279" spans="1:29" x14ac:dyDescent="0.25">
      <c r="A279" s="3" t="s">
        <v>329</v>
      </c>
      <c r="B279" s="2">
        <v>2.0833333333333333E-3</v>
      </c>
      <c r="C279">
        <v>0.10890000000000001</v>
      </c>
      <c r="E279" t="str">
        <f t="shared" si="3"/>
        <v>2022/08/26 00:03:00</v>
      </c>
      <c r="AB279" s="3"/>
      <c r="AC279" s="2"/>
    </row>
    <row r="280" spans="1:29" s="19" customFormat="1" x14ac:dyDescent="0.25">
      <c r="A280" s="17" t="s">
        <v>330</v>
      </c>
      <c r="B280" s="18">
        <v>0</v>
      </c>
      <c r="C280" s="19">
        <v>5.3800000000000001E-2</v>
      </c>
      <c r="E280" s="19" t="str">
        <f t="shared" si="3"/>
        <v>2022/08/27 00:00:00</v>
      </c>
      <c r="AB280" s="17"/>
      <c r="AC280" s="18"/>
    </row>
    <row r="281" spans="1:29" x14ac:dyDescent="0.25">
      <c r="A281" s="3" t="s">
        <v>331</v>
      </c>
      <c r="B281" s="2">
        <v>0.93402777777777779</v>
      </c>
      <c r="C281">
        <v>0.249</v>
      </c>
      <c r="E281" t="str">
        <f t="shared" si="3"/>
        <v>2016/09/29 22:25:00</v>
      </c>
      <c r="I281" s="3" t="s">
        <v>331</v>
      </c>
      <c r="J281" s="3" t="s">
        <v>332</v>
      </c>
      <c r="K281" s="3" t="s">
        <v>332</v>
      </c>
      <c r="L281" s="3" t="s">
        <v>332</v>
      </c>
      <c r="M281" s="3" t="s">
        <v>333</v>
      </c>
      <c r="N281" s="3" t="s">
        <v>334</v>
      </c>
      <c r="O281" s="3" t="s">
        <v>335</v>
      </c>
      <c r="P281" s="3" t="s">
        <v>336</v>
      </c>
      <c r="Q281" s="10" t="s">
        <v>337</v>
      </c>
      <c r="AB281" s="3"/>
      <c r="AC281" s="2"/>
    </row>
    <row r="282" spans="1:29" x14ac:dyDescent="0.25">
      <c r="A282" s="3" t="s">
        <v>332</v>
      </c>
      <c r="B282" s="2">
        <v>2.2916666666666665E-2</v>
      </c>
      <c r="C282">
        <v>0.36</v>
      </c>
      <c r="E282" t="str">
        <f t="shared" si="3"/>
        <v>2016/09/30 00:33:00</v>
      </c>
      <c r="I282" s="2">
        <v>0.93402777777777779</v>
      </c>
      <c r="J282" s="2">
        <v>2.2916666666666665E-2</v>
      </c>
      <c r="K282" s="2">
        <v>2.2916666666666665E-2</v>
      </c>
      <c r="L282" s="2">
        <v>0.48819444444444443</v>
      </c>
      <c r="M282" s="2">
        <v>7.6388888888888886E-3</v>
      </c>
      <c r="N282" s="2">
        <v>3.2638888888888891E-2</v>
      </c>
      <c r="O282" s="2">
        <v>1.8749999999999999E-2</v>
      </c>
      <c r="P282" s="2">
        <v>9.0277777777777769E-3</v>
      </c>
      <c r="Q282" s="9">
        <v>0.56041666666666667</v>
      </c>
      <c r="AB282" s="3"/>
      <c r="AC282" s="2"/>
    </row>
    <row r="283" spans="1:29" x14ac:dyDescent="0.25">
      <c r="A283" s="3" t="s">
        <v>332</v>
      </c>
      <c r="B283" s="2">
        <v>2.2916666666666665E-2</v>
      </c>
      <c r="C283">
        <v>0.35599999999999998</v>
      </c>
      <c r="E283" t="str">
        <f t="shared" si="3"/>
        <v>2016/09/30 00:33:00</v>
      </c>
      <c r="I283" s="14">
        <v>0.249</v>
      </c>
      <c r="J283">
        <v>0.36</v>
      </c>
      <c r="K283">
        <v>0.35599999999999998</v>
      </c>
      <c r="L283">
        <v>0.27600000000000002</v>
      </c>
      <c r="M283">
        <v>0.34300000000000003</v>
      </c>
      <c r="N283">
        <v>0.35699999999999998</v>
      </c>
      <c r="O283">
        <v>0.251</v>
      </c>
      <c r="P283">
        <v>0.14499999999999999</v>
      </c>
      <c r="Q283" s="12">
        <v>6.0000000000000001E-3</v>
      </c>
      <c r="AB283" s="3"/>
      <c r="AC283" s="2"/>
    </row>
    <row r="284" spans="1:29" x14ac:dyDescent="0.25">
      <c r="A284" s="3" t="s">
        <v>332</v>
      </c>
      <c r="B284" s="2">
        <v>0.48819444444444443</v>
      </c>
      <c r="C284">
        <v>0.27600000000000002</v>
      </c>
      <c r="E284" t="str">
        <f t="shared" si="3"/>
        <v>2016/09/30 11:43:00</v>
      </c>
      <c r="AB284" s="3"/>
      <c r="AC284" s="2"/>
    </row>
    <row r="285" spans="1:29" x14ac:dyDescent="0.25">
      <c r="A285" s="3" t="s">
        <v>333</v>
      </c>
      <c r="B285" s="2">
        <v>7.6388888888888886E-3</v>
      </c>
      <c r="C285">
        <v>0.34300000000000003</v>
      </c>
      <c r="E285" t="str">
        <f t="shared" si="3"/>
        <v>2016/10/01 00:11:00</v>
      </c>
      <c r="AB285" s="3"/>
      <c r="AC285" s="2"/>
    </row>
    <row r="286" spans="1:29" x14ac:dyDescent="0.25">
      <c r="A286" s="3" t="s">
        <v>334</v>
      </c>
      <c r="B286" s="2">
        <v>3.2638888888888891E-2</v>
      </c>
      <c r="C286">
        <v>0.35699999999999998</v>
      </c>
      <c r="E286" t="str">
        <f t="shared" si="3"/>
        <v>2016/10/02 00:47:00</v>
      </c>
      <c r="AB286" s="3"/>
      <c r="AC286" s="2"/>
    </row>
    <row r="287" spans="1:29" x14ac:dyDescent="0.25">
      <c r="A287" s="3" t="s">
        <v>335</v>
      </c>
      <c r="B287" s="2">
        <v>1.8749999999999999E-2</v>
      </c>
      <c r="C287">
        <v>0.251</v>
      </c>
      <c r="E287" t="str">
        <f t="shared" si="3"/>
        <v>2016/10/03 00:27:00</v>
      </c>
      <c r="AB287" s="3"/>
      <c r="AC287" s="2"/>
    </row>
    <row r="288" spans="1:29" x14ac:dyDescent="0.25">
      <c r="A288" s="3" t="s">
        <v>336</v>
      </c>
      <c r="B288" s="2">
        <v>9.0277777777777769E-3</v>
      </c>
      <c r="C288">
        <v>0.14499999999999999</v>
      </c>
      <c r="E288" t="str">
        <f t="shared" si="3"/>
        <v>2016/10/04 00:13:00</v>
      </c>
      <c r="AB288" s="3"/>
      <c r="AC288" s="2"/>
    </row>
    <row r="289" spans="1:29" s="19" customFormat="1" x14ac:dyDescent="0.25">
      <c r="A289" s="17" t="s">
        <v>337</v>
      </c>
      <c r="B289" s="18">
        <v>0.56041666666666667</v>
      </c>
      <c r="C289" s="19">
        <v>6.0000000000000001E-3</v>
      </c>
      <c r="E289" s="19" t="str">
        <f t="shared" si="3"/>
        <v>2016/10/20 13:27:00</v>
      </c>
      <c r="AB289" s="17"/>
      <c r="AC289" s="18"/>
    </row>
    <row r="290" spans="1:29" x14ac:dyDescent="0.25">
      <c r="A290" s="3" t="s">
        <v>338</v>
      </c>
      <c r="B290" s="2">
        <v>0.24930555555555556</v>
      </c>
      <c r="C290">
        <v>0.55700000000000005</v>
      </c>
      <c r="E290" t="str">
        <f t="shared" si="3"/>
        <v>2015/07/19 05:59:00</v>
      </c>
      <c r="I290" s="3" t="s">
        <v>338</v>
      </c>
      <c r="J290" s="3" t="s">
        <v>338</v>
      </c>
      <c r="K290" s="3" t="s">
        <v>339</v>
      </c>
      <c r="L290" s="3" t="s">
        <v>340</v>
      </c>
      <c r="M290" s="3" t="s">
        <v>341</v>
      </c>
      <c r="N290" s="3" t="s">
        <v>341</v>
      </c>
      <c r="O290" s="3" t="s">
        <v>342</v>
      </c>
      <c r="P290" s="10" t="s">
        <v>343</v>
      </c>
      <c r="AB290" s="3"/>
      <c r="AC290" s="2"/>
    </row>
    <row r="291" spans="1:29" x14ac:dyDescent="0.25">
      <c r="A291" s="3" t="s">
        <v>338</v>
      </c>
      <c r="B291" s="2">
        <v>0.7583333333333333</v>
      </c>
      <c r="C291">
        <v>1.49</v>
      </c>
      <c r="E291" t="str">
        <f t="shared" si="3"/>
        <v>2015/07/19 18:12:00</v>
      </c>
      <c r="I291" s="2">
        <v>0.24930555555555556</v>
      </c>
      <c r="J291" s="2">
        <v>0.7583333333333333</v>
      </c>
      <c r="K291" s="2">
        <v>6.2500000000000003E-3</v>
      </c>
      <c r="L291" s="2">
        <v>1.3888888888888889E-3</v>
      </c>
      <c r="M291" s="2">
        <v>1.1805555555555555E-2</v>
      </c>
      <c r="N291" s="2">
        <v>0.7583333333333333</v>
      </c>
      <c r="O291" s="2">
        <v>1.3194444444444444E-2</v>
      </c>
      <c r="P291" s="9">
        <v>0.24236111111111111</v>
      </c>
      <c r="AB291" s="3"/>
      <c r="AC291" s="2"/>
    </row>
    <row r="292" spans="1:29" x14ac:dyDescent="0.25">
      <c r="A292" s="3" t="s">
        <v>339</v>
      </c>
      <c r="B292" s="2">
        <v>6.2500000000000003E-3</v>
      </c>
      <c r="C292">
        <v>0.66600000000000004</v>
      </c>
      <c r="E292" t="str">
        <f t="shared" si="3"/>
        <v>2015/07/20 00:09:00</v>
      </c>
      <c r="I292" s="14">
        <v>0.55700000000000005</v>
      </c>
      <c r="J292">
        <v>1.49</v>
      </c>
      <c r="K292">
        <v>0.66600000000000004</v>
      </c>
      <c r="L292">
        <v>0.72399999999999998</v>
      </c>
      <c r="M292">
        <v>0.748</v>
      </c>
      <c r="N292">
        <v>0.79100000000000004</v>
      </c>
      <c r="O292">
        <v>0.60099999999999998</v>
      </c>
      <c r="P292" s="12">
        <v>0.42899999999999999</v>
      </c>
      <c r="AB292" s="3"/>
      <c r="AC292" s="2"/>
    </row>
    <row r="293" spans="1:29" x14ac:dyDescent="0.25">
      <c r="A293" s="3" t="s">
        <v>340</v>
      </c>
      <c r="B293" s="2">
        <v>1.3888888888888889E-3</v>
      </c>
      <c r="C293">
        <v>0.72399999999999998</v>
      </c>
      <c r="E293" t="str">
        <f t="shared" si="3"/>
        <v>2015/07/21 00:02:00</v>
      </c>
      <c r="AB293" s="3"/>
      <c r="AC293" s="2"/>
    </row>
    <row r="294" spans="1:29" x14ac:dyDescent="0.25">
      <c r="A294" s="3" t="s">
        <v>341</v>
      </c>
      <c r="B294" s="2">
        <v>1.1805555555555555E-2</v>
      </c>
      <c r="C294">
        <v>0.748</v>
      </c>
      <c r="E294" t="str">
        <f t="shared" si="3"/>
        <v>2015/07/22 00:17:00</v>
      </c>
      <c r="AB294" s="3"/>
      <c r="AC294" s="2"/>
    </row>
    <row r="295" spans="1:29" x14ac:dyDescent="0.25">
      <c r="A295" s="3" t="s">
        <v>341</v>
      </c>
      <c r="B295" s="2">
        <v>0.7583333333333333</v>
      </c>
      <c r="C295">
        <v>0.79100000000000004</v>
      </c>
      <c r="E295" t="str">
        <f t="shared" si="3"/>
        <v>2015/07/22 18:12:00</v>
      </c>
      <c r="AB295" s="3"/>
      <c r="AC295" s="2"/>
    </row>
    <row r="296" spans="1:29" x14ac:dyDescent="0.25">
      <c r="A296" s="3" t="s">
        <v>342</v>
      </c>
      <c r="B296" s="2">
        <v>1.3194444444444444E-2</v>
      </c>
      <c r="C296">
        <v>0.60099999999999998</v>
      </c>
      <c r="E296" t="str">
        <f t="shared" si="3"/>
        <v>2015/07/23 00:19:00</v>
      </c>
      <c r="AB296" s="3"/>
      <c r="AC296" s="2"/>
    </row>
    <row r="297" spans="1:29" s="19" customFormat="1" x14ac:dyDescent="0.25">
      <c r="A297" s="17" t="s">
        <v>343</v>
      </c>
      <c r="B297" s="18">
        <v>0.24236111111111111</v>
      </c>
      <c r="C297" s="19">
        <v>0.42899999999999999</v>
      </c>
      <c r="E297" s="19" t="str">
        <f t="shared" si="3"/>
        <v>2015/07/24 05:49:00</v>
      </c>
      <c r="AB297" s="17"/>
      <c r="AC297" s="18"/>
    </row>
    <row r="298" spans="1:29" x14ac:dyDescent="0.25">
      <c r="A298" s="3" t="s">
        <v>122</v>
      </c>
      <c r="B298" s="2">
        <v>0.55069444444444449</v>
      </c>
      <c r="C298">
        <v>9.4E-2</v>
      </c>
      <c r="E298" t="str">
        <f t="shared" si="3"/>
        <v>2016/02/23 13:13:00</v>
      </c>
      <c r="I298" s="3" t="s">
        <v>122</v>
      </c>
      <c r="J298" s="3" t="s">
        <v>122</v>
      </c>
      <c r="K298" s="3" t="s">
        <v>344</v>
      </c>
      <c r="L298" s="3" t="s">
        <v>345</v>
      </c>
      <c r="M298" s="3" t="s">
        <v>345</v>
      </c>
      <c r="N298" s="3" t="s">
        <v>346</v>
      </c>
      <c r="O298" s="10" t="s">
        <v>347</v>
      </c>
      <c r="AB298" s="3"/>
      <c r="AC298" s="2"/>
    </row>
    <row r="299" spans="1:29" x14ac:dyDescent="0.25">
      <c r="A299" s="3" t="s">
        <v>122</v>
      </c>
      <c r="B299" s="2">
        <v>0.91041666666666665</v>
      </c>
      <c r="C299">
        <v>0.224</v>
      </c>
      <c r="E299" t="str">
        <f t="shared" si="3"/>
        <v>2016/02/23 21:51:00</v>
      </c>
      <c r="I299" s="2">
        <v>0.55069444444444449</v>
      </c>
      <c r="J299" s="2">
        <v>0.91041666666666665</v>
      </c>
      <c r="K299" s="2">
        <v>3.472222222222222E-3</v>
      </c>
      <c r="L299" s="2">
        <v>7.6388888888888886E-3</v>
      </c>
      <c r="M299" s="2">
        <v>0.69444444444444442</v>
      </c>
      <c r="N299" s="2">
        <v>5.5555555555555558E-3</v>
      </c>
      <c r="O299" s="9">
        <v>2.361111111111111E-2</v>
      </c>
      <c r="AB299" s="3"/>
      <c r="AC299" s="2"/>
    </row>
    <row r="300" spans="1:29" x14ac:dyDescent="0.25">
      <c r="A300" s="3" t="s">
        <v>344</v>
      </c>
      <c r="B300" s="2">
        <v>3.472222222222222E-3</v>
      </c>
      <c r="C300">
        <v>0.308</v>
      </c>
      <c r="E300" t="str">
        <f t="shared" si="3"/>
        <v>2016/02/24 00:05:00</v>
      </c>
      <c r="I300" s="14">
        <v>9.4E-2</v>
      </c>
      <c r="J300">
        <v>0.224</v>
      </c>
      <c r="K300">
        <v>0.308</v>
      </c>
      <c r="L300">
        <v>0.28000000000000003</v>
      </c>
      <c r="M300">
        <v>0.32400000000000001</v>
      </c>
      <c r="N300">
        <v>0.34200000000000003</v>
      </c>
      <c r="O300" s="12">
        <v>0.33700000000000002</v>
      </c>
      <c r="AB300" s="3"/>
      <c r="AC300" s="2"/>
    </row>
    <row r="301" spans="1:29" x14ac:dyDescent="0.25">
      <c r="A301" s="3" t="s">
        <v>345</v>
      </c>
      <c r="B301" s="2">
        <v>7.6388888888888886E-3</v>
      </c>
      <c r="C301">
        <v>0.28000000000000003</v>
      </c>
      <c r="E301" t="str">
        <f t="shared" si="3"/>
        <v>2016/02/25 00:11:00</v>
      </c>
      <c r="AB301" s="3"/>
      <c r="AC301" s="2"/>
    </row>
    <row r="302" spans="1:29" x14ac:dyDescent="0.25">
      <c r="A302" s="3" t="s">
        <v>345</v>
      </c>
      <c r="B302" s="2">
        <v>0.69444444444444442</v>
      </c>
      <c r="C302">
        <v>0.32400000000000001</v>
      </c>
      <c r="E302" t="str">
        <f t="shared" si="3"/>
        <v>2016/02/25 16:40:00</v>
      </c>
      <c r="AB302" s="3"/>
      <c r="AC302" s="2"/>
    </row>
    <row r="303" spans="1:29" x14ac:dyDescent="0.25">
      <c r="A303" s="3" t="s">
        <v>346</v>
      </c>
      <c r="B303" s="2">
        <v>5.5555555555555558E-3</v>
      </c>
      <c r="C303">
        <v>0.34200000000000003</v>
      </c>
      <c r="E303" t="str">
        <f t="shared" si="3"/>
        <v>2016/02/26 00:08:00</v>
      </c>
      <c r="AB303" s="3"/>
      <c r="AC303" s="2"/>
    </row>
    <row r="304" spans="1:29" s="19" customFormat="1" x14ac:dyDescent="0.25">
      <c r="A304" s="17" t="s">
        <v>347</v>
      </c>
      <c r="B304" s="18">
        <v>2.361111111111111E-2</v>
      </c>
      <c r="C304" s="19">
        <v>0.33700000000000002</v>
      </c>
      <c r="E304" s="19" t="str">
        <f t="shared" si="3"/>
        <v>2016/02/27 00:34:00</v>
      </c>
      <c r="AB304" s="17"/>
      <c r="AC304" s="18"/>
    </row>
    <row r="305" spans="1:29" x14ac:dyDescent="0.25">
      <c r="A305" s="3" t="s">
        <v>123</v>
      </c>
      <c r="B305" s="2">
        <v>0.7416666666666667</v>
      </c>
      <c r="C305">
        <v>9.7799999999999998E-2</v>
      </c>
      <c r="E305" t="str">
        <f t="shared" si="3"/>
        <v>2021/04/26 17:48:00</v>
      </c>
      <c r="I305" s="3" t="s">
        <v>123</v>
      </c>
      <c r="J305" s="3" t="s">
        <v>125</v>
      </c>
      <c r="K305" s="3" t="s">
        <v>125</v>
      </c>
      <c r="L305" s="3" t="s">
        <v>348</v>
      </c>
      <c r="M305" s="3" t="s">
        <v>349</v>
      </c>
      <c r="N305" s="3" t="s">
        <v>350</v>
      </c>
      <c r="O305" s="3" t="s">
        <v>350</v>
      </c>
      <c r="P305" s="3" t="s">
        <v>351</v>
      </c>
      <c r="Q305" s="3" t="s">
        <v>352</v>
      </c>
      <c r="AB305" s="3"/>
      <c r="AC305" s="2"/>
    </row>
    <row r="306" spans="1:29" x14ac:dyDescent="0.25">
      <c r="A306" s="3" t="s">
        <v>125</v>
      </c>
      <c r="B306" s="2">
        <v>1.6666666666666666E-2</v>
      </c>
      <c r="C306">
        <v>7.740000000000001E-2</v>
      </c>
      <c r="E306" t="str">
        <f t="shared" si="3"/>
        <v>2021/04/27 00:24:00</v>
      </c>
      <c r="I306" s="2">
        <v>0.7416666666666667</v>
      </c>
      <c r="J306" s="2">
        <v>1.6666666666666666E-2</v>
      </c>
      <c r="K306" s="2">
        <v>0.73055555555555551</v>
      </c>
      <c r="L306" s="2">
        <v>1.5277777777777777E-2</v>
      </c>
      <c r="M306" s="2">
        <v>2.361111111111111E-2</v>
      </c>
      <c r="N306" s="2">
        <v>1.8749999999999999E-2</v>
      </c>
      <c r="O306" s="2">
        <v>0.72222222222222221</v>
      </c>
      <c r="P306" s="2">
        <v>6.9444444444444447E-4</v>
      </c>
      <c r="Q306" s="2">
        <v>2.0833333333333333E-3</v>
      </c>
      <c r="R306" s="10" t="s">
        <v>353</v>
      </c>
      <c r="AB306" s="3"/>
      <c r="AC306" s="2"/>
    </row>
    <row r="307" spans="1:29" x14ac:dyDescent="0.25">
      <c r="A307" s="3" t="s">
        <v>125</v>
      </c>
      <c r="B307" s="2">
        <v>0.73055555555555551</v>
      </c>
      <c r="C307">
        <v>8.3699999999999997E-2</v>
      </c>
      <c r="E307" t="str">
        <f t="shared" si="3"/>
        <v>2021/04/27 17:32:00</v>
      </c>
      <c r="I307" s="14">
        <v>9.7799999999999998E-2</v>
      </c>
      <c r="J307">
        <v>7.740000000000001E-2</v>
      </c>
      <c r="K307">
        <v>8.3699999999999997E-2</v>
      </c>
      <c r="L307">
        <v>6.6799999999999998E-2</v>
      </c>
      <c r="M307">
        <v>5.2700000000000004E-2</v>
      </c>
      <c r="N307">
        <v>3.61E-2</v>
      </c>
      <c r="O307">
        <v>6.7799999999999999E-2</v>
      </c>
      <c r="P307">
        <v>9.8000000000000004E-2</v>
      </c>
      <c r="Q307">
        <v>7.9700000000000007E-2</v>
      </c>
      <c r="R307" s="9">
        <v>0.23333333333333334</v>
      </c>
      <c r="AB307" s="3"/>
      <c r="AC307" s="2"/>
    </row>
    <row r="308" spans="1:29" x14ac:dyDescent="0.25">
      <c r="A308" s="3" t="s">
        <v>348</v>
      </c>
      <c r="B308" s="2">
        <v>1.5277777777777777E-2</v>
      </c>
      <c r="C308">
        <v>6.6799999999999998E-2</v>
      </c>
      <c r="E308" t="str">
        <f t="shared" si="3"/>
        <v>2021/04/28 00:22:00</v>
      </c>
      <c r="R308" s="12">
        <v>7.1300000000000002E-2</v>
      </c>
      <c r="AB308" s="3"/>
      <c r="AC308" s="2"/>
    </row>
    <row r="309" spans="1:29" x14ac:dyDescent="0.25">
      <c r="A309" s="3" t="s">
        <v>349</v>
      </c>
      <c r="B309" s="2">
        <v>2.361111111111111E-2</v>
      </c>
      <c r="C309">
        <v>5.2700000000000004E-2</v>
      </c>
      <c r="E309" t="str">
        <f t="shared" ref="E309:E372" si="4">TEXT(A309,"yyyy/mm/dd") &amp; " " &amp; TEXT(B309,"hh:mm:ss")</f>
        <v>2021/04/29 00:34:00</v>
      </c>
      <c r="AB309" s="3"/>
      <c r="AC309" s="2"/>
    </row>
    <row r="310" spans="1:29" x14ac:dyDescent="0.25">
      <c r="A310" s="3" t="s">
        <v>350</v>
      </c>
      <c r="B310" s="2">
        <v>1.8749999999999999E-2</v>
      </c>
      <c r="C310">
        <v>3.61E-2</v>
      </c>
      <c r="E310" t="str">
        <f t="shared" si="4"/>
        <v>2021/04/30 00:27:00</v>
      </c>
      <c r="AB310" s="3"/>
      <c r="AC310" s="2"/>
    </row>
    <row r="311" spans="1:29" x14ac:dyDescent="0.25">
      <c r="A311" s="3" t="s">
        <v>350</v>
      </c>
      <c r="B311" s="2">
        <v>0.72222222222222221</v>
      </c>
      <c r="C311">
        <v>6.7799999999999999E-2</v>
      </c>
      <c r="E311" t="str">
        <f t="shared" si="4"/>
        <v>2021/04/30 17:20:00</v>
      </c>
      <c r="AB311" s="3"/>
      <c r="AC311" s="2"/>
    </row>
    <row r="312" spans="1:29" x14ac:dyDescent="0.25">
      <c r="A312" s="3" t="s">
        <v>351</v>
      </c>
      <c r="B312" s="2">
        <v>6.9444444444444447E-4</v>
      </c>
      <c r="C312">
        <v>9.8000000000000004E-2</v>
      </c>
      <c r="E312" t="str">
        <f t="shared" si="4"/>
        <v>2021/05/01 00:01:00</v>
      </c>
      <c r="AB312" s="3"/>
      <c r="AC312" s="2"/>
    </row>
    <row r="313" spans="1:29" x14ac:dyDescent="0.25">
      <c r="A313" s="3" t="s">
        <v>352</v>
      </c>
      <c r="B313" s="2">
        <v>2.0833333333333333E-3</v>
      </c>
      <c r="C313">
        <v>7.9700000000000007E-2</v>
      </c>
      <c r="E313" t="str">
        <f t="shared" si="4"/>
        <v>2021/05/02 00:03:00</v>
      </c>
      <c r="AB313" s="3"/>
      <c r="AC313" s="2"/>
    </row>
    <row r="314" spans="1:29" s="19" customFormat="1" x14ac:dyDescent="0.25">
      <c r="A314" s="17" t="s">
        <v>353</v>
      </c>
      <c r="B314" s="18">
        <v>0.23333333333333334</v>
      </c>
      <c r="C314" s="19">
        <v>7.1300000000000002E-2</v>
      </c>
      <c r="E314" s="19" t="str">
        <f t="shared" si="4"/>
        <v>2021/05/03 05:36:00</v>
      </c>
      <c r="AB314" s="17"/>
      <c r="AC314" s="18"/>
    </row>
    <row r="315" spans="1:29" x14ac:dyDescent="0.25">
      <c r="A315" s="3" t="s">
        <v>354</v>
      </c>
      <c r="B315" s="2">
        <v>0.48125000000000001</v>
      </c>
      <c r="C315">
        <v>0.28370000000000001</v>
      </c>
      <c r="E315" t="str">
        <f t="shared" si="4"/>
        <v>2021/08/23 11:33:00</v>
      </c>
      <c r="I315" s="3" t="s">
        <v>354</v>
      </c>
      <c r="J315" s="3" t="s">
        <v>354</v>
      </c>
      <c r="K315" s="3" t="s">
        <v>355</v>
      </c>
      <c r="L315" s="3" t="s">
        <v>356</v>
      </c>
      <c r="M315" s="10" t="s">
        <v>357</v>
      </c>
      <c r="AB315" s="3"/>
      <c r="AC315" s="2"/>
    </row>
    <row r="316" spans="1:29" x14ac:dyDescent="0.25">
      <c r="A316" s="3" t="s">
        <v>354</v>
      </c>
      <c r="B316" s="2">
        <v>0.90486111111111112</v>
      </c>
      <c r="C316">
        <v>0.23810000000000001</v>
      </c>
      <c r="E316" t="str">
        <f t="shared" si="4"/>
        <v>2021/08/23 21:43:00</v>
      </c>
      <c r="I316" s="2">
        <v>0.48125000000000001</v>
      </c>
      <c r="J316" s="2">
        <v>0.90486111111111112</v>
      </c>
      <c r="K316" s="2">
        <v>1.6666666666666666E-2</v>
      </c>
      <c r="L316" s="2">
        <v>9.0277777777777769E-3</v>
      </c>
      <c r="M316" s="9">
        <v>1.8055555555555554E-2</v>
      </c>
      <c r="AB316" s="3"/>
      <c r="AC316" s="2"/>
    </row>
    <row r="317" spans="1:29" x14ac:dyDescent="0.25">
      <c r="A317" s="3" t="s">
        <v>355</v>
      </c>
      <c r="B317" s="2">
        <v>1.6666666666666666E-2</v>
      </c>
      <c r="C317">
        <v>0.30499999999999999</v>
      </c>
      <c r="E317" t="str">
        <f t="shared" si="4"/>
        <v>2021/08/24 00:24:00</v>
      </c>
      <c r="I317" s="14">
        <v>0.28370000000000001</v>
      </c>
      <c r="J317">
        <v>0.23810000000000001</v>
      </c>
      <c r="K317">
        <v>0.30499999999999999</v>
      </c>
      <c r="L317">
        <v>0.1835</v>
      </c>
      <c r="M317" s="12">
        <v>0.18919999999999998</v>
      </c>
      <c r="AB317" s="3"/>
      <c r="AC317" s="2"/>
    </row>
    <row r="318" spans="1:29" x14ac:dyDescent="0.25">
      <c r="A318" s="3" t="s">
        <v>356</v>
      </c>
      <c r="B318" s="2">
        <v>9.0277777777777769E-3</v>
      </c>
      <c r="C318">
        <v>0.1835</v>
      </c>
      <c r="E318" t="str">
        <f t="shared" si="4"/>
        <v>2021/08/25 00:13:00</v>
      </c>
      <c r="AB318" s="3"/>
      <c r="AC318" s="2"/>
    </row>
    <row r="319" spans="1:29" s="19" customFormat="1" x14ac:dyDescent="0.25">
      <c r="A319" s="17" t="s">
        <v>357</v>
      </c>
      <c r="B319" s="18">
        <v>1.8055555555555554E-2</v>
      </c>
      <c r="C319" s="19">
        <v>0.18919999999999998</v>
      </c>
      <c r="E319" s="19" t="str">
        <f t="shared" si="4"/>
        <v>2021/08/26 00:26:00</v>
      </c>
      <c r="AB319" s="17"/>
      <c r="AC319" s="18"/>
    </row>
    <row r="320" spans="1:29" x14ac:dyDescent="0.25">
      <c r="A320" s="3" t="s">
        <v>125</v>
      </c>
      <c r="B320" s="2">
        <v>0.96111111111111114</v>
      </c>
      <c r="C320">
        <v>0.24530000000000002</v>
      </c>
      <c r="E320" t="str">
        <f t="shared" si="4"/>
        <v>2021/04/27 23:04:00</v>
      </c>
      <c r="I320" s="3" t="s">
        <v>125</v>
      </c>
      <c r="J320" s="3" t="s">
        <v>348</v>
      </c>
      <c r="K320" s="3" t="s">
        <v>348</v>
      </c>
      <c r="L320" s="3" t="s">
        <v>349</v>
      </c>
      <c r="M320" s="3" t="s">
        <v>350</v>
      </c>
      <c r="N320" s="3" t="s">
        <v>351</v>
      </c>
      <c r="O320" s="10" t="s">
        <v>352</v>
      </c>
      <c r="AB320" s="3"/>
      <c r="AC320" s="2"/>
    </row>
    <row r="321" spans="1:29" x14ac:dyDescent="0.25">
      <c r="A321" s="3" t="s">
        <v>348</v>
      </c>
      <c r="B321" s="2">
        <v>1.5277777777777777E-2</v>
      </c>
      <c r="C321">
        <v>0.30219999999999997</v>
      </c>
      <c r="E321" t="str">
        <f t="shared" si="4"/>
        <v>2021/04/28 00:22:00</v>
      </c>
      <c r="I321" s="2">
        <v>0.96111111111111114</v>
      </c>
      <c r="J321" s="2">
        <v>1.5277777777777777E-2</v>
      </c>
      <c r="K321" s="2">
        <v>0.72291666666666665</v>
      </c>
      <c r="L321" s="2">
        <v>2.361111111111111E-2</v>
      </c>
      <c r="M321" s="2">
        <v>1.8749999999999999E-2</v>
      </c>
      <c r="N321" s="2">
        <v>6.9444444444444447E-4</v>
      </c>
      <c r="O321" s="9">
        <v>2.0833333333333333E-3</v>
      </c>
      <c r="AB321" s="3"/>
      <c r="AC321" s="2"/>
    </row>
    <row r="322" spans="1:29" x14ac:dyDescent="0.25">
      <c r="A322" s="3" t="s">
        <v>348</v>
      </c>
      <c r="B322" s="2">
        <v>0.72291666666666665</v>
      </c>
      <c r="C322">
        <v>0.39369999999999999</v>
      </c>
      <c r="E322" t="str">
        <f t="shared" si="4"/>
        <v>2021/04/28 17:21:00</v>
      </c>
      <c r="I322" s="14">
        <v>0.24530000000000002</v>
      </c>
      <c r="J322">
        <v>0.30219999999999997</v>
      </c>
      <c r="K322">
        <v>0.39369999999999999</v>
      </c>
      <c r="L322">
        <v>0.25390000000000001</v>
      </c>
      <c r="M322">
        <v>0.28589999999999999</v>
      </c>
      <c r="N322">
        <v>0.32430000000000003</v>
      </c>
      <c r="O322" s="12">
        <v>0.1812</v>
      </c>
      <c r="AB322" s="3"/>
      <c r="AC322" s="2"/>
    </row>
    <row r="323" spans="1:29" x14ac:dyDescent="0.25">
      <c r="A323" s="3" t="s">
        <v>349</v>
      </c>
      <c r="B323" s="2">
        <v>2.361111111111111E-2</v>
      </c>
      <c r="C323">
        <v>0.25390000000000001</v>
      </c>
      <c r="E323" t="str">
        <f t="shared" si="4"/>
        <v>2021/04/29 00:34:00</v>
      </c>
      <c r="AB323" s="3"/>
      <c r="AC323" s="2"/>
    </row>
    <row r="324" spans="1:29" x14ac:dyDescent="0.25">
      <c r="A324" s="3" t="s">
        <v>350</v>
      </c>
      <c r="B324" s="2">
        <v>1.8749999999999999E-2</v>
      </c>
      <c r="C324">
        <v>0.28589999999999999</v>
      </c>
      <c r="E324" t="str">
        <f t="shared" si="4"/>
        <v>2021/04/30 00:27:00</v>
      </c>
      <c r="AB324" s="3"/>
      <c r="AC324" s="2"/>
    </row>
    <row r="325" spans="1:29" x14ac:dyDescent="0.25">
      <c r="A325" s="3" t="s">
        <v>351</v>
      </c>
      <c r="B325" s="2">
        <v>6.9444444444444447E-4</v>
      </c>
      <c r="C325">
        <v>0.32430000000000003</v>
      </c>
      <c r="E325" t="str">
        <f t="shared" si="4"/>
        <v>2021/05/01 00:01:00</v>
      </c>
      <c r="AB325" s="3"/>
      <c r="AC325" s="2"/>
    </row>
    <row r="326" spans="1:29" s="19" customFormat="1" x14ac:dyDescent="0.25">
      <c r="A326" s="17" t="s">
        <v>352</v>
      </c>
      <c r="B326" s="18">
        <v>2.0833333333333333E-3</v>
      </c>
      <c r="C326" s="19">
        <v>0.1812</v>
      </c>
      <c r="E326" s="19" t="str">
        <f t="shared" si="4"/>
        <v>2021/05/02 00:03:00</v>
      </c>
      <c r="AB326" s="17"/>
      <c r="AC326" s="18"/>
    </row>
    <row r="327" spans="1:29" x14ac:dyDescent="0.25">
      <c r="A327" s="3" t="s">
        <v>126</v>
      </c>
      <c r="B327" s="2">
        <v>0.84861111111111109</v>
      </c>
      <c r="C327">
        <v>9.9699999999999997E-2</v>
      </c>
      <c r="E327" t="str">
        <f t="shared" si="4"/>
        <v>2021/05/12 20:22:00</v>
      </c>
      <c r="I327" s="3" t="s">
        <v>126</v>
      </c>
      <c r="J327" s="3" t="s">
        <v>358</v>
      </c>
      <c r="K327" s="3" t="s">
        <v>358</v>
      </c>
      <c r="L327" s="3" t="s">
        <v>358</v>
      </c>
      <c r="M327" s="3" t="s">
        <v>359</v>
      </c>
      <c r="N327" s="3" t="s">
        <v>360</v>
      </c>
      <c r="O327" s="3" t="s">
        <v>361</v>
      </c>
      <c r="P327" s="10" t="s">
        <v>362</v>
      </c>
      <c r="AB327" s="3"/>
      <c r="AC327" s="2"/>
    </row>
    <row r="328" spans="1:29" x14ac:dyDescent="0.25">
      <c r="A328" s="3" t="s">
        <v>358</v>
      </c>
      <c r="B328" s="2">
        <v>3.6805555555555557E-2</v>
      </c>
      <c r="E328" t="str">
        <f t="shared" si="4"/>
        <v>2021/05/13 00:53:00</v>
      </c>
      <c r="I328" s="2">
        <v>0.84861111111111109</v>
      </c>
      <c r="J328" s="2">
        <v>3.6805555555555557E-2</v>
      </c>
      <c r="K328" s="2">
        <v>0.24861111111111112</v>
      </c>
      <c r="L328" s="2">
        <v>0.49722222222222223</v>
      </c>
      <c r="M328" s="2">
        <v>9.7222222222222224E-3</v>
      </c>
      <c r="N328" s="2">
        <v>1.6666666666666666E-2</v>
      </c>
      <c r="O328" s="2">
        <v>0</v>
      </c>
      <c r="P328" s="9">
        <v>1.3888888888888889E-3</v>
      </c>
      <c r="AB328" s="3"/>
      <c r="AC328" s="2"/>
    </row>
    <row r="329" spans="1:29" x14ac:dyDescent="0.25">
      <c r="A329" s="3" t="s">
        <v>358</v>
      </c>
      <c r="B329" s="2">
        <v>0.24861111111111112</v>
      </c>
      <c r="C329">
        <v>0.46139999999999998</v>
      </c>
      <c r="E329" t="str">
        <f t="shared" si="4"/>
        <v>2021/05/13 05:58:00</v>
      </c>
      <c r="I329" s="14">
        <v>9.9699999999999997E-2</v>
      </c>
      <c r="K329">
        <v>0.46139999999999998</v>
      </c>
      <c r="L329">
        <v>0.38119999999999998</v>
      </c>
      <c r="M329">
        <v>0.4395</v>
      </c>
      <c r="N329">
        <v>0.49339999999999995</v>
      </c>
      <c r="O329">
        <v>0.47020000000000001</v>
      </c>
      <c r="P329" s="12">
        <v>0.31560000000000005</v>
      </c>
      <c r="AB329" s="3"/>
      <c r="AC329" s="2"/>
    </row>
    <row r="330" spans="1:29" x14ac:dyDescent="0.25">
      <c r="A330" s="3" t="s">
        <v>358</v>
      </c>
      <c r="B330" s="2">
        <v>0.49722222222222223</v>
      </c>
      <c r="C330">
        <v>0.38119999999999998</v>
      </c>
      <c r="E330" t="str">
        <f t="shared" si="4"/>
        <v>2021/05/13 11:56:00</v>
      </c>
      <c r="AB330" s="3"/>
      <c r="AC330" s="2"/>
    </row>
    <row r="331" spans="1:29" x14ac:dyDescent="0.25">
      <c r="A331" s="3" t="s">
        <v>359</v>
      </c>
      <c r="B331" s="2">
        <v>9.7222222222222224E-3</v>
      </c>
      <c r="C331">
        <v>0.4395</v>
      </c>
      <c r="E331" t="str">
        <f t="shared" si="4"/>
        <v>2021/05/14 00:14:00</v>
      </c>
      <c r="AB331" s="3"/>
      <c r="AC331" s="2"/>
    </row>
    <row r="332" spans="1:29" x14ac:dyDescent="0.25">
      <c r="A332" s="3" t="s">
        <v>360</v>
      </c>
      <c r="B332" s="2">
        <v>1.6666666666666666E-2</v>
      </c>
      <c r="C332">
        <v>0.49339999999999995</v>
      </c>
      <c r="E332" t="str">
        <f t="shared" si="4"/>
        <v>2021/05/15 00:24:00</v>
      </c>
      <c r="AB332" s="3"/>
      <c r="AC332" s="2"/>
    </row>
    <row r="333" spans="1:29" x14ac:dyDescent="0.25">
      <c r="A333" s="3" t="s">
        <v>361</v>
      </c>
      <c r="B333" s="2">
        <v>0</v>
      </c>
      <c r="C333">
        <v>0.47020000000000001</v>
      </c>
      <c r="E333" t="str">
        <f t="shared" si="4"/>
        <v>2021/05/16 00:00:00</v>
      </c>
      <c r="AB333" s="3"/>
      <c r="AC333" s="2"/>
    </row>
    <row r="334" spans="1:29" s="19" customFormat="1" x14ac:dyDescent="0.25">
      <c r="A334" s="17" t="s">
        <v>362</v>
      </c>
      <c r="B334" s="18">
        <v>1.3888888888888889E-3</v>
      </c>
      <c r="C334" s="19">
        <v>0.31560000000000005</v>
      </c>
      <c r="E334" s="19" t="str">
        <f t="shared" si="4"/>
        <v>2021/05/17 00:02:00</v>
      </c>
      <c r="AB334" s="17"/>
      <c r="AC334" s="18"/>
    </row>
    <row r="335" spans="1:29" x14ac:dyDescent="0.25">
      <c r="A335" s="3" t="s">
        <v>363</v>
      </c>
      <c r="B335" s="2">
        <v>0.45833333333333331</v>
      </c>
      <c r="C335">
        <v>1.1890000000000001</v>
      </c>
      <c r="E335" t="str">
        <f t="shared" si="4"/>
        <v>2021/11/16 11:00:00</v>
      </c>
      <c r="I335" s="3" t="s">
        <v>363</v>
      </c>
      <c r="J335" s="3" t="s">
        <v>364</v>
      </c>
      <c r="K335" s="3" t="s">
        <v>364</v>
      </c>
      <c r="L335" s="3" t="s">
        <v>365</v>
      </c>
      <c r="M335" s="3" t="s">
        <v>366</v>
      </c>
      <c r="N335" s="3" t="s">
        <v>367</v>
      </c>
      <c r="O335" s="3" t="s">
        <v>368</v>
      </c>
      <c r="P335" s="10" t="s">
        <v>369</v>
      </c>
      <c r="AB335" s="3"/>
      <c r="AC335" s="2"/>
    </row>
    <row r="336" spans="1:29" x14ac:dyDescent="0.25">
      <c r="A336" s="3" t="s">
        <v>364</v>
      </c>
      <c r="B336" s="2">
        <v>1.1805555555555555E-2</v>
      </c>
      <c r="C336">
        <v>0.88270000000000004</v>
      </c>
      <c r="E336" t="str">
        <f t="shared" si="4"/>
        <v>2021/11/17 00:17:00</v>
      </c>
      <c r="I336" s="2">
        <v>0.45833333333333331</v>
      </c>
      <c r="J336" s="2">
        <v>1.1805555555555555E-2</v>
      </c>
      <c r="K336" s="2">
        <v>0.80138888888888893</v>
      </c>
      <c r="L336" s="2">
        <v>6.9444444444444441E-3</v>
      </c>
      <c r="M336" s="2">
        <v>1.4583333333333334E-2</v>
      </c>
      <c r="N336" s="2">
        <v>9.0277777777777769E-3</v>
      </c>
      <c r="O336" s="2">
        <v>7.6388888888888886E-3</v>
      </c>
      <c r="P336" s="9">
        <v>3.472222222222222E-3</v>
      </c>
      <c r="AB336" s="3"/>
      <c r="AC336" s="2"/>
    </row>
    <row r="337" spans="1:29" x14ac:dyDescent="0.25">
      <c r="A337" s="3" t="s">
        <v>364</v>
      </c>
      <c r="B337" s="2">
        <v>0.80138888888888893</v>
      </c>
      <c r="C337">
        <v>0.6079</v>
      </c>
      <c r="E337" t="str">
        <f t="shared" si="4"/>
        <v>2021/11/17 19:14:00</v>
      </c>
      <c r="I337" s="14">
        <v>1.1890000000000001</v>
      </c>
      <c r="J337">
        <v>0.88270000000000004</v>
      </c>
      <c r="K337">
        <v>0.6079</v>
      </c>
      <c r="L337">
        <v>0.36969999999999997</v>
      </c>
      <c r="M337">
        <v>0.15759999999999999</v>
      </c>
      <c r="N337">
        <v>8.4699999999999998E-2</v>
      </c>
      <c r="O337">
        <v>5.9400000000000001E-2</v>
      </c>
      <c r="P337" s="12">
        <v>4.0500000000000001E-2</v>
      </c>
      <c r="AB337" s="3"/>
      <c r="AC337" s="2"/>
    </row>
    <row r="338" spans="1:29" x14ac:dyDescent="0.25">
      <c r="A338" s="3" t="s">
        <v>365</v>
      </c>
      <c r="B338" s="2">
        <v>6.9444444444444441E-3</v>
      </c>
      <c r="C338">
        <v>0.36969999999999997</v>
      </c>
      <c r="E338" t="str">
        <f t="shared" si="4"/>
        <v>2021/11/18 00:10:00</v>
      </c>
      <c r="AB338" s="3"/>
      <c r="AC338" s="2"/>
    </row>
    <row r="339" spans="1:29" x14ac:dyDescent="0.25">
      <c r="A339" s="3" t="s">
        <v>366</v>
      </c>
      <c r="B339" s="2">
        <v>1.4583333333333334E-2</v>
      </c>
      <c r="C339">
        <v>0.15759999999999999</v>
      </c>
      <c r="E339" t="str">
        <f t="shared" si="4"/>
        <v>2021/11/19 00:21:00</v>
      </c>
      <c r="AB339" s="3"/>
      <c r="AC339" s="2"/>
    </row>
    <row r="340" spans="1:29" x14ac:dyDescent="0.25">
      <c r="A340" s="3" t="s">
        <v>367</v>
      </c>
      <c r="B340" s="2">
        <v>9.0277777777777769E-3</v>
      </c>
      <c r="C340">
        <v>8.4699999999999998E-2</v>
      </c>
      <c r="E340" t="str">
        <f t="shared" si="4"/>
        <v>2021/11/20 00:13:00</v>
      </c>
      <c r="AB340" s="3"/>
      <c r="AC340" s="2"/>
    </row>
    <row r="341" spans="1:29" x14ac:dyDescent="0.25">
      <c r="A341" s="3" t="s">
        <v>368</v>
      </c>
      <c r="B341" s="2">
        <v>7.6388888888888886E-3</v>
      </c>
      <c r="C341">
        <v>5.9400000000000001E-2</v>
      </c>
      <c r="E341" t="str">
        <f t="shared" si="4"/>
        <v>2021/11/21 00:11:00</v>
      </c>
      <c r="AB341" s="3"/>
      <c r="AC341" s="2"/>
    </row>
    <row r="342" spans="1:29" s="19" customFormat="1" x14ac:dyDescent="0.25">
      <c r="A342" s="17" t="s">
        <v>369</v>
      </c>
      <c r="B342" s="18">
        <v>3.472222222222222E-3</v>
      </c>
      <c r="C342" s="19">
        <v>4.0500000000000001E-2</v>
      </c>
      <c r="E342" s="19" t="str">
        <f t="shared" si="4"/>
        <v>2021/11/22 00:05:00</v>
      </c>
      <c r="AB342" s="17"/>
      <c r="AC342" s="18"/>
    </row>
    <row r="343" spans="1:29" x14ac:dyDescent="0.25">
      <c r="A343" s="3" t="s">
        <v>128</v>
      </c>
      <c r="B343" s="2">
        <v>0.83888888888888891</v>
      </c>
      <c r="C343">
        <v>3.5000000000000003E-2</v>
      </c>
      <c r="E343" t="str">
        <f t="shared" si="4"/>
        <v>2018/02/06 20:08:00</v>
      </c>
      <c r="I343" s="3" t="s">
        <v>128</v>
      </c>
      <c r="J343" s="3" t="s">
        <v>370</v>
      </c>
      <c r="K343" s="3" t="s">
        <v>370</v>
      </c>
      <c r="L343" s="3" t="s">
        <v>370</v>
      </c>
      <c r="M343" s="3" t="s">
        <v>371</v>
      </c>
      <c r="N343" s="3" t="s">
        <v>372</v>
      </c>
      <c r="O343" s="3" t="s">
        <v>373</v>
      </c>
      <c r="P343" s="3" t="s">
        <v>374</v>
      </c>
      <c r="Q343" s="10" t="s">
        <v>375</v>
      </c>
      <c r="AB343" s="3"/>
      <c r="AC343" s="2"/>
    </row>
    <row r="344" spans="1:29" x14ac:dyDescent="0.25">
      <c r="A344" s="3" t="s">
        <v>370</v>
      </c>
      <c r="B344" s="2">
        <v>0.13402777777777777</v>
      </c>
      <c r="C344">
        <v>5.61</v>
      </c>
      <c r="E344" t="str">
        <f t="shared" si="4"/>
        <v>2018/02/07 03:13:00</v>
      </c>
      <c r="I344" s="2">
        <v>0.83888888888888891</v>
      </c>
      <c r="J344" s="2">
        <v>0.13402777777777777</v>
      </c>
      <c r="K344" s="2">
        <v>0.14722222222222223</v>
      </c>
      <c r="L344" s="2">
        <v>0.64027777777777772</v>
      </c>
      <c r="M344" s="2">
        <v>4.583333333333333E-2</v>
      </c>
      <c r="N344" s="2">
        <v>1.2500000000000001E-2</v>
      </c>
      <c r="O344" s="2">
        <v>2.361111111111111E-2</v>
      </c>
      <c r="P344" s="2">
        <v>2.0833333333333333E-3</v>
      </c>
      <c r="Q344" s="9">
        <v>7.6388888888888886E-3</v>
      </c>
      <c r="AB344" s="3"/>
      <c r="AC344" s="2"/>
    </row>
    <row r="345" spans="1:29" x14ac:dyDescent="0.25">
      <c r="A345" s="3" t="s">
        <v>370</v>
      </c>
      <c r="B345" s="2">
        <v>0.14722222222222223</v>
      </c>
      <c r="C345">
        <v>6.17</v>
      </c>
      <c r="E345" t="str">
        <f t="shared" si="4"/>
        <v>2018/02/07 03:32:00</v>
      </c>
      <c r="I345" s="14">
        <v>3.5000000000000003E-2</v>
      </c>
      <c r="J345">
        <v>5.61</v>
      </c>
      <c r="K345">
        <v>6.17</v>
      </c>
      <c r="L345">
        <v>3.09</v>
      </c>
      <c r="M345">
        <v>3.16</v>
      </c>
      <c r="N345">
        <v>3.87</v>
      </c>
      <c r="O345">
        <v>3.79</v>
      </c>
      <c r="P345">
        <v>3.1</v>
      </c>
      <c r="Q345" s="12">
        <v>1.43</v>
      </c>
      <c r="AB345" s="3"/>
      <c r="AC345" s="2"/>
    </row>
    <row r="346" spans="1:29" x14ac:dyDescent="0.25">
      <c r="A346" s="3" t="s">
        <v>370</v>
      </c>
      <c r="B346" s="2">
        <v>0.64027777777777772</v>
      </c>
      <c r="C346">
        <v>3.09</v>
      </c>
      <c r="E346" t="str">
        <f t="shared" si="4"/>
        <v>2018/02/07 15:22:00</v>
      </c>
      <c r="AB346" s="3"/>
      <c r="AC346" s="2"/>
    </row>
    <row r="347" spans="1:29" x14ac:dyDescent="0.25">
      <c r="A347" s="3" t="s">
        <v>371</v>
      </c>
      <c r="B347" s="2">
        <v>4.583333333333333E-2</v>
      </c>
      <c r="C347">
        <v>3.16</v>
      </c>
      <c r="E347" t="str">
        <f t="shared" si="4"/>
        <v>2018/02/08 01:06:00</v>
      </c>
      <c r="AB347" s="3"/>
      <c r="AC347" s="2"/>
    </row>
    <row r="348" spans="1:29" x14ac:dyDescent="0.25">
      <c r="A348" s="3" t="s">
        <v>372</v>
      </c>
      <c r="B348" s="2">
        <v>1.2500000000000001E-2</v>
      </c>
      <c r="C348">
        <v>3.87</v>
      </c>
      <c r="E348" t="str">
        <f t="shared" si="4"/>
        <v>2018/02/09 00:18:00</v>
      </c>
      <c r="AB348" s="3"/>
      <c r="AC348" s="2"/>
    </row>
    <row r="349" spans="1:29" x14ac:dyDescent="0.25">
      <c r="A349" s="3" t="s">
        <v>373</v>
      </c>
      <c r="B349" s="2">
        <v>2.361111111111111E-2</v>
      </c>
      <c r="C349">
        <v>3.79</v>
      </c>
      <c r="E349" t="str">
        <f t="shared" si="4"/>
        <v>2018/02/10 00:34:00</v>
      </c>
      <c r="AB349" s="3"/>
      <c r="AC349" s="2"/>
    </row>
    <row r="350" spans="1:29" x14ac:dyDescent="0.25">
      <c r="A350" s="3" t="s">
        <v>374</v>
      </c>
      <c r="B350" s="2">
        <v>2.0833333333333333E-3</v>
      </c>
      <c r="C350">
        <v>3.1</v>
      </c>
      <c r="E350" t="str">
        <f t="shared" si="4"/>
        <v>2018/02/11 00:03:00</v>
      </c>
      <c r="AB350" s="3"/>
      <c r="AC350" s="2"/>
    </row>
    <row r="351" spans="1:29" s="19" customFormat="1" x14ac:dyDescent="0.25">
      <c r="A351" s="17" t="s">
        <v>375</v>
      </c>
      <c r="B351" s="18">
        <v>7.6388888888888886E-3</v>
      </c>
      <c r="C351" s="19">
        <v>1.43</v>
      </c>
      <c r="E351" s="19" t="str">
        <f t="shared" si="4"/>
        <v>2018/02/12 00:11:00</v>
      </c>
      <c r="AB351" s="17"/>
      <c r="AC351" s="18"/>
    </row>
    <row r="352" spans="1:29" x14ac:dyDescent="0.25">
      <c r="A352" s="3" t="s">
        <v>129</v>
      </c>
      <c r="B352" s="2">
        <v>0.57638888888888884</v>
      </c>
      <c r="C352">
        <v>9.6000000000000002E-2</v>
      </c>
      <c r="E352" t="str">
        <f t="shared" si="4"/>
        <v>2018/05/22 13:50:00</v>
      </c>
      <c r="I352" s="3" t="s">
        <v>129</v>
      </c>
      <c r="J352" s="3" t="s">
        <v>376</v>
      </c>
      <c r="K352" s="3" t="s">
        <v>377</v>
      </c>
      <c r="L352" s="3" t="s">
        <v>377</v>
      </c>
      <c r="M352" s="10" t="s">
        <v>378</v>
      </c>
      <c r="AB352" s="3"/>
      <c r="AC352" s="2"/>
    </row>
    <row r="353" spans="1:29" x14ac:dyDescent="0.25">
      <c r="A353" s="3" t="s">
        <v>376</v>
      </c>
      <c r="B353" s="2">
        <v>3.0555555555555555E-2</v>
      </c>
      <c r="C353">
        <v>0.23300000000000001</v>
      </c>
      <c r="E353" t="str">
        <f t="shared" si="4"/>
        <v>2018/05/23 00:44:00</v>
      </c>
      <c r="I353" s="2">
        <v>0.57638888888888884</v>
      </c>
      <c r="J353" s="2">
        <v>3.0555555555555555E-2</v>
      </c>
      <c r="K353" s="2">
        <v>6.2500000000000003E-3</v>
      </c>
      <c r="L353" s="2">
        <v>0.67361111111111116</v>
      </c>
      <c r="M353" s="9">
        <v>7.6388888888888886E-3</v>
      </c>
      <c r="AB353" s="3"/>
      <c r="AC353" s="2"/>
    </row>
    <row r="354" spans="1:29" x14ac:dyDescent="0.25">
      <c r="A354" s="3" t="s">
        <v>377</v>
      </c>
      <c r="B354" s="2">
        <v>6.2500000000000003E-3</v>
      </c>
      <c r="C354">
        <v>0.17799999999999999</v>
      </c>
      <c r="E354" t="str">
        <f t="shared" si="4"/>
        <v>2018/05/24 00:09:00</v>
      </c>
      <c r="I354" s="14">
        <v>9.6000000000000002E-2</v>
      </c>
      <c r="J354">
        <v>0.23300000000000001</v>
      </c>
      <c r="K354">
        <v>0.17799999999999999</v>
      </c>
      <c r="L354">
        <v>0.16800000000000001</v>
      </c>
      <c r="M354" s="12">
        <v>0.182</v>
      </c>
      <c r="AB354" s="3"/>
      <c r="AC354" s="2"/>
    </row>
    <row r="355" spans="1:29" x14ac:dyDescent="0.25">
      <c r="A355" s="3" t="s">
        <v>377</v>
      </c>
      <c r="B355" s="2">
        <v>0.67361111111111116</v>
      </c>
      <c r="C355">
        <v>0.16800000000000001</v>
      </c>
      <c r="E355" t="str">
        <f t="shared" si="4"/>
        <v>2018/05/24 16:10:00</v>
      </c>
      <c r="AB355" s="3"/>
      <c r="AC355" s="2"/>
    </row>
    <row r="356" spans="1:29" s="19" customFormat="1" x14ac:dyDescent="0.25">
      <c r="A356" s="17" t="s">
        <v>378</v>
      </c>
      <c r="B356" s="18">
        <v>7.6388888888888886E-3</v>
      </c>
      <c r="C356" s="19">
        <v>0.182</v>
      </c>
      <c r="E356" s="19" t="str">
        <f t="shared" si="4"/>
        <v>2018/05/25 00:11:00</v>
      </c>
      <c r="AB356" s="17"/>
      <c r="AC356" s="18"/>
    </row>
    <row r="357" spans="1:29" x14ac:dyDescent="0.25">
      <c r="A357" s="3" t="s">
        <v>130</v>
      </c>
      <c r="B357" s="2">
        <v>0.85555555555555551</v>
      </c>
      <c r="C357">
        <v>0.315</v>
      </c>
      <c r="E357" t="str">
        <f t="shared" si="4"/>
        <v>2018/05/08 20:32:00</v>
      </c>
      <c r="I357" s="3" t="s">
        <v>130</v>
      </c>
      <c r="J357" s="3" t="s">
        <v>130</v>
      </c>
      <c r="K357" s="3" t="s">
        <v>265</v>
      </c>
      <c r="L357" s="3" t="s">
        <v>116</v>
      </c>
      <c r="M357" s="10" t="s">
        <v>266</v>
      </c>
      <c r="AB357" s="3"/>
      <c r="AC357" s="2"/>
    </row>
    <row r="358" spans="1:29" x14ac:dyDescent="0.25">
      <c r="A358" s="3" t="s">
        <v>130</v>
      </c>
      <c r="B358" s="2">
        <v>0.99236111111111114</v>
      </c>
      <c r="C358">
        <v>0.318</v>
      </c>
      <c r="E358" t="str">
        <f t="shared" si="4"/>
        <v>2018/05/08 23:49:00</v>
      </c>
      <c r="I358" s="2">
        <v>0.85555555555555551</v>
      </c>
      <c r="J358" s="2">
        <v>0.99236111111111114</v>
      </c>
      <c r="K358" s="2">
        <v>2.0833333333333332E-2</v>
      </c>
      <c r="L358" s="2">
        <v>1.3888888888888888E-2</v>
      </c>
      <c r="M358" s="9">
        <v>7.6388888888888886E-3</v>
      </c>
      <c r="AB358" s="3"/>
      <c r="AC358" s="2"/>
    </row>
    <row r="359" spans="1:29" x14ac:dyDescent="0.25">
      <c r="A359" s="3" t="s">
        <v>265</v>
      </c>
      <c r="B359" s="2">
        <v>2.0833333333333332E-2</v>
      </c>
      <c r="C359">
        <v>0.26700000000000002</v>
      </c>
      <c r="E359" t="str">
        <f t="shared" si="4"/>
        <v>2018/05/09 00:30:00</v>
      </c>
      <c r="I359" s="14">
        <v>0.315</v>
      </c>
      <c r="J359">
        <v>0.318</v>
      </c>
      <c r="K359">
        <v>0.26700000000000002</v>
      </c>
      <c r="L359">
        <v>0.39400000000000002</v>
      </c>
      <c r="M359" s="12">
        <v>0.41799999999999998</v>
      </c>
      <c r="AB359" s="3"/>
      <c r="AC359" s="2"/>
    </row>
    <row r="360" spans="1:29" x14ac:dyDescent="0.25">
      <c r="A360" s="3" t="s">
        <v>116</v>
      </c>
      <c r="B360" s="2">
        <v>1.3888888888888888E-2</v>
      </c>
      <c r="C360">
        <v>0.39400000000000002</v>
      </c>
      <c r="E360" t="str">
        <f t="shared" si="4"/>
        <v>2018/05/10 00:20:00</v>
      </c>
      <c r="AB360" s="3"/>
      <c r="AC360" s="2"/>
    </row>
    <row r="361" spans="1:29" s="19" customFormat="1" x14ac:dyDescent="0.25">
      <c r="A361" s="17" t="s">
        <v>266</v>
      </c>
      <c r="B361" s="18">
        <v>7.6388888888888886E-3</v>
      </c>
      <c r="C361" s="19">
        <v>0.41799999999999998</v>
      </c>
      <c r="E361" s="19" t="str">
        <f t="shared" si="4"/>
        <v>2018/05/11 00:11:00</v>
      </c>
      <c r="AB361" s="17"/>
      <c r="AC361" s="18"/>
    </row>
    <row r="362" spans="1:29" x14ac:dyDescent="0.25">
      <c r="A362" s="3" t="s">
        <v>379</v>
      </c>
      <c r="B362" s="2">
        <v>0.88194444444444442</v>
      </c>
      <c r="C362">
        <v>5.4600000000000003E-2</v>
      </c>
      <c r="E362" t="str">
        <f t="shared" si="4"/>
        <v>2019/12/04 21:10:00</v>
      </c>
      <c r="I362" s="3" t="s">
        <v>379</v>
      </c>
      <c r="J362" s="3" t="s">
        <v>380</v>
      </c>
      <c r="K362" s="3" t="s">
        <v>380</v>
      </c>
      <c r="L362" s="3" t="s">
        <v>381</v>
      </c>
      <c r="M362" s="3" t="s">
        <v>382</v>
      </c>
      <c r="N362" s="3" t="s">
        <v>383</v>
      </c>
      <c r="O362" s="10" t="s">
        <v>384</v>
      </c>
      <c r="AB362" s="3"/>
      <c r="AC362" s="2"/>
    </row>
    <row r="363" spans="1:29" x14ac:dyDescent="0.25">
      <c r="A363" s="3" t="s">
        <v>380</v>
      </c>
      <c r="B363" s="2">
        <v>2.4305555555555556E-2</v>
      </c>
      <c r="C363">
        <v>5.3899999999999997E-2</v>
      </c>
      <c r="E363" t="str">
        <f t="shared" si="4"/>
        <v>2019/12/05 00:35:00</v>
      </c>
      <c r="I363" s="2">
        <v>0.88194444444444442</v>
      </c>
      <c r="J363" s="2">
        <v>2.4305555555555556E-2</v>
      </c>
      <c r="K363" s="2">
        <v>0.66597222222222219</v>
      </c>
      <c r="L363" s="2">
        <v>3.472222222222222E-3</v>
      </c>
      <c r="M363" s="2">
        <v>2.0833333333333333E-3</v>
      </c>
      <c r="N363" s="2">
        <v>1.3888888888888888E-2</v>
      </c>
      <c r="O363" s="9">
        <v>2.7777777777777779E-3</v>
      </c>
      <c r="AB363" s="3"/>
      <c r="AC363" s="2"/>
    </row>
    <row r="364" spans="1:29" x14ac:dyDescent="0.25">
      <c r="A364" s="3" t="s">
        <v>380</v>
      </c>
      <c r="B364" s="2">
        <v>0.66597222222222219</v>
      </c>
      <c r="C364">
        <v>4.7700000000000006E-2</v>
      </c>
      <c r="E364" t="str">
        <f t="shared" si="4"/>
        <v>2019/12/05 15:59:00</v>
      </c>
      <c r="I364" s="14">
        <v>5.4600000000000003E-2</v>
      </c>
      <c r="J364">
        <v>5.3899999999999997E-2</v>
      </c>
      <c r="K364">
        <v>4.7700000000000006E-2</v>
      </c>
      <c r="L364">
        <v>5.9499999999999997E-2</v>
      </c>
      <c r="M364">
        <v>4.4700000000000004E-2</v>
      </c>
      <c r="N364">
        <v>3.9600000000000003E-2</v>
      </c>
      <c r="O364" s="12">
        <v>2.6499999999999999E-2</v>
      </c>
      <c r="AB364" s="3"/>
      <c r="AC364" s="2"/>
    </row>
    <row r="365" spans="1:29" x14ac:dyDescent="0.25">
      <c r="A365" s="3" t="s">
        <v>381</v>
      </c>
      <c r="B365" s="2">
        <v>3.472222222222222E-3</v>
      </c>
      <c r="C365">
        <v>5.9499999999999997E-2</v>
      </c>
      <c r="E365" t="str">
        <f t="shared" si="4"/>
        <v>2019/12/06 00:05:00</v>
      </c>
      <c r="AB365" s="3"/>
      <c r="AC365" s="2"/>
    </row>
    <row r="366" spans="1:29" x14ac:dyDescent="0.25">
      <c r="A366" s="3" t="s">
        <v>382</v>
      </c>
      <c r="B366" s="2">
        <v>2.0833333333333333E-3</v>
      </c>
      <c r="C366">
        <v>4.4700000000000004E-2</v>
      </c>
      <c r="E366" t="str">
        <f t="shared" si="4"/>
        <v>2019/12/07 00:03:00</v>
      </c>
      <c r="AB366" s="3"/>
      <c r="AC366" s="2"/>
    </row>
    <row r="367" spans="1:29" x14ac:dyDescent="0.25">
      <c r="A367" s="3" t="s">
        <v>383</v>
      </c>
      <c r="B367" s="2">
        <v>1.3888888888888888E-2</v>
      </c>
      <c r="C367">
        <v>3.9600000000000003E-2</v>
      </c>
      <c r="E367" t="str">
        <f t="shared" si="4"/>
        <v>2019/12/08 00:20:00</v>
      </c>
      <c r="AB367" s="3"/>
      <c r="AC367" s="2"/>
    </row>
    <row r="368" spans="1:29" s="19" customFormat="1" x14ac:dyDescent="0.25">
      <c r="A368" s="17" t="s">
        <v>384</v>
      </c>
      <c r="B368" s="18">
        <v>2.7777777777777779E-3</v>
      </c>
      <c r="C368" s="19">
        <v>2.6499999999999999E-2</v>
      </c>
      <c r="E368" s="19" t="str">
        <f t="shared" si="4"/>
        <v>2019/12/09 00:04:00</v>
      </c>
      <c r="AB368" s="17"/>
      <c r="AC368" s="18"/>
    </row>
    <row r="369" spans="1:29" x14ac:dyDescent="0.25">
      <c r="A369" s="3" t="s">
        <v>385</v>
      </c>
      <c r="B369" s="2">
        <v>0.66805555555555551</v>
      </c>
      <c r="C369">
        <v>0.13319999999999999</v>
      </c>
      <c r="E369" t="str">
        <f t="shared" si="4"/>
        <v>2021/10/19 16:02:00</v>
      </c>
      <c r="I369" s="3" t="s">
        <v>385</v>
      </c>
      <c r="J369" s="3" t="s">
        <v>386</v>
      </c>
      <c r="K369" s="3" t="s">
        <v>386</v>
      </c>
      <c r="L369" s="3" t="s">
        <v>387</v>
      </c>
      <c r="M369" s="10" t="s">
        <v>388</v>
      </c>
      <c r="AB369" s="3"/>
      <c r="AC369" s="2"/>
    </row>
    <row r="370" spans="1:29" x14ac:dyDescent="0.25">
      <c r="A370" s="3" t="s">
        <v>386</v>
      </c>
      <c r="B370" s="2">
        <v>2.1527777777777778E-2</v>
      </c>
      <c r="C370">
        <v>0.1183</v>
      </c>
      <c r="E370" t="str">
        <f t="shared" si="4"/>
        <v>2021/10/20 00:31:00</v>
      </c>
      <c r="I370" s="2">
        <v>0.66805555555555551</v>
      </c>
      <c r="J370" s="2">
        <v>2.1527777777777778E-2</v>
      </c>
      <c r="K370" s="2">
        <v>0.68125000000000002</v>
      </c>
      <c r="L370" s="2">
        <v>2.7083333333333334E-2</v>
      </c>
      <c r="M370" s="9">
        <v>3.472222222222222E-3</v>
      </c>
      <c r="AB370" s="3"/>
      <c r="AC370" s="2"/>
    </row>
    <row r="371" spans="1:29" x14ac:dyDescent="0.25">
      <c r="A371" s="3" t="s">
        <v>386</v>
      </c>
      <c r="B371" s="2">
        <v>0.68125000000000002</v>
      </c>
      <c r="C371">
        <v>0.27900000000000003</v>
      </c>
      <c r="E371" t="str">
        <f t="shared" si="4"/>
        <v>2021/10/20 16:21:00</v>
      </c>
      <c r="I371" s="14">
        <v>0.13319999999999999</v>
      </c>
      <c r="J371">
        <v>0.1183</v>
      </c>
      <c r="K371">
        <v>0.27900000000000003</v>
      </c>
      <c r="L371">
        <v>0.17150000000000001</v>
      </c>
      <c r="M371" s="12">
        <v>0.1512</v>
      </c>
      <c r="AB371" s="3"/>
      <c r="AC371" s="2"/>
    </row>
    <row r="372" spans="1:29" x14ac:dyDescent="0.25">
      <c r="A372" s="3" t="s">
        <v>387</v>
      </c>
      <c r="B372" s="2">
        <v>2.7083333333333334E-2</v>
      </c>
      <c r="C372">
        <v>0.17150000000000001</v>
      </c>
      <c r="E372" t="str">
        <f t="shared" si="4"/>
        <v>2021/10/21 00:39:00</v>
      </c>
      <c r="AB372" s="3"/>
      <c r="AC372" s="2"/>
    </row>
    <row r="373" spans="1:29" s="19" customFormat="1" x14ac:dyDescent="0.25">
      <c r="A373" s="17" t="s">
        <v>388</v>
      </c>
      <c r="B373" s="18">
        <v>3.472222222222222E-3</v>
      </c>
      <c r="C373" s="19">
        <v>0.1512</v>
      </c>
      <c r="E373" s="19" t="str">
        <f t="shared" ref="E373:E406" si="5">TEXT(A373,"yyyy/mm/dd") &amp; " " &amp; TEXT(B373,"hh:mm:ss")</f>
        <v>2021/10/22 00:05:00</v>
      </c>
      <c r="AB373" s="17"/>
      <c r="AC373" s="18"/>
    </row>
    <row r="374" spans="1:29" x14ac:dyDescent="0.25">
      <c r="A374" s="3" t="s">
        <v>133</v>
      </c>
      <c r="B374" s="2">
        <v>0.61805555555555558</v>
      </c>
      <c r="C374">
        <v>4.7E-2</v>
      </c>
      <c r="E374" t="str">
        <f t="shared" si="5"/>
        <v>2017/07/11 14:50:00</v>
      </c>
      <c r="I374" s="3" t="s">
        <v>133</v>
      </c>
      <c r="J374" s="3" t="s">
        <v>133</v>
      </c>
      <c r="K374" s="3" t="s">
        <v>389</v>
      </c>
      <c r="L374" s="3" t="s">
        <v>390</v>
      </c>
      <c r="M374" s="3" t="s">
        <v>390</v>
      </c>
      <c r="N374" s="3" t="s">
        <v>391</v>
      </c>
      <c r="O374" s="3" t="s">
        <v>392</v>
      </c>
      <c r="P374" s="10" t="s">
        <v>393</v>
      </c>
      <c r="AB374" s="3"/>
      <c r="AC374" s="2"/>
    </row>
    <row r="375" spans="1:29" x14ac:dyDescent="0.25">
      <c r="A375" s="3" t="s">
        <v>133</v>
      </c>
      <c r="B375" s="2">
        <v>0.89236111111111116</v>
      </c>
      <c r="C375">
        <v>1.57</v>
      </c>
      <c r="E375" t="str">
        <f t="shared" si="5"/>
        <v>2017/07/11 21:25:00</v>
      </c>
      <c r="I375" s="2">
        <v>0.61805555555555558</v>
      </c>
      <c r="J375" s="2">
        <v>0.89236111111111116</v>
      </c>
      <c r="K375" s="2">
        <v>3.9583333333333331E-2</v>
      </c>
      <c r="L375" s="2">
        <v>3.472222222222222E-3</v>
      </c>
      <c r="M375" s="2">
        <v>0.78263888888888888</v>
      </c>
      <c r="N375" s="2">
        <v>1.6666666666666666E-2</v>
      </c>
      <c r="O375" s="2">
        <v>6.2500000000000003E-3</v>
      </c>
      <c r="P375" s="9">
        <v>2.0833333333333333E-3</v>
      </c>
      <c r="AB375" s="3"/>
      <c r="AC375" s="2"/>
    </row>
    <row r="376" spans="1:29" x14ac:dyDescent="0.25">
      <c r="A376" s="3" t="s">
        <v>389</v>
      </c>
      <c r="B376" s="2">
        <v>3.9583333333333331E-2</v>
      </c>
      <c r="C376">
        <v>1.52</v>
      </c>
      <c r="E376" t="str">
        <f t="shared" si="5"/>
        <v>2017/07/12 00:57:00</v>
      </c>
      <c r="I376" s="14">
        <v>4.7E-2</v>
      </c>
      <c r="J376">
        <v>1.57</v>
      </c>
      <c r="K376">
        <v>1.52</v>
      </c>
      <c r="L376">
        <v>0.60899999999999999</v>
      </c>
      <c r="M376">
        <v>0.63600000000000001</v>
      </c>
      <c r="N376">
        <v>0.68400000000000005</v>
      </c>
      <c r="O376">
        <v>0.65</v>
      </c>
      <c r="P376" s="12">
        <v>0.58699999999999997</v>
      </c>
      <c r="AB376" s="3"/>
      <c r="AC376" s="2"/>
    </row>
    <row r="377" spans="1:29" x14ac:dyDescent="0.25">
      <c r="A377" s="3" t="s">
        <v>390</v>
      </c>
      <c r="B377" s="2">
        <v>3.472222222222222E-3</v>
      </c>
      <c r="C377">
        <v>0.60899999999999999</v>
      </c>
      <c r="E377" t="str">
        <f t="shared" si="5"/>
        <v>2017/07/13 00:05:00</v>
      </c>
      <c r="AB377" s="3"/>
      <c r="AC377" s="2"/>
    </row>
    <row r="378" spans="1:29" x14ac:dyDescent="0.25">
      <c r="A378" s="3" t="s">
        <v>390</v>
      </c>
      <c r="B378" s="2">
        <v>0.78263888888888888</v>
      </c>
      <c r="C378">
        <v>0.63600000000000001</v>
      </c>
      <c r="E378" t="str">
        <f t="shared" si="5"/>
        <v>2017/07/13 18:47:00</v>
      </c>
      <c r="AB378" s="3"/>
      <c r="AC378" s="2"/>
    </row>
    <row r="379" spans="1:29" x14ac:dyDescent="0.25">
      <c r="A379" s="3" t="s">
        <v>391</v>
      </c>
      <c r="B379" s="2">
        <v>1.6666666666666666E-2</v>
      </c>
      <c r="C379">
        <v>0.68400000000000005</v>
      </c>
      <c r="E379" t="str">
        <f t="shared" si="5"/>
        <v>2017/07/14 00:24:00</v>
      </c>
      <c r="AB379" s="3"/>
      <c r="AC379" s="2"/>
    </row>
    <row r="380" spans="1:29" x14ac:dyDescent="0.25">
      <c r="A380" s="3" t="s">
        <v>392</v>
      </c>
      <c r="B380" s="2">
        <v>6.2500000000000003E-3</v>
      </c>
      <c r="C380">
        <v>0.65</v>
      </c>
      <c r="E380" t="str">
        <f t="shared" si="5"/>
        <v>2017/07/15 00:09:00</v>
      </c>
      <c r="AB380" s="3"/>
      <c r="AC380" s="2"/>
    </row>
    <row r="381" spans="1:29" s="19" customFormat="1" x14ac:dyDescent="0.25">
      <c r="A381" s="17" t="s">
        <v>393</v>
      </c>
      <c r="B381" s="18">
        <v>2.0833333333333333E-3</v>
      </c>
      <c r="C381" s="19">
        <v>0.58699999999999997</v>
      </c>
      <c r="E381" s="19" t="str">
        <f t="shared" si="5"/>
        <v>2017/07/16 00:03:00</v>
      </c>
      <c r="AB381" s="17"/>
      <c r="AC381" s="18"/>
    </row>
    <row r="382" spans="1:29" x14ac:dyDescent="0.25">
      <c r="A382" s="3" t="s">
        <v>93</v>
      </c>
      <c r="B382" s="2">
        <v>0.50694444444444442</v>
      </c>
      <c r="C382">
        <v>5.4000000000000003E-3</v>
      </c>
      <c r="E382" t="str">
        <f t="shared" si="5"/>
        <v>2019/07/05 12:10:00</v>
      </c>
      <c r="I382" s="3" t="s">
        <v>93</v>
      </c>
      <c r="J382" s="3" t="s">
        <v>93</v>
      </c>
      <c r="K382" s="3" t="s">
        <v>192</v>
      </c>
      <c r="L382" s="3" t="s">
        <v>193</v>
      </c>
      <c r="M382" s="10" t="s">
        <v>194</v>
      </c>
      <c r="AB382" s="3"/>
      <c r="AC382" s="2"/>
    </row>
    <row r="383" spans="1:29" x14ac:dyDescent="0.25">
      <c r="A383" s="3" t="s">
        <v>93</v>
      </c>
      <c r="B383" s="2">
        <v>0.69722222222222219</v>
      </c>
      <c r="C383">
        <v>9.1999999999999998E-3</v>
      </c>
      <c r="E383" t="str">
        <f t="shared" si="5"/>
        <v>2019/07/05 16:44:00</v>
      </c>
      <c r="I383" s="2">
        <v>0.50694444444444442</v>
      </c>
      <c r="J383" s="2">
        <v>0.69722222222222219</v>
      </c>
      <c r="K383" s="2">
        <v>1.0416666666666666E-2</v>
      </c>
      <c r="L383" s="2">
        <v>6.2500000000000003E-3</v>
      </c>
      <c r="M383" s="9">
        <v>1.2500000000000001E-2</v>
      </c>
      <c r="AB383" s="3"/>
      <c r="AC383" s="2"/>
    </row>
    <row r="384" spans="1:29" x14ac:dyDescent="0.25">
      <c r="A384" s="3" t="s">
        <v>192</v>
      </c>
      <c r="B384" s="2">
        <v>1.0416666666666666E-2</v>
      </c>
      <c r="C384">
        <v>2.2100000000000002E-2</v>
      </c>
      <c r="E384" t="str">
        <f t="shared" si="5"/>
        <v>2019/07/06 00:15:00</v>
      </c>
      <c r="I384" s="14">
        <v>5.4000000000000003E-3</v>
      </c>
      <c r="J384">
        <v>9.1999999999999998E-3</v>
      </c>
      <c r="K384">
        <v>2.2100000000000002E-2</v>
      </c>
      <c r="L384">
        <v>1.83E-2</v>
      </c>
      <c r="M384" s="12">
        <v>2.4300000000000002E-2</v>
      </c>
      <c r="AB384" s="3"/>
      <c r="AC384" s="2"/>
    </row>
    <row r="385" spans="1:29" x14ac:dyDescent="0.25">
      <c r="A385" s="3" t="s">
        <v>193</v>
      </c>
      <c r="B385" s="2">
        <v>6.2500000000000003E-3</v>
      </c>
      <c r="C385">
        <v>1.83E-2</v>
      </c>
      <c r="E385" t="str">
        <f t="shared" si="5"/>
        <v>2019/07/07 00:09:00</v>
      </c>
      <c r="AB385" s="3"/>
      <c r="AC385" s="2"/>
    </row>
    <row r="386" spans="1:29" s="19" customFormat="1" x14ac:dyDescent="0.25">
      <c r="A386" s="17" t="s">
        <v>194</v>
      </c>
      <c r="B386" s="18">
        <v>1.2500000000000001E-2</v>
      </c>
      <c r="C386" s="19">
        <v>2.4300000000000002E-2</v>
      </c>
      <c r="E386" s="19" t="str">
        <f t="shared" si="5"/>
        <v>2019/07/08 00:18:00</v>
      </c>
      <c r="AB386" s="17"/>
      <c r="AC386" s="18"/>
    </row>
    <row r="387" spans="1:29" x14ac:dyDescent="0.25">
      <c r="A387" s="3" t="s">
        <v>394</v>
      </c>
      <c r="B387" s="2">
        <v>0.53819444444444442</v>
      </c>
      <c r="C387">
        <v>1.7929999999999999</v>
      </c>
      <c r="E387" t="str">
        <f t="shared" si="5"/>
        <v>2022/07/11 12:55:00</v>
      </c>
      <c r="I387" s="3" t="s">
        <v>394</v>
      </c>
      <c r="J387" s="3" t="s">
        <v>395</v>
      </c>
      <c r="K387" s="3" t="s">
        <v>396</v>
      </c>
      <c r="L387" s="3" t="s">
        <v>397</v>
      </c>
      <c r="M387" s="3" t="s">
        <v>397</v>
      </c>
      <c r="N387" s="3" t="s">
        <v>398</v>
      </c>
      <c r="O387" s="3" t="s">
        <v>399</v>
      </c>
      <c r="P387" s="3" t="s">
        <v>400</v>
      </c>
      <c r="Q387" s="3" t="s">
        <v>401</v>
      </c>
      <c r="AB387" s="3"/>
      <c r="AC387" s="2"/>
    </row>
    <row r="388" spans="1:29" x14ac:dyDescent="0.25">
      <c r="A388" s="3" t="s">
        <v>395</v>
      </c>
      <c r="B388" s="2">
        <v>0.26250000000000001</v>
      </c>
      <c r="C388">
        <v>0.78379999999999994</v>
      </c>
      <c r="E388" t="str">
        <f t="shared" si="5"/>
        <v>2022/07/12 06:18:00</v>
      </c>
      <c r="I388" s="2">
        <v>0.53819444444444442</v>
      </c>
      <c r="J388" s="2">
        <v>0.26250000000000001</v>
      </c>
      <c r="K388" s="2">
        <v>3.472222222222222E-3</v>
      </c>
      <c r="L388" s="2">
        <v>0.26458333333333334</v>
      </c>
      <c r="M388" s="2">
        <v>0.48402777777777778</v>
      </c>
      <c r="N388" s="2">
        <v>0.24583333333333332</v>
      </c>
      <c r="O388" s="2">
        <v>5.5555555555555558E-3</v>
      </c>
      <c r="P388" s="2">
        <v>0.25624999999999998</v>
      </c>
      <c r="Q388" s="2">
        <v>5.5555555555555558E-3</v>
      </c>
      <c r="R388" s="3" t="s">
        <v>401</v>
      </c>
      <c r="S388" s="3" t="s">
        <v>402</v>
      </c>
      <c r="T388" s="10" t="s">
        <v>403</v>
      </c>
      <c r="AB388" s="3"/>
      <c r="AC388" s="2"/>
    </row>
    <row r="389" spans="1:29" x14ac:dyDescent="0.25">
      <c r="A389" s="3" t="s">
        <v>396</v>
      </c>
      <c r="B389" s="2">
        <v>3.472222222222222E-3</v>
      </c>
      <c r="C389">
        <v>0.63729999999999998</v>
      </c>
      <c r="E389" t="str">
        <f t="shared" si="5"/>
        <v>2022/07/13 00:05:00</v>
      </c>
      <c r="I389" s="14">
        <v>1.7929999999999999</v>
      </c>
      <c r="J389">
        <v>0.78379999999999994</v>
      </c>
      <c r="K389">
        <v>0.63729999999999998</v>
      </c>
      <c r="L389">
        <v>0.5736</v>
      </c>
      <c r="M389">
        <v>0.52960000000000007</v>
      </c>
      <c r="N389">
        <v>0.66949999999999998</v>
      </c>
      <c r="O389">
        <v>0.56489999999999996</v>
      </c>
      <c r="P389">
        <v>0.3866</v>
      </c>
      <c r="Q389">
        <v>0.19800000000000001</v>
      </c>
      <c r="R389" s="2">
        <v>0.74236111111111114</v>
      </c>
      <c r="S389" s="2">
        <v>0.22708333333333333</v>
      </c>
      <c r="T389" s="9">
        <v>6.9444444444444441E-3</v>
      </c>
      <c r="AB389" s="3"/>
      <c r="AC389" s="2"/>
    </row>
    <row r="390" spans="1:29" x14ac:dyDescent="0.25">
      <c r="A390" s="3" t="s">
        <v>397</v>
      </c>
      <c r="B390" s="2">
        <v>0.26458333333333334</v>
      </c>
      <c r="C390">
        <v>0.5736</v>
      </c>
      <c r="E390" t="str">
        <f t="shared" si="5"/>
        <v>2022/07/14 06:21:00</v>
      </c>
      <c r="R390">
        <v>0.1517</v>
      </c>
      <c r="S390">
        <v>0.1799</v>
      </c>
      <c r="T390" s="12">
        <v>0.12459999999999999</v>
      </c>
      <c r="AB390" s="3"/>
      <c r="AC390" s="2"/>
    </row>
    <row r="391" spans="1:29" x14ac:dyDescent="0.25">
      <c r="A391" s="3" t="s">
        <v>397</v>
      </c>
      <c r="B391" s="2">
        <v>0.48402777777777778</v>
      </c>
      <c r="C391">
        <v>0.52960000000000007</v>
      </c>
      <c r="E391" t="str">
        <f t="shared" si="5"/>
        <v>2022/07/14 11:37:00</v>
      </c>
      <c r="AB391" s="3"/>
      <c r="AC391" s="2"/>
    </row>
    <row r="392" spans="1:29" x14ac:dyDescent="0.25">
      <c r="A392" s="3" t="s">
        <v>398</v>
      </c>
      <c r="B392" s="2">
        <v>0.24583333333333332</v>
      </c>
      <c r="C392">
        <v>0.66949999999999998</v>
      </c>
      <c r="E392" t="str">
        <f t="shared" si="5"/>
        <v>2022/07/15 05:54:00</v>
      </c>
      <c r="AB392" s="3"/>
      <c r="AC392" s="2"/>
    </row>
    <row r="393" spans="1:29" x14ac:dyDescent="0.25">
      <c r="A393" s="3" t="s">
        <v>399</v>
      </c>
      <c r="B393" s="2">
        <v>5.5555555555555558E-3</v>
      </c>
      <c r="C393">
        <v>0.56489999999999996</v>
      </c>
      <c r="E393" t="str">
        <f t="shared" si="5"/>
        <v>2022/07/16 00:08:00</v>
      </c>
      <c r="AB393" s="3"/>
      <c r="AC393" s="2"/>
    </row>
    <row r="394" spans="1:29" x14ac:dyDescent="0.25">
      <c r="A394" s="3" t="s">
        <v>400</v>
      </c>
      <c r="B394" s="2">
        <v>0.25624999999999998</v>
      </c>
      <c r="C394">
        <v>0.3866</v>
      </c>
      <c r="E394" t="str">
        <f t="shared" si="5"/>
        <v>2022/07/17 06:09:00</v>
      </c>
      <c r="AB394" s="3"/>
      <c r="AC394" s="2"/>
    </row>
    <row r="395" spans="1:29" x14ac:dyDescent="0.25">
      <c r="A395" s="3" t="s">
        <v>401</v>
      </c>
      <c r="B395" s="2">
        <v>5.5555555555555558E-3</v>
      </c>
      <c r="C395">
        <v>0.19800000000000001</v>
      </c>
      <c r="E395" t="str">
        <f t="shared" si="5"/>
        <v>2022/07/18 00:08:00</v>
      </c>
      <c r="AB395" s="3"/>
      <c r="AC395" s="2"/>
    </row>
    <row r="396" spans="1:29" x14ac:dyDescent="0.25">
      <c r="A396" s="3" t="s">
        <v>401</v>
      </c>
      <c r="B396" s="2">
        <v>0.74236111111111114</v>
      </c>
      <c r="C396">
        <v>0.1517</v>
      </c>
      <c r="E396" t="str">
        <f t="shared" si="5"/>
        <v>2022/07/18 17:49:00</v>
      </c>
      <c r="AB396" s="3"/>
      <c r="AC396" s="2"/>
    </row>
    <row r="397" spans="1:29" x14ac:dyDescent="0.25">
      <c r="A397" s="3" t="s">
        <v>402</v>
      </c>
      <c r="B397" s="2">
        <v>0.22708333333333333</v>
      </c>
      <c r="C397">
        <v>0.1799</v>
      </c>
      <c r="E397" t="str">
        <f t="shared" si="5"/>
        <v>2022/07/19 05:27:00</v>
      </c>
      <c r="AB397" s="3"/>
      <c r="AC397" s="2"/>
    </row>
    <row r="398" spans="1:29" s="19" customFormat="1" x14ac:dyDescent="0.25">
      <c r="A398" s="17" t="s">
        <v>403</v>
      </c>
      <c r="B398" s="18">
        <v>6.9444444444444441E-3</v>
      </c>
      <c r="C398" s="19">
        <v>0.12459999999999999</v>
      </c>
      <c r="E398" s="19" t="str">
        <f t="shared" si="5"/>
        <v>2022/07/20 00:10:00</v>
      </c>
      <c r="AB398" s="17"/>
      <c r="AC398" s="18"/>
    </row>
    <row r="399" spans="1:29" x14ac:dyDescent="0.25">
      <c r="A399" s="3" t="s">
        <v>136</v>
      </c>
      <c r="B399" s="2">
        <v>0.33750000000000002</v>
      </c>
      <c r="C399">
        <v>0.01</v>
      </c>
      <c r="E399" t="str">
        <f t="shared" si="5"/>
        <v>2017/03/20 08:06:00</v>
      </c>
      <c r="I399" s="3" t="s">
        <v>136</v>
      </c>
      <c r="J399" s="3" t="s">
        <v>404</v>
      </c>
      <c r="K399" s="3" t="s">
        <v>405</v>
      </c>
      <c r="L399" s="3" t="s">
        <v>405</v>
      </c>
      <c r="M399" s="3" t="s">
        <v>406</v>
      </c>
      <c r="N399" s="3" t="s">
        <v>407</v>
      </c>
      <c r="O399" s="3" t="s">
        <v>408</v>
      </c>
      <c r="P399" s="10" t="s">
        <v>409</v>
      </c>
      <c r="AB399" s="3"/>
      <c r="AC399" s="2"/>
    </row>
    <row r="400" spans="1:29" x14ac:dyDescent="0.25">
      <c r="A400" s="3" t="s">
        <v>404</v>
      </c>
      <c r="B400" s="2">
        <v>1.6666666666666666E-2</v>
      </c>
      <c r="C400">
        <v>1.0999999999999999E-2</v>
      </c>
      <c r="E400" t="str">
        <f t="shared" si="5"/>
        <v>2017/03/21 00:24:00</v>
      </c>
      <c r="I400" s="2">
        <v>0.33750000000000002</v>
      </c>
      <c r="J400" s="2">
        <v>1.6666666666666666E-2</v>
      </c>
      <c r="K400" s="2">
        <v>0.24374999999999999</v>
      </c>
      <c r="L400" s="2">
        <v>0.70625000000000004</v>
      </c>
      <c r="M400" s="2">
        <v>0.23541666666666666</v>
      </c>
      <c r="N400" s="2">
        <v>0.23333333333333334</v>
      </c>
      <c r="O400" s="2">
        <v>4.9305555555555554E-2</v>
      </c>
      <c r="P400" s="9">
        <v>2.9166666666666667E-2</v>
      </c>
      <c r="AB400" s="3"/>
      <c r="AC400" s="2"/>
    </row>
    <row r="401" spans="1:29" x14ac:dyDescent="0.25">
      <c r="A401" s="3" t="s">
        <v>405</v>
      </c>
      <c r="B401" s="2">
        <v>0.24374999999999999</v>
      </c>
      <c r="E401" t="str">
        <f t="shared" si="5"/>
        <v>2017/03/22 05:51:00</v>
      </c>
      <c r="I401" s="14">
        <v>0.01</v>
      </c>
      <c r="J401">
        <v>1.0999999999999999E-2</v>
      </c>
      <c r="L401">
        <v>0.01</v>
      </c>
      <c r="M401">
        <v>0.01</v>
      </c>
      <c r="N401">
        <v>1.0999999999999999E-2</v>
      </c>
      <c r="O401">
        <v>1.4999999999999999E-2</v>
      </c>
      <c r="P401" s="12">
        <v>1.4999999999999999E-2</v>
      </c>
      <c r="AB401" s="3"/>
      <c r="AC401" s="2"/>
    </row>
    <row r="402" spans="1:29" x14ac:dyDescent="0.25">
      <c r="A402" s="3" t="s">
        <v>405</v>
      </c>
      <c r="B402" s="2">
        <v>0.70625000000000004</v>
      </c>
      <c r="C402">
        <v>0.01</v>
      </c>
      <c r="E402" t="str">
        <f t="shared" si="5"/>
        <v>2017/03/22 16:57:00</v>
      </c>
      <c r="AB402" s="3"/>
      <c r="AC402" s="2"/>
    </row>
    <row r="403" spans="1:29" x14ac:dyDescent="0.25">
      <c r="A403" s="3" t="s">
        <v>406</v>
      </c>
      <c r="B403" s="2">
        <v>0.23541666666666666</v>
      </c>
      <c r="C403">
        <v>0.01</v>
      </c>
      <c r="E403" t="str">
        <f t="shared" si="5"/>
        <v>2017/03/23 05:39:00</v>
      </c>
      <c r="AB403" s="3"/>
      <c r="AC403" s="2"/>
    </row>
    <row r="404" spans="1:29" x14ac:dyDescent="0.25">
      <c r="A404" s="3" t="s">
        <v>407</v>
      </c>
      <c r="B404" s="2">
        <v>0.23333333333333334</v>
      </c>
      <c r="C404">
        <v>1.0999999999999999E-2</v>
      </c>
      <c r="E404" t="str">
        <f t="shared" si="5"/>
        <v>2017/03/24 05:36:00</v>
      </c>
      <c r="AB404" s="3"/>
      <c r="AC404" s="2"/>
    </row>
    <row r="405" spans="1:29" x14ac:dyDescent="0.25">
      <c r="A405" s="3" t="s">
        <v>408</v>
      </c>
      <c r="B405" s="2">
        <v>4.9305555555555554E-2</v>
      </c>
      <c r="C405">
        <v>1.4999999999999999E-2</v>
      </c>
      <c r="E405" t="str">
        <f t="shared" si="5"/>
        <v>2017/03/25 01:11:00</v>
      </c>
      <c r="AB405" s="3"/>
      <c r="AC405" s="2"/>
    </row>
    <row r="406" spans="1:29" s="19" customFormat="1" x14ac:dyDescent="0.25">
      <c r="A406" s="17" t="s">
        <v>409</v>
      </c>
      <c r="B406" s="18">
        <v>2.9166666666666667E-2</v>
      </c>
      <c r="C406" s="19">
        <v>1.4999999999999999E-2</v>
      </c>
      <c r="E406" s="19" t="str">
        <f t="shared" si="5"/>
        <v>2017/03/26 00:42:00</v>
      </c>
    </row>
    <row r="408" spans="1:29" x14ac:dyDescent="0.25">
      <c r="A408" t="s">
        <v>139</v>
      </c>
      <c r="B408" s="14">
        <v>5.3499999999999999E-2</v>
      </c>
      <c r="C408">
        <v>5.7700000000000001E-2</v>
      </c>
      <c r="D408">
        <v>4.3799999999999999E-2</v>
      </c>
      <c r="E408">
        <v>3.4200000000000001E-2</v>
      </c>
      <c r="F408">
        <v>3.15E-2</v>
      </c>
      <c r="G408">
        <v>2.4399999999999998E-2</v>
      </c>
      <c r="H408">
        <v>1.9E-2</v>
      </c>
      <c r="I408" s="12">
        <v>1.2800000000000001E-2</v>
      </c>
      <c r="J408" s="4"/>
      <c r="K408" s="4"/>
      <c r="L408" s="4"/>
      <c r="M408" s="4"/>
      <c r="N408" s="4"/>
      <c r="O408" s="4"/>
      <c r="P408" s="4"/>
      <c r="Q408" s="4"/>
    </row>
    <row r="409" spans="1:29" x14ac:dyDescent="0.25">
      <c r="A409" t="s">
        <v>140</v>
      </c>
      <c r="B409" s="14">
        <v>1.8100000000000002E-2</v>
      </c>
      <c r="C409">
        <v>1.2199999999999999E-2</v>
      </c>
      <c r="D409">
        <v>8.0999999999999996E-3</v>
      </c>
      <c r="E409">
        <v>5.7000000000000002E-3</v>
      </c>
      <c r="F409">
        <v>1.26E-2</v>
      </c>
      <c r="G409">
        <v>7.6E-3</v>
      </c>
      <c r="H409" s="12">
        <v>7.7000000000000002E-3</v>
      </c>
      <c r="I409" s="4"/>
      <c r="J409" s="4"/>
      <c r="K409" s="4"/>
      <c r="L409" s="4"/>
      <c r="M409" s="4"/>
      <c r="N409" s="4"/>
      <c r="O409" s="4"/>
      <c r="P409" s="4"/>
      <c r="Q409" s="4"/>
    </row>
    <row r="410" spans="1:29" x14ac:dyDescent="0.25">
      <c r="A410" t="s">
        <v>141</v>
      </c>
      <c r="B410" s="14">
        <v>0.158</v>
      </c>
      <c r="C410">
        <v>0.14399999999999999</v>
      </c>
      <c r="D410">
        <v>0.11</v>
      </c>
      <c r="E410">
        <v>0.127</v>
      </c>
      <c r="F410">
        <v>0.157</v>
      </c>
      <c r="G410" s="12">
        <v>0.153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</row>
    <row r="411" spans="1:29" x14ac:dyDescent="0.25">
      <c r="A411" t="s">
        <v>142</v>
      </c>
      <c r="B411" s="14">
        <v>5.5E-2</v>
      </c>
      <c r="C411">
        <v>4.9000000000000002E-2</v>
      </c>
      <c r="D411">
        <v>0.104</v>
      </c>
      <c r="E411">
        <v>0.249</v>
      </c>
      <c r="F411">
        <v>0.17299999999999999</v>
      </c>
      <c r="G411" s="12">
        <v>0.13400000000000001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</row>
    <row r="412" spans="1:29" x14ac:dyDescent="0.25">
      <c r="A412" t="s">
        <v>143</v>
      </c>
      <c r="B412" s="14">
        <v>0.08</v>
      </c>
      <c r="C412">
        <v>0.126</v>
      </c>
      <c r="D412">
        <v>0.13500000000000001</v>
      </c>
      <c r="E412">
        <v>0.128</v>
      </c>
      <c r="F412">
        <v>0.12</v>
      </c>
      <c r="G412" s="12">
        <v>0.13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</row>
    <row r="413" spans="1:29" x14ac:dyDescent="0.25">
      <c r="A413" t="s">
        <v>144</v>
      </c>
      <c r="B413" s="14">
        <v>0.33229999999999998</v>
      </c>
      <c r="C413">
        <v>1.23</v>
      </c>
      <c r="D413">
        <v>1.0329999999999999</v>
      </c>
      <c r="E413">
        <v>0.54110000000000003</v>
      </c>
      <c r="F413">
        <v>0.61420000000000008</v>
      </c>
      <c r="G413" s="12">
        <v>0.6804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</row>
    <row r="414" spans="1:29" x14ac:dyDescent="0.25">
      <c r="A414" t="s">
        <v>145</v>
      </c>
      <c r="B414" s="14">
        <v>1.64</v>
      </c>
      <c r="C414">
        <v>1.9</v>
      </c>
      <c r="D414">
        <v>2.39</v>
      </c>
      <c r="E414">
        <v>2.62</v>
      </c>
      <c r="F414">
        <v>1.63</v>
      </c>
      <c r="G414">
        <v>1.1599999999999999</v>
      </c>
      <c r="H414">
        <v>1.1000000000000001</v>
      </c>
      <c r="I414">
        <v>0.79600000000000004</v>
      </c>
      <c r="J414">
        <v>0.40699999999999997</v>
      </c>
      <c r="K414">
        <v>0.27100000000000002</v>
      </c>
      <c r="L414">
        <v>0.183</v>
      </c>
      <c r="M414">
        <v>0.13200000000000001</v>
      </c>
      <c r="N414" s="4"/>
      <c r="O414">
        <v>6.9000000000000006E-2</v>
      </c>
      <c r="P414">
        <v>5.3999999999999999E-2</v>
      </c>
      <c r="Q414" s="12">
        <v>4.2000000000000003E-2</v>
      </c>
    </row>
    <row r="415" spans="1:29" x14ac:dyDescent="0.25">
      <c r="A415" t="s">
        <v>146</v>
      </c>
      <c r="B415" s="14">
        <v>0.97399999999999998</v>
      </c>
      <c r="C415">
        <v>1.08</v>
      </c>
      <c r="D415">
        <v>0.64300000000000002</v>
      </c>
      <c r="E415">
        <v>0.78100000000000003</v>
      </c>
      <c r="F415">
        <v>0.90500000000000003</v>
      </c>
      <c r="G415">
        <v>0.748</v>
      </c>
      <c r="H415">
        <v>0.65</v>
      </c>
      <c r="I415">
        <v>0.46</v>
      </c>
      <c r="J415" s="12">
        <v>0.29499999999999998</v>
      </c>
      <c r="K415" s="4"/>
      <c r="L415" s="4"/>
      <c r="M415" s="4"/>
      <c r="N415" s="4"/>
      <c r="O415" s="4"/>
      <c r="P415" s="4"/>
      <c r="Q415" s="4"/>
    </row>
    <row r="416" spans="1:29" x14ac:dyDescent="0.25">
      <c r="A416" t="s">
        <v>147</v>
      </c>
      <c r="B416" s="14">
        <v>5.8999999999999997E-2</v>
      </c>
      <c r="C416">
        <v>6.7000000000000004E-2</v>
      </c>
      <c r="D416">
        <v>7.8E-2</v>
      </c>
      <c r="E416">
        <v>0.106</v>
      </c>
      <c r="F416">
        <v>7.5999999999999998E-2</v>
      </c>
      <c r="G416">
        <v>6.4000000000000001E-2</v>
      </c>
      <c r="H416">
        <v>5.1999999999999998E-2</v>
      </c>
      <c r="I416" s="12">
        <v>1.9E-2</v>
      </c>
      <c r="J416" s="4"/>
      <c r="K416" s="4"/>
      <c r="L416" s="4"/>
      <c r="M416" s="4"/>
      <c r="N416" s="4"/>
      <c r="O416" s="4"/>
      <c r="P416" s="4"/>
      <c r="Q416" s="4"/>
    </row>
    <row r="417" spans="1:17" x14ac:dyDescent="0.25">
      <c r="A417" t="s">
        <v>148</v>
      </c>
      <c r="B417" s="14">
        <v>0.73399999999999999</v>
      </c>
      <c r="C417">
        <v>1.81</v>
      </c>
      <c r="D417">
        <v>2.56</v>
      </c>
      <c r="E417">
        <v>1.46</v>
      </c>
      <c r="F417">
        <v>1.35</v>
      </c>
      <c r="G417">
        <v>1.35</v>
      </c>
      <c r="H417">
        <v>1.02</v>
      </c>
      <c r="I417" s="12">
        <v>0.57799999999999996</v>
      </c>
      <c r="J417" s="4"/>
      <c r="K417" s="4"/>
      <c r="L417" s="4"/>
      <c r="M417" s="4"/>
      <c r="N417" s="4"/>
      <c r="O417" s="4"/>
      <c r="P417" s="4"/>
      <c r="Q417" s="4"/>
    </row>
    <row r="418" spans="1:17" x14ac:dyDescent="0.25">
      <c r="A418" t="s">
        <v>149</v>
      </c>
      <c r="B418" s="14">
        <v>0.42299999999999999</v>
      </c>
      <c r="C418">
        <v>0.47599999999999998</v>
      </c>
      <c r="D418">
        <v>0.44800000000000001</v>
      </c>
      <c r="E418">
        <v>0.46300000000000002</v>
      </c>
      <c r="F418">
        <v>0.44700000000000001</v>
      </c>
      <c r="G418">
        <v>0.314</v>
      </c>
      <c r="H418" s="12">
        <v>0.19600000000000001</v>
      </c>
      <c r="I418" s="4"/>
      <c r="J418" s="4"/>
      <c r="K418" s="4"/>
      <c r="L418" s="4"/>
      <c r="M418" s="4"/>
      <c r="N418" s="4"/>
      <c r="O418" s="4"/>
      <c r="P418" s="4"/>
      <c r="Q418" s="4"/>
    </row>
    <row r="419" spans="1:17" x14ac:dyDescent="0.25">
      <c r="A419" t="s">
        <v>150</v>
      </c>
      <c r="B419" s="14">
        <v>0.19800000000000001</v>
      </c>
      <c r="C419">
        <v>0.19800000000000001</v>
      </c>
      <c r="D419">
        <v>0.17199999999999999</v>
      </c>
      <c r="E419">
        <v>0.106</v>
      </c>
      <c r="F419">
        <v>9.9000000000000005E-2</v>
      </c>
      <c r="G419">
        <v>7.4999999999999997E-2</v>
      </c>
      <c r="H419">
        <v>4.8000000000000001E-2</v>
      </c>
      <c r="I419">
        <v>6.2E-2</v>
      </c>
      <c r="J419">
        <v>6.4000000000000001E-2</v>
      </c>
      <c r="K419">
        <v>5.7000000000000002E-2</v>
      </c>
      <c r="L419">
        <v>4.7E-2</v>
      </c>
      <c r="M419">
        <v>3.7999999999999999E-2</v>
      </c>
      <c r="N419" s="4"/>
      <c r="O419" s="4"/>
      <c r="P419" s="4"/>
      <c r="Q419" s="4"/>
    </row>
    <row r="420" spans="1:17" x14ac:dyDescent="0.25">
      <c r="A420" t="s">
        <v>151</v>
      </c>
      <c r="B420" s="14">
        <v>0.27779999999999999</v>
      </c>
      <c r="C420">
        <v>0.62139999999999995</v>
      </c>
      <c r="D420">
        <v>0.98739999999999994</v>
      </c>
      <c r="E420">
        <v>1.6619999999999999</v>
      </c>
      <c r="F420">
        <v>1.6639999999999999</v>
      </c>
      <c r="G420">
        <v>1.95</v>
      </c>
      <c r="H420">
        <v>1.7929999999999999</v>
      </c>
      <c r="I420">
        <v>1.3460000000000001</v>
      </c>
      <c r="J420">
        <v>0.5494</v>
      </c>
      <c r="K420" s="12">
        <v>0.23519999999999999</v>
      </c>
      <c r="L420" s="4"/>
      <c r="M420" s="4"/>
      <c r="N420" s="4"/>
      <c r="O420" s="4"/>
      <c r="P420" s="4"/>
      <c r="Q420" s="4"/>
    </row>
    <row r="421" spans="1:17" x14ac:dyDescent="0.25">
      <c r="A421" t="s">
        <v>152</v>
      </c>
      <c r="B421" s="14">
        <v>0.16240000000000002</v>
      </c>
      <c r="C421">
        <v>9.9900000000000003E-2</v>
      </c>
      <c r="D421">
        <v>4.6700000000000005E-2</v>
      </c>
      <c r="E421">
        <v>4.1200000000000001E-2</v>
      </c>
      <c r="F421" s="12">
        <v>2.7300000000000001E-2</v>
      </c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</row>
    <row r="422" spans="1:17" x14ac:dyDescent="0.25">
      <c r="A422" t="s">
        <v>153</v>
      </c>
      <c r="B422" s="14">
        <v>0.184</v>
      </c>
      <c r="C422">
        <v>0.192</v>
      </c>
      <c r="D422">
        <v>0.20300000000000001</v>
      </c>
      <c r="E422">
        <v>0.218</v>
      </c>
      <c r="F422" s="12">
        <v>0.23799999999999999</v>
      </c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</row>
    <row r="423" spans="1:17" x14ac:dyDescent="0.25">
      <c r="A423" t="s">
        <v>154</v>
      </c>
      <c r="B423" s="14">
        <v>0.89200000000000002</v>
      </c>
      <c r="C423">
        <v>0.83099999999999996</v>
      </c>
      <c r="D423">
        <v>0.67400000000000004</v>
      </c>
      <c r="E423">
        <v>0.63900000000000001</v>
      </c>
      <c r="F423">
        <v>0.38200000000000001</v>
      </c>
      <c r="G423">
        <v>0.28000000000000003</v>
      </c>
      <c r="H423" s="12">
        <v>0.13800000000000001</v>
      </c>
      <c r="I423" s="4"/>
      <c r="J423" s="4"/>
      <c r="K423" s="4"/>
      <c r="L423" s="4"/>
      <c r="M423" s="4"/>
      <c r="N423" s="4"/>
      <c r="O423" s="4"/>
      <c r="P423" s="4"/>
      <c r="Q423" s="4"/>
    </row>
    <row r="424" spans="1:17" x14ac:dyDescent="0.25">
      <c r="A424" t="s">
        <v>155</v>
      </c>
      <c r="B424" s="14">
        <v>0.06</v>
      </c>
      <c r="C424">
        <v>5.8000000000000003E-2</v>
      </c>
      <c r="D424">
        <v>5.8999999999999997E-2</v>
      </c>
      <c r="E424">
        <v>7.5999999999999998E-2</v>
      </c>
      <c r="F424" s="12">
        <v>5.3999999999999999E-2</v>
      </c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</row>
    <row r="425" spans="1:17" x14ac:dyDescent="0.25">
      <c r="A425" t="s">
        <v>156</v>
      </c>
      <c r="B425" s="14">
        <v>0.39</v>
      </c>
      <c r="C425">
        <v>1.26</v>
      </c>
      <c r="D425">
        <v>0.89300000000000002</v>
      </c>
      <c r="E425">
        <v>0.73499999999999999</v>
      </c>
      <c r="F425">
        <v>0.66600000000000004</v>
      </c>
      <c r="G425">
        <v>0.63400000000000001</v>
      </c>
      <c r="H425">
        <v>0.63900000000000001</v>
      </c>
      <c r="I425">
        <v>0.443</v>
      </c>
      <c r="J425">
        <v>0.30599999999999999</v>
      </c>
      <c r="K425">
        <v>0.22700000000000001</v>
      </c>
      <c r="L425" s="12">
        <v>0.157</v>
      </c>
      <c r="M425" s="4"/>
      <c r="N425" s="4"/>
      <c r="O425" s="4"/>
      <c r="P425" s="4"/>
      <c r="Q425" s="4"/>
    </row>
    <row r="426" spans="1:17" x14ac:dyDescent="0.25">
      <c r="A426" t="s">
        <v>157</v>
      </c>
      <c r="B426" s="14">
        <v>0.34399999999999997</v>
      </c>
      <c r="C426">
        <v>0.30499999999999999</v>
      </c>
      <c r="D426">
        <v>0.25</v>
      </c>
      <c r="E426">
        <v>0.20899999999999999</v>
      </c>
      <c r="F426">
        <v>0.158</v>
      </c>
      <c r="G426">
        <v>0.13800000000000001</v>
      </c>
      <c r="H426">
        <v>8.0000000000000002E-3</v>
      </c>
      <c r="I426">
        <v>7.5999999999999998E-2</v>
      </c>
      <c r="J426">
        <v>8.4000000000000005E-2</v>
      </c>
      <c r="K426">
        <v>7.3999999999999996E-2</v>
      </c>
      <c r="L426" s="12">
        <v>7.9000000000000001E-2</v>
      </c>
      <c r="M426" s="4"/>
      <c r="N426" s="4"/>
      <c r="O426" s="4"/>
      <c r="P426" s="4"/>
      <c r="Q426" s="4"/>
    </row>
    <row r="427" spans="1:17" x14ac:dyDescent="0.25">
      <c r="A427" t="s">
        <v>158</v>
      </c>
      <c r="B427" s="14">
        <v>0.13</v>
      </c>
      <c r="C427">
        <v>0.217</v>
      </c>
      <c r="D427">
        <v>0.14699999999999999</v>
      </c>
      <c r="E427">
        <v>0.1</v>
      </c>
      <c r="F427">
        <v>9.5000000000000001E-2</v>
      </c>
      <c r="G427" s="12">
        <v>7.5999999999999998E-2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</row>
    <row r="428" spans="1:17" x14ac:dyDescent="0.25">
      <c r="A428" t="s">
        <v>159</v>
      </c>
      <c r="B428" s="14">
        <v>3.0000000000000001E-3</v>
      </c>
      <c r="C428">
        <v>7.0000000000000001E-3</v>
      </c>
      <c r="D428">
        <v>3.0000000000000001E-3</v>
      </c>
      <c r="E428" s="12">
        <v>3.0000000000000001E-3</v>
      </c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</row>
    <row r="429" spans="1:17" x14ac:dyDescent="0.25">
      <c r="A429" t="s">
        <v>160</v>
      </c>
      <c r="B429" s="14">
        <v>6.0000000000000001E-3</v>
      </c>
      <c r="C429" s="4"/>
      <c r="D429">
        <v>7.0000000000000001E-3</v>
      </c>
      <c r="E429">
        <v>7.0000000000000001E-3</v>
      </c>
      <c r="F429">
        <v>8.0000000000000002E-3</v>
      </c>
      <c r="G429">
        <v>2.4E-2</v>
      </c>
      <c r="H429">
        <v>1.7000000000000001E-2</v>
      </c>
      <c r="I429">
        <v>1.2999999999999999E-2</v>
      </c>
      <c r="J429" s="12">
        <v>1.2999999999999999E-2</v>
      </c>
      <c r="K429" s="4"/>
      <c r="L429" s="4"/>
      <c r="M429" s="4"/>
      <c r="N429" s="4"/>
      <c r="O429" s="4"/>
      <c r="P429" s="4"/>
      <c r="Q429" s="4"/>
    </row>
    <row r="430" spans="1:17" x14ac:dyDescent="0.25">
      <c r="A430" t="s">
        <v>161</v>
      </c>
      <c r="B430" s="14">
        <v>0.27</v>
      </c>
      <c r="C430">
        <v>0.219</v>
      </c>
      <c r="D430">
        <v>9.2999999999999999E-2</v>
      </c>
      <c r="E430">
        <v>6.4000000000000001E-2</v>
      </c>
      <c r="F430">
        <v>5.2999999999999999E-2</v>
      </c>
      <c r="G430">
        <v>3.5999999999999997E-2</v>
      </c>
      <c r="H430">
        <v>0.02</v>
      </c>
      <c r="I430">
        <v>1.2999999999999999E-2</v>
      </c>
      <c r="J430">
        <v>0.01</v>
      </c>
      <c r="K430">
        <v>1.0999999999999999E-2</v>
      </c>
      <c r="L430">
        <v>8.9999999999999993E-3</v>
      </c>
      <c r="M430" s="4"/>
      <c r="N430" s="4"/>
      <c r="O430" s="4"/>
      <c r="P430" s="4"/>
      <c r="Q430" s="4"/>
    </row>
    <row r="431" spans="1:17" x14ac:dyDescent="0.25">
      <c r="A431" t="s">
        <v>162</v>
      </c>
      <c r="B431" s="14">
        <v>1.38</v>
      </c>
      <c r="C431">
        <v>1.65</v>
      </c>
      <c r="D431">
        <v>1.53</v>
      </c>
      <c r="E431">
        <v>1.66</v>
      </c>
      <c r="F431" s="12">
        <v>1.65</v>
      </c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</row>
    <row r="432" spans="1:17" x14ac:dyDescent="0.25">
      <c r="A432" t="s">
        <v>163</v>
      </c>
      <c r="B432" s="14">
        <v>8.9999999999999993E-3</v>
      </c>
      <c r="C432">
        <v>8.0000000000000002E-3</v>
      </c>
      <c r="D432">
        <v>1.0999999999999999E-2</v>
      </c>
      <c r="E432">
        <v>2.1000000000000001E-2</v>
      </c>
      <c r="F432">
        <v>9.0999999999999998E-2</v>
      </c>
      <c r="G432">
        <v>0.156</v>
      </c>
      <c r="H432">
        <v>0.108</v>
      </c>
      <c r="I432">
        <v>0.04</v>
      </c>
      <c r="J432">
        <v>9.6000000000000002E-2</v>
      </c>
      <c r="K432">
        <v>5.3999999999999999E-2</v>
      </c>
      <c r="L432">
        <v>8.5999999999999993E-2</v>
      </c>
      <c r="M432" s="12">
        <v>9.2999999999999999E-2</v>
      </c>
      <c r="N432" s="4"/>
      <c r="O432" s="4"/>
      <c r="P432" s="4"/>
      <c r="Q432" s="4"/>
    </row>
    <row r="433" spans="1:17" x14ac:dyDescent="0.25">
      <c r="A433" t="s">
        <v>164</v>
      </c>
      <c r="B433" s="14">
        <v>0.20699999999999999</v>
      </c>
      <c r="C433">
        <v>0.20599999999999999</v>
      </c>
      <c r="D433">
        <v>0.59899999999999998</v>
      </c>
      <c r="E433">
        <v>0.52900000000000003</v>
      </c>
      <c r="F433">
        <v>0.69799999999999995</v>
      </c>
      <c r="G433">
        <v>0.63200000000000001</v>
      </c>
      <c r="H433" s="12">
        <v>0.44700000000000001</v>
      </c>
      <c r="I433" s="4"/>
      <c r="J433" s="4"/>
      <c r="K433" s="4"/>
      <c r="L433" s="4"/>
      <c r="M433" s="4"/>
      <c r="N433" s="4"/>
      <c r="O433" s="4"/>
      <c r="P433" s="4"/>
      <c r="Q433" s="4"/>
    </row>
    <row r="434" spans="1:17" x14ac:dyDescent="0.25">
      <c r="A434" t="s">
        <v>165</v>
      </c>
      <c r="B434" s="14">
        <v>0.24049999999999999</v>
      </c>
      <c r="C434">
        <v>0.75179999999999991</v>
      </c>
      <c r="D434">
        <v>1.284</v>
      </c>
      <c r="E434">
        <v>0.9282999999999999</v>
      </c>
      <c r="F434">
        <v>1.018</v>
      </c>
      <c r="G434">
        <v>0.80020000000000002</v>
      </c>
      <c r="H434" s="12">
        <v>0.49869999999999998</v>
      </c>
      <c r="I434" s="4"/>
      <c r="J434" s="4"/>
      <c r="K434" s="4"/>
      <c r="L434" s="4"/>
      <c r="M434" s="4"/>
      <c r="N434" s="4"/>
      <c r="O434" s="4"/>
      <c r="P434" s="4"/>
      <c r="Q434" s="4"/>
    </row>
    <row r="435" spans="1:17" x14ac:dyDescent="0.25">
      <c r="A435" t="s">
        <v>166</v>
      </c>
      <c r="B435" s="14">
        <v>1.1359999999999999</v>
      </c>
      <c r="C435">
        <v>2.835</v>
      </c>
      <c r="D435">
        <v>2.7810000000000001</v>
      </c>
      <c r="E435">
        <v>1.9430000000000001</v>
      </c>
      <c r="F435">
        <v>2.2090000000000001</v>
      </c>
      <c r="G435">
        <v>2.5230000000000001</v>
      </c>
      <c r="H435">
        <v>1.8560000000000001</v>
      </c>
      <c r="I435">
        <v>1.165</v>
      </c>
      <c r="J435">
        <v>0.52729999999999999</v>
      </c>
      <c r="K435">
        <v>0.25459999999999999</v>
      </c>
      <c r="L435">
        <v>0.10890000000000001</v>
      </c>
      <c r="M435" s="12">
        <v>5.3800000000000001E-2</v>
      </c>
      <c r="N435" s="4"/>
      <c r="O435" s="4"/>
      <c r="P435" s="4"/>
      <c r="Q435" s="4"/>
    </row>
    <row r="436" spans="1:17" x14ac:dyDescent="0.25">
      <c r="A436" t="s">
        <v>167</v>
      </c>
      <c r="B436" s="14">
        <v>0.249</v>
      </c>
      <c r="C436">
        <v>0.36</v>
      </c>
      <c r="D436">
        <v>0.35599999999999998</v>
      </c>
      <c r="E436">
        <v>0.27600000000000002</v>
      </c>
      <c r="F436">
        <v>0.34300000000000003</v>
      </c>
      <c r="G436">
        <v>0.35699999999999998</v>
      </c>
      <c r="H436">
        <v>0.251</v>
      </c>
      <c r="I436">
        <v>0.14499999999999999</v>
      </c>
      <c r="J436" s="12">
        <v>6.0000000000000001E-3</v>
      </c>
      <c r="K436" s="4"/>
      <c r="L436" s="4"/>
      <c r="M436" s="4"/>
      <c r="N436" s="4"/>
      <c r="O436" s="4"/>
      <c r="P436" s="4"/>
      <c r="Q436" s="4"/>
    </row>
    <row r="437" spans="1:17" x14ac:dyDescent="0.25">
      <c r="A437" t="s">
        <v>168</v>
      </c>
      <c r="B437" s="14">
        <v>0.55700000000000005</v>
      </c>
      <c r="C437">
        <v>1.49</v>
      </c>
      <c r="D437">
        <v>0.66600000000000004</v>
      </c>
      <c r="E437">
        <v>0.72399999999999998</v>
      </c>
      <c r="F437">
        <v>0.748</v>
      </c>
      <c r="G437">
        <v>0.79100000000000004</v>
      </c>
      <c r="H437">
        <v>0.60099999999999998</v>
      </c>
      <c r="I437" s="12">
        <v>0.42899999999999999</v>
      </c>
      <c r="J437" s="4"/>
      <c r="K437" s="4"/>
      <c r="L437" s="4"/>
      <c r="M437" s="4"/>
      <c r="N437" s="4"/>
      <c r="O437" s="4"/>
      <c r="P437" s="4"/>
      <c r="Q437" s="4"/>
    </row>
    <row r="438" spans="1:17" x14ac:dyDescent="0.25">
      <c r="A438" t="s">
        <v>169</v>
      </c>
      <c r="B438" s="14">
        <v>9.4E-2</v>
      </c>
      <c r="C438">
        <v>0.224</v>
      </c>
      <c r="D438">
        <v>0.308</v>
      </c>
      <c r="E438">
        <v>0.28000000000000003</v>
      </c>
      <c r="F438">
        <v>0.32400000000000001</v>
      </c>
      <c r="G438">
        <v>0.34200000000000003</v>
      </c>
      <c r="H438" s="12">
        <v>0.33700000000000002</v>
      </c>
      <c r="I438" s="4"/>
      <c r="J438" s="4"/>
      <c r="K438" s="4"/>
      <c r="L438" s="4"/>
      <c r="M438" s="4"/>
      <c r="N438" s="4"/>
      <c r="O438" s="4"/>
      <c r="P438" s="4"/>
      <c r="Q438" s="4"/>
    </row>
    <row r="439" spans="1:17" x14ac:dyDescent="0.25">
      <c r="A439" t="s">
        <v>170</v>
      </c>
      <c r="B439" s="14">
        <v>9.7799999999999998E-2</v>
      </c>
      <c r="C439">
        <v>7.740000000000001E-2</v>
      </c>
      <c r="D439">
        <v>8.3699999999999997E-2</v>
      </c>
      <c r="E439">
        <v>6.6799999999999998E-2</v>
      </c>
      <c r="F439">
        <v>5.2700000000000004E-2</v>
      </c>
      <c r="G439">
        <v>3.61E-2</v>
      </c>
      <c r="H439">
        <v>6.7799999999999999E-2</v>
      </c>
      <c r="I439">
        <v>9.8000000000000004E-2</v>
      </c>
      <c r="J439">
        <v>7.9700000000000007E-2</v>
      </c>
      <c r="K439" s="12">
        <v>7.1300000000000002E-2</v>
      </c>
      <c r="L439" s="4"/>
      <c r="M439" s="4"/>
      <c r="N439" s="4"/>
      <c r="O439" s="4"/>
      <c r="P439" s="4"/>
      <c r="Q439" s="4"/>
    </row>
    <row r="440" spans="1:17" x14ac:dyDescent="0.25">
      <c r="A440" t="s">
        <v>171</v>
      </c>
      <c r="B440" s="14">
        <v>0.28370000000000001</v>
      </c>
      <c r="C440">
        <v>0.23810000000000001</v>
      </c>
      <c r="D440">
        <v>0.30499999999999999</v>
      </c>
      <c r="E440">
        <v>0.1835</v>
      </c>
      <c r="F440" s="12">
        <v>0.18919999999999998</v>
      </c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</row>
    <row r="441" spans="1:17" x14ac:dyDescent="0.25">
      <c r="A441" t="s">
        <v>172</v>
      </c>
      <c r="B441" s="14">
        <v>0.24530000000000002</v>
      </c>
      <c r="C441">
        <v>0.30219999999999997</v>
      </c>
      <c r="D441">
        <v>0.39369999999999999</v>
      </c>
      <c r="E441">
        <v>0.25390000000000001</v>
      </c>
      <c r="F441">
        <v>0.28589999999999999</v>
      </c>
      <c r="G441">
        <v>0.32430000000000003</v>
      </c>
      <c r="H441" s="12">
        <v>0.1812</v>
      </c>
      <c r="I441" s="4"/>
      <c r="J441" s="4"/>
      <c r="K441" s="4"/>
      <c r="L441" s="4"/>
      <c r="M441" s="4"/>
      <c r="N441" s="4"/>
      <c r="O441" s="4"/>
      <c r="P441" s="4"/>
      <c r="Q441" s="4"/>
    </row>
    <row r="442" spans="1:17" x14ac:dyDescent="0.25">
      <c r="A442" t="s">
        <v>173</v>
      </c>
      <c r="B442" s="14">
        <v>9.9699999999999997E-2</v>
      </c>
      <c r="C442" s="4"/>
      <c r="D442">
        <v>0.46139999999999998</v>
      </c>
      <c r="E442">
        <v>0.38119999999999998</v>
      </c>
      <c r="F442">
        <v>0.4395</v>
      </c>
      <c r="G442">
        <v>0.49339999999999995</v>
      </c>
      <c r="H442">
        <v>0.47020000000000001</v>
      </c>
      <c r="I442" s="12">
        <v>0.31560000000000005</v>
      </c>
      <c r="J442" s="4"/>
      <c r="K442" s="4"/>
      <c r="L442" s="4"/>
      <c r="M442" s="4"/>
      <c r="N442" s="4"/>
      <c r="O442" s="4"/>
      <c r="P442" s="4"/>
      <c r="Q442" s="4"/>
    </row>
    <row r="443" spans="1:17" x14ac:dyDescent="0.25">
      <c r="A443" t="s">
        <v>174</v>
      </c>
      <c r="B443" s="14">
        <v>1.1890000000000001</v>
      </c>
      <c r="C443">
        <v>0.88270000000000004</v>
      </c>
      <c r="D443">
        <v>0.6079</v>
      </c>
      <c r="E443">
        <v>0.36969999999999997</v>
      </c>
      <c r="F443">
        <v>0.15759999999999999</v>
      </c>
      <c r="G443">
        <v>8.4699999999999998E-2</v>
      </c>
      <c r="H443">
        <v>5.9400000000000001E-2</v>
      </c>
      <c r="I443" s="12">
        <v>4.0500000000000001E-2</v>
      </c>
      <c r="J443" s="4"/>
      <c r="K443" s="4"/>
      <c r="L443" s="4"/>
      <c r="M443" s="4"/>
      <c r="N443" s="4"/>
      <c r="O443" s="4"/>
      <c r="P443" s="4"/>
      <c r="Q443" s="4"/>
    </row>
    <row r="444" spans="1:17" x14ac:dyDescent="0.25">
      <c r="A444" t="s">
        <v>175</v>
      </c>
      <c r="B444" s="14">
        <v>3.5000000000000003E-2</v>
      </c>
      <c r="C444">
        <v>5.61</v>
      </c>
      <c r="D444">
        <v>6.17</v>
      </c>
      <c r="E444">
        <v>3.09</v>
      </c>
      <c r="F444">
        <v>3.16</v>
      </c>
      <c r="G444">
        <v>3.87</v>
      </c>
      <c r="H444">
        <v>3.79</v>
      </c>
      <c r="I444">
        <v>3.1</v>
      </c>
      <c r="J444" s="12">
        <v>1.43</v>
      </c>
      <c r="K444" s="4"/>
      <c r="L444" s="4"/>
      <c r="M444" s="4"/>
      <c r="N444" s="4"/>
      <c r="O444" s="4"/>
      <c r="P444" s="4"/>
      <c r="Q444" s="4"/>
    </row>
    <row r="445" spans="1:17" x14ac:dyDescent="0.25">
      <c r="A445" t="s">
        <v>176</v>
      </c>
      <c r="B445" s="14">
        <v>9.6000000000000002E-2</v>
      </c>
      <c r="C445">
        <v>0.23300000000000001</v>
      </c>
      <c r="D445">
        <v>0.17799999999999999</v>
      </c>
      <c r="E445">
        <v>0.16800000000000001</v>
      </c>
      <c r="F445" s="12">
        <v>0.182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</row>
    <row r="446" spans="1:17" x14ac:dyDescent="0.25">
      <c r="A446" t="s">
        <v>177</v>
      </c>
      <c r="B446" s="14">
        <v>0.315</v>
      </c>
      <c r="C446">
        <v>0.318</v>
      </c>
      <c r="D446">
        <v>0.26700000000000002</v>
      </c>
      <c r="E446">
        <v>0.39400000000000002</v>
      </c>
      <c r="F446" s="12">
        <v>0.41799999999999998</v>
      </c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</row>
    <row r="447" spans="1:17" x14ac:dyDescent="0.25">
      <c r="A447" t="s">
        <v>178</v>
      </c>
      <c r="B447" s="14">
        <v>5.4600000000000003E-2</v>
      </c>
      <c r="C447">
        <v>5.3899999999999997E-2</v>
      </c>
      <c r="D447">
        <v>4.7700000000000006E-2</v>
      </c>
      <c r="E447">
        <v>5.9499999999999997E-2</v>
      </c>
      <c r="F447">
        <v>4.4700000000000004E-2</v>
      </c>
      <c r="G447">
        <v>3.9600000000000003E-2</v>
      </c>
      <c r="H447" s="12">
        <v>2.6499999999999999E-2</v>
      </c>
      <c r="I447" s="4"/>
      <c r="J447" s="4"/>
      <c r="K447" s="4"/>
      <c r="L447" s="4"/>
      <c r="M447" s="4"/>
      <c r="N447" s="4"/>
      <c r="O447" s="4"/>
      <c r="P447" s="4"/>
      <c r="Q447" s="4"/>
    </row>
    <row r="448" spans="1:17" x14ac:dyDescent="0.25">
      <c r="A448" t="s">
        <v>179</v>
      </c>
      <c r="B448" s="14">
        <v>0.13319999999999999</v>
      </c>
      <c r="C448">
        <v>0.1183</v>
      </c>
      <c r="D448">
        <v>0.27900000000000003</v>
      </c>
      <c r="E448">
        <v>0.17150000000000001</v>
      </c>
      <c r="F448" s="12">
        <v>0.1512</v>
      </c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</row>
    <row r="449" spans="1:17" x14ac:dyDescent="0.25">
      <c r="A449" t="s">
        <v>180</v>
      </c>
      <c r="B449" s="14">
        <v>4.7E-2</v>
      </c>
      <c r="C449">
        <v>1.57</v>
      </c>
      <c r="D449">
        <v>1.52</v>
      </c>
      <c r="E449">
        <v>0.60899999999999999</v>
      </c>
      <c r="F449">
        <v>0.63600000000000001</v>
      </c>
      <c r="G449">
        <v>0.68400000000000005</v>
      </c>
      <c r="H449">
        <v>0.65</v>
      </c>
      <c r="I449" s="12">
        <v>0.58699999999999997</v>
      </c>
      <c r="J449" s="4"/>
      <c r="K449" s="4"/>
      <c r="L449" s="4"/>
      <c r="M449" s="4"/>
      <c r="N449" s="4"/>
      <c r="O449" s="4"/>
      <c r="P449" s="4"/>
      <c r="Q449" s="4"/>
    </row>
    <row r="450" spans="1:17" x14ac:dyDescent="0.25">
      <c r="A450" t="s">
        <v>181</v>
      </c>
      <c r="B450" s="14">
        <v>5.4000000000000003E-3</v>
      </c>
      <c r="C450">
        <v>9.1999999999999998E-3</v>
      </c>
      <c r="D450">
        <v>2.2100000000000002E-2</v>
      </c>
      <c r="E450">
        <v>1.83E-2</v>
      </c>
      <c r="F450" s="12">
        <v>2.4300000000000002E-2</v>
      </c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</row>
    <row r="451" spans="1:17" x14ac:dyDescent="0.25">
      <c r="A451" t="s">
        <v>182</v>
      </c>
      <c r="B451" s="14">
        <v>1.7929999999999999</v>
      </c>
      <c r="C451">
        <v>0.78379999999999994</v>
      </c>
      <c r="D451">
        <v>0.63729999999999998</v>
      </c>
      <c r="E451">
        <v>0.5736</v>
      </c>
      <c r="F451">
        <v>0.52960000000000007</v>
      </c>
      <c r="G451">
        <v>0.66949999999999998</v>
      </c>
      <c r="H451">
        <v>0.56489999999999996</v>
      </c>
      <c r="I451">
        <v>0.3866</v>
      </c>
      <c r="J451">
        <v>0.19800000000000001</v>
      </c>
      <c r="K451">
        <v>0.1517</v>
      </c>
      <c r="L451">
        <v>0.1799</v>
      </c>
      <c r="M451" s="12">
        <v>0.12459999999999999</v>
      </c>
      <c r="N451" s="4"/>
      <c r="O451" s="4"/>
      <c r="P451" s="4"/>
      <c r="Q451" s="4"/>
    </row>
    <row r="452" spans="1:17" x14ac:dyDescent="0.25">
      <c r="A452" t="s">
        <v>183</v>
      </c>
      <c r="B452" s="14">
        <v>0.01</v>
      </c>
      <c r="C452">
        <v>1.0999999999999999E-2</v>
      </c>
      <c r="D452" s="4"/>
      <c r="E452">
        <v>0.01</v>
      </c>
      <c r="F452">
        <v>0.01</v>
      </c>
      <c r="G452">
        <v>1.0999999999999999E-2</v>
      </c>
      <c r="H452">
        <v>1.4999999999999999E-2</v>
      </c>
      <c r="I452" s="12">
        <v>1.4999999999999999E-2</v>
      </c>
      <c r="J452" s="4"/>
      <c r="K452" s="4"/>
      <c r="L452" s="4"/>
      <c r="M452" s="4"/>
      <c r="N452" s="4"/>
      <c r="O452" s="4"/>
      <c r="P452" s="4"/>
      <c r="Q452" s="4"/>
    </row>
  </sheetData>
  <phoneticPr fontId="2" type="noConversion"/>
  <conditionalFormatting sqref="B408:Q452">
    <cfRule type="expression" dxfId="1" priority="1">
      <formula>"ISBLANK(B408)"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EEF6-3F0F-4D63-BE5A-9CDAF45EB7F7}">
  <dimension ref="A1:T355"/>
  <sheetViews>
    <sheetView workbookViewId="0">
      <selection activeCell="F9" sqref="F9"/>
    </sheetView>
  </sheetViews>
  <sheetFormatPr defaultRowHeight="15" x14ac:dyDescent="0.25"/>
  <sheetData>
    <row r="1" spans="1:20" x14ac:dyDescent="0.25">
      <c r="A1" t="s">
        <v>412</v>
      </c>
      <c r="D1" t="s">
        <v>139</v>
      </c>
      <c r="E1" t="s">
        <v>412</v>
      </c>
      <c r="F1" t="s">
        <v>413</v>
      </c>
      <c r="G1" t="s">
        <v>414</v>
      </c>
      <c r="H1" t="s">
        <v>415</v>
      </c>
      <c r="I1" t="s">
        <v>416</v>
      </c>
      <c r="J1" t="s">
        <v>417</v>
      </c>
      <c r="K1" t="s">
        <v>418</v>
      </c>
      <c r="L1" s="20" t="s">
        <v>419</v>
      </c>
    </row>
    <row r="2" spans="1:20" x14ac:dyDescent="0.25">
      <c r="A2" t="s">
        <v>413</v>
      </c>
      <c r="D2" t="s">
        <v>140</v>
      </c>
      <c r="E2" t="s">
        <v>420</v>
      </c>
      <c r="F2" t="s">
        <v>421</v>
      </c>
      <c r="G2" t="s">
        <v>422</v>
      </c>
      <c r="H2" t="s">
        <v>423</v>
      </c>
      <c r="I2" t="s">
        <v>424</v>
      </c>
      <c r="J2" t="s">
        <v>425</v>
      </c>
      <c r="K2" s="20" t="s">
        <v>426</v>
      </c>
    </row>
    <row r="3" spans="1:20" x14ac:dyDescent="0.25">
      <c r="A3" t="s">
        <v>414</v>
      </c>
      <c r="D3" t="s">
        <v>141</v>
      </c>
      <c r="E3" t="s">
        <v>427</v>
      </c>
      <c r="F3" t="s">
        <v>428</v>
      </c>
      <c r="G3" t="s">
        <v>429</v>
      </c>
      <c r="H3" t="s">
        <v>430</v>
      </c>
      <c r="I3" t="s">
        <v>431</v>
      </c>
      <c r="J3" s="20" t="s">
        <v>432</v>
      </c>
    </row>
    <row r="4" spans="1:20" x14ac:dyDescent="0.25">
      <c r="A4" t="s">
        <v>415</v>
      </c>
      <c r="D4" t="s">
        <v>142</v>
      </c>
      <c r="E4" t="s">
        <v>433</v>
      </c>
      <c r="F4" t="s">
        <v>434</v>
      </c>
      <c r="G4" t="s">
        <v>435</v>
      </c>
      <c r="H4" t="s">
        <v>436</v>
      </c>
      <c r="I4" t="s">
        <v>437</v>
      </c>
      <c r="J4" s="20" t="s">
        <v>438</v>
      </c>
    </row>
    <row r="5" spans="1:20" x14ac:dyDescent="0.25">
      <c r="A5" t="s">
        <v>416</v>
      </c>
      <c r="D5" t="s">
        <v>143</v>
      </c>
      <c r="E5" t="s">
        <v>439</v>
      </c>
      <c r="F5" t="s">
        <v>440</v>
      </c>
      <c r="G5" t="s">
        <v>441</v>
      </c>
      <c r="H5" t="s">
        <v>442</v>
      </c>
      <c r="I5" t="s">
        <v>443</v>
      </c>
      <c r="J5" s="20" t="s">
        <v>444</v>
      </c>
    </row>
    <row r="6" spans="1:20" x14ac:dyDescent="0.25">
      <c r="A6" t="s">
        <v>417</v>
      </c>
      <c r="D6" t="s">
        <v>144</v>
      </c>
      <c r="E6" t="s">
        <v>445</v>
      </c>
      <c r="F6" t="s">
        <v>446</v>
      </c>
      <c r="G6" t="s">
        <v>447</v>
      </c>
      <c r="H6" t="s">
        <v>448</v>
      </c>
      <c r="I6" t="s">
        <v>449</v>
      </c>
      <c r="J6" s="20" t="s">
        <v>450</v>
      </c>
    </row>
    <row r="7" spans="1:20" x14ac:dyDescent="0.25">
      <c r="A7" t="s">
        <v>418</v>
      </c>
      <c r="D7" t="s">
        <v>145</v>
      </c>
      <c r="E7" t="s">
        <v>451</v>
      </c>
      <c r="F7" t="s">
        <v>452</v>
      </c>
      <c r="G7" t="s">
        <v>453</v>
      </c>
      <c r="H7" t="s">
        <v>454</v>
      </c>
      <c r="I7" t="s">
        <v>455</v>
      </c>
      <c r="J7" t="s">
        <v>456</v>
      </c>
      <c r="K7" t="s">
        <v>457</v>
      </c>
      <c r="L7" t="s">
        <v>458</v>
      </c>
      <c r="M7" t="s">
        <v>459</v>
      </c>
      <c r="N7" t="s">
        <v>460</v>
      </c>
      <c r="O7" t="s">
        <v>461</v>
      </c>
      <c r="P7" t="s">
        <v>462</v>
      </c>
      <c r="Q7" t="s">
        <v>434</v>
      </c>
      <c r="R7" t="s">
        <v>436</v>
      </c>
      <c r="S7" t="s">
        <v>437</v>
      </c>
      <c r="T7" s="20" t="s">
        <v>438</v>
      </c>
    </row>
    <row r="8" spans="1:20" x14ac:dyDescent="0.25">
      <c r="A8" s="20" t="s">
        <v>419</v>
      </c>
      <c r="D8" t="s">
        <v>146</v>
      </c>
      <c r="E8" t="s">
        <v>463</v>
      </c>
      <c r="F8" t="s">
        <v>464</v>
      </c>
      <c r="G8" t="s">
        <v>465</v>
      </c>
      <c r="H8" t="s">
        <v>466</v>
      </c>
      <c r="I8" t="s">
        <v>467</v>
      </c>
      <c r="J8" t="s">
        <v>468</v>
      </c>
      <c r="K8" t="s">
        <v>469</v>
      </c>
      <c r="L8" t="s">
        <v>470</v>
      </c>
      <c r="M8" s="20" t="s">
        <v>471</v>
      </c>
    </row>
    <row r="9" spans="1:20" x14ac:dyDescent="0.25">
      <c r="A9" t="s">
        <v>420</v>
      </c>
      <c r="D9" t="s">
        <v>147</v>
      </c>
      <c r="E9" t="s">
        <v>472</v>
      </c>
      <c r="F9" t="s">
        <v>472</v>
      </c>
      <c r="G9" t="s">
        <v>473</v>
      </c>
      <c r="H9" t="s">
        <v>474</v>
      </c>
      <c r="I9" t="s">
        <v>475</v>
      </c>
      <c r="J9" t="s">
        <v>476</v>
      </c>
      <c r="K9" t="s">
        <v>477</v>
      </c>
      <c r="L9" s="20" t="s">
        <v>478</v>
      </c>
    </row>
    <row r="10" spans="1:20" x14ac:dyDescent="0.25">
      <c r="A10" t="s">
        <v>421</v>
      </c>
      <c r="D10" t="s">
        <v>148</v>
      </c>
      <c r="E10" t="s">
        <v>479</v>
      </c>
      <c r="F10" t="s">
        <v>480</v>
      </c>
      <c r="G10" t="s">
        <v>481</v>
      </c>
      <c r="H10" t="s">
        <v>482</v>
      </c>
      <c r="I10" t="s">
        <v>483</v>
      </c>
      <c r="J10" t="s">
        <v>484</v>
      </c>
      <c r="K10" t="s">
        <v>485</v>
      </c>
      <c r="L10" s="20" t="s">
        <v>486</v>
      </c>
    </row>
    <row r="11" spans="1:20" x14ac:dyDescent="0.25">
      <c r="A11" t="s">
        <v>422</v>
      </c>
      <c r="D11" t="s">
        <v>149</v>
      </c>
      <c r="E11" t="s">
        <v>487</v>
      </c>
      <c r="F11" t="s">
        <v>488</v>
      </c>
      <c r="G11" t="s">
        <v>489</v>
      </c>
      <c r="H11" t="s">
        <v>490</v>
      </c>
      <c r="I11" t="s">
        <v>491</v>
      </c>
      <c r="J11" t="s">
        <v>492</v>
      </c>
      <c r="K11" s="20" t="s">
        <v>493</v>
      </c>
    </row>
    <row r="12" spans="1:20" x14ac:dyDescent="0.25">
      <c r="A12" t="s">
        <v>423</v>
      </c>
      <c r="D12" t="s">
        <v>150</v>
      </c>
      <c r="E12" t="s">
        <v>494</v>
      </c>
      <c r="F12" t="s">
        <v>495</v>
      </c>
      <c r="G12" t="s">
        <v>496</v>
      </c>
      <c r="H12" t="s">
        <v>497</v>
      </c>
      <c r="I12" t="s">
        <v>498</v>
      </c>
      <c r="J12" t="s">
        <v>499</v>
      </c>
      <c r="K12" t="s">
        <v>500</v>
      </c>
      <c r="L12" t="s">
        <v>501</v>
      </c>
      <c r="M12" t="s">
        <v>502</v>
      </c>
      <c r="N12" t="s">
        <v>503</v>
      </c>
      <c r="O12" t="s">
        <v>504</v>
      </c>
      <c r="P12" t="s">
        <v>505</v>
      </c>
      <c r="Q12" s="20" t="s">
        <v>506</v>
      </c>
    </row>
    <row r="13" spans="1:20" x14ac:dyDescent="0.25">
      <c r="A13" t="s">
        <v>424</v>
      </c>
      <c r="D13" t="s">
        <v>151</v>
      </c>
      <c r="E13" t="s">
        <v>507</v>
      </c>
      <c r="F13" t="s">
        <v>508</v>
      </c>
      <c r="G13" t="s">
        <v>509</v>
      </c>
      <c r="H13" t="s">
        <v>510</v>
      </c>
      <c r="I13" t="s">
        <v>511</v>
      </c>
      <c r="J13" t="s">
        <v>512</v>
      </c>
      <c r="K13" t="s">
        <v>513</v>
      </c>
      <c r="L13" t="s">
        <v>514</v>
      </c>
      <c r="M13" t="s">
        <v>515</v>
      </c>
      <c r="N13" s="20" t="s">
        <v>516</v>
      </c>
    </row>
    <row r="14" spans="1:20" x14ac:dyDescent="0.25">
      <c r="A14" t="s">
        <v>425</v>
      </c>
      <c r="D14" t="s">
        <v>152</v>
      </c>
      <c r="E14" t="s">
        <v>517</v>
      </c>
      <c r="F14" t="s">
        <v>518</v>
      </c>
      <c r="G14" t="s">
        <v>519</v>
      </c>
      <c r="H14" t="s">
        <v>520</v>
      </c>
      <c r="I14" s="20" t="s">
        <v>521</v>
      </c>
    </row>
    <row r="15" spans="1:20" x14ac:dyDescent="0.25">
      <c r="A15" s="20" t="s">
        <v>426</v>
      </c>
      <c r="D15" t="s">
        <v>153</v>
      </c>
      <c r="E15" t="s">
        <v>522</v>
      </c>
      <c r="F15" t="s">
        <v>523</v>
      </c>
      <c r="G15" t="s">
        <v>524</v>
      </c>
      <c r="H15" t="s">
        <v>525</v>
      </c>
      <c r="I15" t="s">
        <v>526</v>
      </c>
      <c r="J15" t="s">
        <v>527</v>
      </c>
      <c r="K15" t="s">
        <v>528</v>
      </c>
      <c r="L15" t="s">
        <v>529</v>
      </c>
      <c r="M15" t="s">
        <v>530</v>
      </c>
      <c r="N15" t="s">
        <v>531</v>
      </c>
      <c r="O15" t="s">
        <v>532</v>
      </c>
      <c r="P15" s="20" t="s">
        <v>533</v>
      </c>
    </row>
    <row r="16" spans="1:20" x14ac:dyDescent="0.25">
      <c r="A16" t="s">
        <v>427</v>
      </c>
      <c r="D16" t="s">
        <v>154</v>
      </c>
      <c r="E16" t="s">
        <v>534</v>
      </c>
      <c r="F16" t="s">
        <v>535</v>
      </c>
      <c r="G16" t="s">
        <v>536</v>
      </c>
      <c r="H16" t="s">
        <v>537</v>
      </c>
      <c r="I16" s="20" t="s">
        <v>538</v>
      </c>
    </row>
    <row r="17" spans="1:17" x14ac:dyDescent="0.25">
      <c r="A17" t="s">
        <v>428</v>
      </c>
      <c r="D17" t="s">
        <v>155</v>
      </c>
      <c r="E17" t="s">
        <v>539</v>
      </c>
      <c r="F17" t="s">
        <v>540</v>
      </c>
      <c r="G17" t="s">
        <v>485</v>
      </c>
      <c r="H17" t="s">
        <v>486</v>
      </c>
      <c r="I17" t="s">
        <v>541</v>
      </c>
      <c r="J17" t="s">
        <v>542</v>
      </c>
      <c r="K17" t="s">
        <v>543</v>
      </c>
      <c r="L17" t="s">
        <v>544</v>
      </c>
      <c r="M17" t="s">
        <v>545</v>
      </c>
      <c r="N17" t="s">
        <v>546</v>
      </c>
      <c r="O17" s="20" t="s">
        <v>547</v>
      </c>
    </row>
    <row r="18" spans="1:17" x14ac:dyDescent="0.25">
      <c r="A18" t="s">
        <v>429</v>
      </c>
      <c r="D18" t="s">
        <v>156</v>
      </c>
      <c r="E18" t="s">
        <v>548</v>
      </c>
      <c r="F18" t="s">
        <v>549</v>
      </c>
      <c r="G18" t="s">
        <v>550</v>
      </c>
      <c r="H18" t="s">
        <v>551</v>
      </c>
      <c r="I18" t="s">
        <v>552</v>
      </c>
      <c r="J18" t="s">
        <v>553</v>
      </c>
      <c r="K18" t="s">
        <v>554</v>
      </c>
      <c r="L18" t="s">
        <v>555</v>
      </c>
      <c r="M18" t="s">
        <v>556</v>
      </c>
      <c r="N18" t="s">
        <v>557</v>
      </c>
      <c r="O18" s="20" t="s">
        <v>558</v>
      </c>
    </row>
    <row r="19" spans="1:17" x14ac:dyDescent="0.25">
      <c r="A19" t="s">
        <v>430</v>
      </c>
      <c r="D19" t="s">
        <v>157</v>
      </c>
      <c r="E19" t="s">
        <v>559</v>
      </c>
      <c r="F19" t="s">
        <v>560</v>
      </c>
      <c r="G19" t="s">
        <v>561</v>
      </c>
      <c r="H19" t="s">
        <v>562</v>
      </c>
      <c r="I19" t="s">
        <v>563</v>
      </c>
      <c r="J19" s="20" t="s">
        <v>564</v>
      </c>
    </row>
    <row r="20" spans="1:17" x14ac:dyDescent="0.25">
      <c r="A20" t="s">
        <v>431</v>
      </c>
      <c r="D20" t="s">
        <v>158</v>
      </c>
      <c r="E20" t="s">
        <v>565</v>
      </c>
      <c r="F20" t="s">
        <v>566</v>
      </c>
      <c r="G20" t="s">
        <v>567</v>
      </c>
      <c r="H20" s="20" t="s">
        <v>568</v>
      </c>
    </row>
    <row r="21" spans="1:17" x14ac:dyDescent="0.25">
      <c r="A21" s="20" t="s">
        <v>432</v>
      </c>
      <c r="D21" t="s">
        <v>159</v>
      </c>
      <c r="E21" t="s">
        <v>569</v>
      </c>
      <c r="F21" t="s">
        <v>570</v>
      </c>
      <c r="G21" t="s">
        <v>571</v>
      </c>
      <c r="H21" t="s">
        <v>572</v>
      </c>
      <c r="I21" t="s">
        <v>573</v>
      </c>
      <c r="J21" t="s">
        <v>574</v>
      </c>
      <c r="K21" t="s">
        <v>575</v>
      </c>
      <c r="L21" t="s">
        <v>576</v>
      </c>
      <c r="M21" s="20" t="s">
        <v>577</v>
      </c>
    </row>
    <row r="22" spans="1:17" x14ac:dyDescent="0.25">
      <c r="A22" t="s">
        <v>433</v>
      </c>
      <c r="D22" t="s">
        <v>160</v>
      </c>
      <c r="E22" t="s">
        <v>578</v>
      </c>
      <c r="F22" t="s">
        <v>579</v>
      </c>
      <c r="G22" t="s">
        <v>580</v>
      </c>
      <c r="H22" t="s">
        <v>581</v>
      </c>
      <c r="I22" t="s">
        <v>582</v>
      </c>
      <c r="J22" t="s">
        <v>583</v>
      </c>
      <c r="K22" t="s">
        <v>584</v>
      </c>
      <c r="L22" t="s">
        <v>585</v>
      </c>
      <c r="M22" t="s">
        <v>586</v>
      </c>
      <c r="N22" t="s">
        <v>587</v>
      </c>
      <c r="O22" t="s">
        <v>588</v>
      </c>
      <c r="P22" t="s">
        <v>589</v>
      </c>
      <c r="Q22" s="20" t="s">
        <v>590</v>
      </c>
    </row>
    <row r="23" spans="1:17" x14ac:dyDescent="0.25">
      <c r="A23" t="s">
        <v>434</v>
      </c>
      <c r="D23" t="s">
        <v>161</v>
      </c>
      <c r="E23" t="s">
        <v>591</v>
      </c>
      <c r="F23" t="s">
        <v>592</v>
      </c>
      <c r="G23" t="s">
        <v>593</v>
      </c>
      <c r="H23" t="s">
        <v>549</v>
      </c>
      <c r="I23" s="20" t="s">
        <v>594</v>
      </c>
    </row>
    <row r="24" spans="1:17" x14ac:dyDescent="0.25">
      <c r="A24" t="s">
        <v>435</v>
      </c>
      <c r="D24" t="s">
        <v>162</v>
      </c>
      <c r="E24" t="s">
        <v>595</v>
      </c>
      <c r="F24" t="s">
        <v>596</v>
      </c>
      <c r="G24" t="s">
        <v>597</v>
      </c>
      <c r="H24" t="s">
        <v>598</v>
      </c>
      <c r="I24" t="s">
        <v>599</v>
      </c>
      <c r="J24" t="s">
        <v>600</v>
      </c>
      <c r="K24" t="s">
        <v>601</v>
      </c>
      <c r="L24" t="s">
        <v>602</v>
      </c>
      <c r="M24" t="s">
        <v>603</v>
      </c>
      <c r="N24" t="s">
        <v>604</v>
      </c>
      <c r="O24" t="s">
        <v>605</v>
      </c>
      <c r="P24" s="20" t="s">
        <v>606</v>
      </c>
    </row>
    <row r="25" spans="1:17" x14ac:dyDescent="0.25">
      <c r="A25" t="s">
        <v>436</v>
      </c>
      <c r="D25" t="s">
        <v>163</v>
      </c>
      <c r="E25" t="s">
        <v>607</v>
      </c>
      <c r="F25" t="s">
        <v>608</v>
      </c>
      <c r="G25" t="s">
        <v>609</v>
      </c>
      <c r="H25" t="s">
        <v>610</v>
      </c>
      <c r="I25" t="s">
        <v>611</v>
      </c>
      <c r="J25" t="s">
        <v>612</v>
      </c>
      <c r="K25" s="20" t="s">
        <v>613</v>
      </c>
    </row>
    <row r="26" spans="1:17" x14ac:dyDescent="0.25">
      <c r="A26" t="s">
        <v>437</v>
      </c>
      <c r="D26" t="s">
        <v>164</v>
      </c>
      <c r="E26" t="s">
        <v>614</v>
      </c>
      <c r="F26" t="s">
        <v>615</v>
      </c>
      <c r="G26" t="s">
        <v>616</v>
      </c>
      <c r="H26" t="s">
        <v>617</v>
      </c>
      <c r="I26" t="s">
        <v>618</v>
      </c>
      <c r="J26" t="s">
        <v>619</v>
      </c>
      <c r="K26" s="20" t="s">
        <v>620</v>
      </c>
    </row>
    <row r="27" spans="1:17" x14ac:dyDescent="0.25">
      <c r="A27" s="20" t="s">
        <v>438</v>
      </c>
      <c r="D27" t="s">
        <v>165</v>
      </c>
      <c r="E27" t="s">
        <v>621</v>
      </c>
      <c r="F27" t="s">
        <v>622</v>
      </c>
      <c r="G27" t="s">
        <v>623</v>
      </c>
      <c r="H27" t="s">
        <v>624</v>
      </c>
      <c r="I27" t="s">
        <v>625</v>
      </c>
      <c r="J27" t="s">
        <v>626</v>
      </c>
      <c r="K27" t="s">
        <v>627</v>
      </c>
      <c r="L27" t="s">
        <v>628</v>
      </c>
      <c r="M27" t="s">
        <v>629</v>
      </c>
      <c r="N27" t="s">
        <v>630</v>
      </c>
      <c r="O27" t="s">
        <v>631</v>
      </c>
      <c r="P27" s="20" t="s">
        <v>632</v>
      </c>
    </row>
    <row r="28" spans="1:17" x14ac:dyDescent="0.25">
      <c r="A28" t="s">
        <v>439</v>
      </c>
      <c r="D28" t="s">
        <v>166</v>
      </c>
      <c r="E28" t="s">
        <v>633</v>
      </c>
      <c r="F28" t="s">
        <v>634</v>
      </c>
      <c r="G28" t="s">
        <v>634</v>
      </c>
      <c r="H28" t="s">
        <v>635</v>
      </c>
      <c r="I28" t="s">
        <v>636</v>
      </c>
      <c r="J28" t="s">
        <v>637</v>
      </c>
      <c r="K28" t="s">
        <v>638</v>
      </c>
      <c r="L28" t="s">
        <v>639</v>
      </c>
      <c r="M28" s="20" t="s">
        <v>640</v>
      </c>
    </row>
    <row r="29" spans="1:17" x14ac:dyDescent="0.25">
      <c r="A29" t="s">
        <v>440</v>
      </c>
      <c r="D29" t="s">
        <v>167</v>
      </c>
      <c r="E29" t="s">
        <v>641</v>
      </c>
      <c r="F29" t="s">
        <v>642</v>
      </c>
      <c r="G29" t="s">
        <v>643</v>
      </c>
      <c r="H29" t="s">
        <v>644</v>
      </c>
      <c r="I29" t="s">
        <v>645</v>
      </c>
      <c r="J29" t="s">
        <v>646</v>
      </c>
      <c r="K29" t="s">
        <v>647</v>
      </c>
      <c r="L29" s="20" t="s">
        <v>648</v>
      </c>
    </row>
    <row r="30" spans="1:17" x14ac:dyDescent="0.25">
      <c r="A30" t="s">
        <v>441</v>
      </c>
      <c r="D30" t="s">
        <v>168</v>
      </c>
      <c r="E30" t="s">
        <v>649</v>
      </c>
      <c r="F30" t="s">
        <v>650</v>
      </c>
      <c r="G30" t="s">
        <v>651</v>
      </c>
      <c r="H30" t="s">
        <v>652</v>
      </c>
      <c r="I30" t="s">
        <v>653</v>
      </c>
      <c r="J30" t="s">
        <v>654</v>
      </c>
      <c r="K30" s="20" t="s">
        <v>655</v>
      </c>
    </row>
    <row r="31" spans="1:17" x14ac:dyDescent="0.25">
      <c r="A31" t="s">
        <v>442</v>
      </c>
      <c r="D31" t="s">
        <v>169</v>
      </c>
      <c r="E31" t="s">
        <v>656</v>
      </c>
      <c r="F31" t="s">
        <v>657</v>
      </c>
      <c r="G31" t="s">
        <v>658</v>
      </c>
      <c r="H31" t="s">
        <v>659</v>
      </c>
      <c r="I31" t="s">
        <v>660</v>
      </c>
      <c r="J31" t="s">
        <v>661</v>
      </c>
      <c r="K31" t="s">
        <v>662</v>
      </c>
      <c r="L31" t="s">
        <v>663</v>
      </c>
      <c r="M31" t="s">
        <v>664</v>
      </c>
      <c r="N31" s="20" t="s">
        <v>665</v>
      </c>
    </row>
    <row r="32" spans="1:17" x14ac:dyDescent="0.25">
      <c r="A32" t="s">
        <v>443</v>
      </c>
      <c r="D32" t="s">
        <v>170</v>
      </c>
      <c r="E32" t="s">
        <v>666</v>
      </c>
      <c r="F32" t="s">
        <v>667</v>
      </c>
      <c r="G32" t="s">
        <v>668</v>
      </c>
      <c r="H32" t="s">
        <v>669</v>
      </c>
      <c r="I32" s="20" t="s">
        <v>670</v>
      </c>
    </row>
    <row r="33" spans="1:16" x14ac:dyDescent="0.25">
      <c r="A33" s="20" t="s">
        <v>444</v>
      </c>
      <c r="D33" t="s">
        <v>171</v>
      </c>
      <c r="E33" t="s">
        <v>671</v>
      </c>
      <c r="F33" t="s">
        <v>659</v>
      </c>
      <c r="G33" t="s">
        <v>672</v>
      </c>
      <c r="H33" t="s">
        <v>660</v>
      </c>
      <c r="I33" t="s">
        <v>661</v>
      </c>
      <c r="J33" t="s">
        <v>663</v>
      </c>
      <c r="K33" s="20" t="s">
        <v>664</v>
      </c>
    </row>
    <row r="34" spans="1:16" x14ac:dyDescent="0.25">
      <c r="A34" t="s">
        <v>445</v>
      </c>
      <c r="D34" t="s">
        <v>172</v>
      </c>
      <c r="E34" t="s">
        <v>673</v>
      </c>
      <c r="F34" t="s">
        <v>674</v>
      </c>
      <c r="G34" t="s">
        <v>675</v>
      </c>
      <c r="H34" t="s">
        <v>676</v>
      </c>
      <c r="I34" t="s">
        <v>677</v>
      </c>
      <c r="J34" t="s">
        <v>678</v>
      </c>
      <c r="K34" t="s">
        <v>679</v>
      </c>
      <c r="L34" s="20" t="s">
        <v>680</v>
      </c>
    </row>
    <row r="35" spans="1:16" x14ac:dyDescent="0.25">
      <c r="A35" t="s">
        <v>446</v>
      </c>
      <c r="D35" t="s">
        <v>173</v>
      </c>
      <c r="E35" t="s">
        <v>681</v>
      </c>
      <c r="F35" t="s">
        <v>682</v>
      </c>
      <c r="G35" t="s">
        <v>683</v>
      </c>
      <c r="H35" t="s">
        <v>684</v>
      </c>
      <c r="I35" t="s">
        <v>685</v>
      </c>
      <c r="J35" t="s">
        <v>686</v>
      </c>
      <c r="K35" t="s">
        <v>687</v>
      </c>
      <c r="L35" s="20" t="s">
        <v>688</v>
      </c>
    </row>
    <row r="36" spans="1:16" x14ac:dyDescent="0.25">
      <c r="A36" t="s">
        <v>447</v>
      </c>
      <c r="D36" t="s">
        <v>174</v>
      </c>
      <c r="E36" t="s">
        <v>689</v>
      </c>
      <c r="F36" t="s">
        <v>690</v>
      </c>
      <c r="G36" t="s">
        <v>691</v>
      </c>
      <c r="H36" t="s">
        <v>692</v>
      </c>
      <c r="I36" t="s">
        <v>693</v>
      </c>
      <c r="J36" t="s">
        <v>694</v>
      </c>
      <c r="K36" t="s">
        <v>695</v>
      </c>
      <c r="L36" t="s">
        <v>696</v>
      </c>
      <c r="M36" s="20" t="s">
        <v>697</v>
      </c>
    </row>
    <row r="37" spans="1:16" x14ac:dyDescent="0.25">
      <c r="A37" t="s">
        <v>448</v>
      </c>
      <c r="D37" t="s">
        <v>175</v>
      </c>
      <c r="E37" t="s">
        <v>698</v>
      </c>
      <c r="F37" t="s">
        <v>699</v>
      </c>
      <c r="G37" t="s">
        <v>700</v>
      </c>
      <c r="H37" t="s">
        <v>701</v>
      </c>
      <c r="I37" s="20" t="s">
        <v>702</v>
      </c>
    </row>
    <row r="38" spans="1:16" x14ac:dyDescent="0.25">
      <c r="A38" t="s">
        <v>449</v>
      </c>
      <c r="D38" t="s">
        <v>176</v>
      </c>
      <c r="E38" t="s">
        <v>703</v>
      </c>
      <c r="F38" t="s">
        <v>704</v>
      </c>
      <c r="G38" t="s">
        <v>705</v>
      </c>
      <c r="H38" t="s">
        <v>537</v>
      </c>
      <c r="I38" s="20" t="s">
        <v>538</v>
      </c>
    </row>
    <row r="39" spans="1:16" x14ac:dyDescent="0.25">
      <c r="A39" s="20" t="s">
        <v>450</v>
      </c>
      <c r="D39" t="s">
        <v>177</v>
      </c>
      <c r="E39" t="s">
        <v>706</v>
      </c>
      <c r="F39" t="s">
        <v>707</v>
      </c>
      <c r="G39" t="s">
        <v>708</v>
      </c>
      <c r="H39" t="s">
        <v>709</v>
      </c>
      <c r="I39" t="s">
        <v>710</v>
      </c>
      <c r="J39" t="s">
        <v>711</v>
      </c>
      <c r="K39" s="20" t="s">
        <v>712</v>
      </c>
    </row>
    <row r="40" spans="1:16" x14ac:dyDescent="0.25">
      <c r="A40" t="s">
        <v>451</v>
      </c>
      <c r="D40" t="s">
        <v>178</v>
      </c>
      <c r="E40" t="s">
        <v>713</v>
      </c>
      <c r="F40" t="s">
        <v>714</v>
      </c>
      <c r="G40" t="s">
        <v>715</v>
      </c>
      <c r="H40" t="s">
        <v>716</v>
      </c>
      <c r="I40" s="20" t="s">
        <v>717</v>
      </c>
    </row>
    <row r="41" spans="1:16" x14ac:dyDescent="0.25">
      <c r="A41" t="s">
        <v>452</v>
      </c>
      <c r="D41" t="s">
        <v>179</v>
      </c>
      <c r="E41" t="s">
        <v>718</v>
      </c>
      <c r="F41" t="s">
        <v>719</v>
      </c>
      <c r="G41" t="s">
        <v>720</v>
      </c>
      <c r="H41" t="s">
        <v>721</v>
      </c>
      <c r="I41" t="s">
        <v>722</v>
      </c>
      <c r="J41" t="s">
        <v>723</v>
      </c>
      <c r="K41" t="s">
        <v>724</v>
      </c>
      <c r="L41" s="20" t="s">
        <v>725</v>
      </c>
    </row>
    <row r="42" spans="1:16" x14ac:dyDescent="0.25">
      <c r="A42" t="s">
        <v>453</v>
      </c>
      <c r="D42" t="s">
        <v>180</v>
      </c>
      <c r="E42" t="s">
        <v>726</v>
      </c>
      <c r="F42" t="s">
        <v>727</v>
      </c>
      <c r="G42" t="s">
        <v>421</v>
      </c>
      <c r="H42" t="s">
        <v>422</v>
      </c>
      <c r="I42" s="20" t="s">
        <v>423</v>
      </c>
    </row>
    <row r="43" spans="1:16" x14ac:dyDescent="0.25">
      <c r="A43" t="s">
        <v>454</v>
      </c>
      <c r="D43" t="s">
        <v>181</v>
      </c>
      <c r="E43" t="s">
        <v>728</v>
      </c>
      <c r="F43" t="s">
        <v>729</v>
      </c>
      <c r="G43" t="s">
        <v>730</v>
      </c>
      <c r="H43" t="s">
        <v>731</v>
      </c>
      <c r="I43" t="s">
        <v>732</v>
      </c>
      <c r="J43" t="s">
        <v>733</v>
      </c>
      <c r="K43" t="s">
        <v>734</v>
      </c>
      <c r="L43" t="s">
        <v>735</v>
      </c>
      <c r="M43" t="s">
        <v>736</v>
      </c>
      <c r="N43" t="s">
        <v>737</v>
      </c>
      <c r="O43" t="s">
        <v>738</v>
      </c>
      <c r="P43" s="20" t="s">
        <v>739</v>
      </c>
    </row>
    <row r="44" spans="1:16" x14ac:dyDescent="0.25">
      <c r="A44" t="s">
        <v>455</v>
      </c>
      <c r="D44" t="s">
        <v>182</v>
      </c>
      <c r="E44" t="s">
        <v>740</v>
      </c>
      <c r="F44" t="s">
        <v>741</v>
      </c>
      <c r="G44" t="s">
        <v>742</v>
      </c>
      <c r="H44" t="s">
        <v>743</v>
      </c>
      <c r="I44" t="s">
        <v>744</v>
      </c>
      <c r="J44" t="s">
        <v>745</v>
      </c>
      <c r="K44" t="s">
        <v>746</v>
      </c>
      <c r="L44" s="20" t="s">
        <v>747</v>
      </c>
    </row>
    <row r="45" spans="1:16" x14ac:dyDescent="0.25">
      <c r="A45" t="s">
        <v>456</v>
      </c>
      <c r="D45" t="s">
        <v>183</v>
      </c>
    </row>
    <row r="46" spans="1:16" x14ac:dyDescent="0.25">
      <c r="A46" t="s">
        <v>457</v>
      </c>
    </row>
    <row r="47" spans="1:16" x14ac:dyDescent="0.25">
      <c r="A47" t="s">
        <v>458</v>
      </c>
    </row>
    <row r="48" spans="1:16" x14ac:dyDescent="0.25">
      <c r="A48" t="s">
        <v>459</v>
      </c>
    </row>
    <row r="49" spans="1:1" x14ac:dyDescent="0.25">
      <c r="A49" t="s">
        <v>460</v>
      </c>
    </row>
    <row r="50" spans="1:1" x14ac:dyDescent="0.25">
      <c r="A50" t="s">
        <v>461</v>
      </c>
    </row>
    <row r="51" spans="1:1" x14ac:dyDescent="0.25">
      <c r="A51" t="s">
        <v>462</v>
      </c>
    </row>
    <row r="52" spans="1:1" x14ac:dyDescent="0.25">
      <c r="A52" t="s">
        <v>434</v>
      </c>
    </row>
    <row r="53" spans="1:1" x14ac:dyDescent="0.25">
      <c r="A53" t="s">
        <v>436</v>
      </c>
    </row>
    <row r="54" spans="1:1" x14ac:dyDescent="0.25">
      <c r="A54" t="s">
        <v>437</v>
      </c>
    </row>
    <row r="55" spans="1:1" x14ac:dyDescent="0.25">
      <c r="A55" s="20" t="s">
        <v>438</v>
      </c>
    </row>
    <row r="56" spans="1:1" x14ac:dyDescent="0.25">
      <c r="A56" t="s">
        <v>463</v>
      </c>
    </row>
    <row r="57" spans="1:1" x14ac:dyDescent="0.25">
      <c r="A57" t="s">
        <v>464</v>
      </c>
    </row>
    <row r="58" spans="1:1" x14ac:dyDescent="0.25">
      <c r="A58" t="s">
        <v>465</v>
      </c>
    </row>
    <row r="59" spans="1:1" x14ac:dyDescent="0.25">
      <c r="A59" t="s">
        <v>466</v>
      </c>
    </row>
    <row r="60" spans="1:1" x14ac:dyDescent="0.25">
      <c r="A60" t="s">
        <v>467</v>
      </c>
    </row>
    <row r="61" spans="1:1" x14ac:dyDescent="0.25">
      <c r="A61" t="s">
        <v>468</v>
      </c>
    </row>
    <row r="62" spans="1:1" x14ac:dyDescent="0.25">
      <c r="A62" t="s">
        <v>469</v>
      </c>
    </row>
    <row r="63" spans="1:1" x14ac:dyDescent="0.25">
      <c r="A63" t="s">
        <v>470</v>
      </c>
    </row>
    <row r="64" spans="1:1" x14ac:dyDescent="0.25">
      <c r="A64" s="20" t="s">
        <v>471</v>
      </c>
    </row>
    <row r="65" spans="1:1" x14ac:dyDescent="0.25">
      <c r="A65" t="s">
        <v>472</v>
      </c>
    </row>
    <row r="66" spans="1:1" x14ac:dyDescent="0.25">
      <c r="A66" t="s">
        <v>472</v>
      </c>
    </row>
    <row r="67" spans="1:1" x14ac:dyDescent="0.25">
      <c r="A67" t="s">
        <v>473</v>
      </c>
    </row>
    <row r="68" spans="1:1" x14ac:dyDescent="0.25">
      <c r="A68" t="s">
        <v>474</v>
      </c>
    </row>
    <row r="69" spans="1:1" x14ac:dyDescent="0.25">
      <c r="A69" t="s">
        <v>475</v>
      </c>
    </row>
    <row r="70" spans="1:1" x14ac:dyDescent="0.25">
      <c r="A70" t="s">
        <v>476</v>
      </c>
    </row>
    <row r="71" spans="1:1" x14ac:dyDescent="0.25">
      <c r="A71" t="s">
        <v>477</v>
      </c>
    </row>
    <row r="72" spans="1:1" x14ac:dyDescent="0.25">
      <c r="A72" s="20" t="s">
        <v>478</v>
      </c>
    </row>
    <row r="73" spans="1:1" x14ac:dyDescent="0.25">
      <c r="A73" t="s">
        <v>479</v>
      </c>
    </row>
    <row r="74" spans="1:1" x14ac:dyDescent="0.25">
      <c r="A74" t="s">
        <v>480</v>
      </c>
    </row>
    <row r="75" spans="1:1" x14ac:dyDescent="0.25">
      <c r="A75" t="s">
        <v>481</v>
      </c>
    </row>
    <row r="76" spans="1:1" x14ac:dyDescent="0.25">
      <c r="A76" t="s">
        <v>482</v>
      </c>
    </row>
    <row r="77" spans="1:1" x14ac:dyDescent="0.25">
      <c r="A77" t="s">
        <v>483</v>
      </c>
    </row>
    <row r="78" spans="1:1" x14ac:dyDescent="0.25">
      <c r="A78" t="s">
        <v>484</v>
      </c>
    </row>
    <row r="79" spans="1:1" x14ac:dyDescent="0.25">
      <c r="A79" t="s">
        <v>485</v>
      </c>
    </row>
    <row r="80" spans="1:1" x14ac:dyDescent="0.25">
      <c r="A80" s="20" t="s">
        <v>486</v>
      </c>
    </row>
    <row r="81" spans="1:1" x14ac:dyDescent="0.25">
      <c r="A81" t="s">
        <v>487</v>
      </c>
    </row>
    <row r="82" spans="1:1" x14ac:dyDescent="0.25">
      <c r="A82" t="s">
        <v>488</v>
      </c>
    </row>
    <row r="83" spans="1:1" x14ac:dyDescent="0.25">
      <c r="A83" t="s">
        <v>489</v>
      </c>
    </row>
    <row r="84" spans="1:1" x14ac:dyDescent="0.25">
      <c r="A84" t="s">
        <v>490</v>
      </c>
    </row>
    <row r="85" spans="1:1" x14ac:dyDescent="0.25">
      <c r="A85" t="s">
        <v>491</v>
      </c>
    </row>
    <row r="86" spans="1:1" x14ac:dyDescent="0.25">
      <c r="A86" t="s">
        <v>492</v>
      </c>
    </row>
    <row r="87" spans="1:1" x14ac:dyDescent="0.25">
      <c r="A87" s="20" t="s">
        <v>493</v>
      </c>
    </row>
    <row r="88" spans="1:1" x14ac:dyDescent="0.25">
      <c r="A88" t="s">
        <v>494</v>
      </c>
    </row>
    <row r="89" spans="1:1" x14ac:dyDescent="0.25">
      <c r="A89" t="s">
        <v>495</v>
      </c>
    </row>
    <row r="90" spans="1:1" x14ac:dyDescent="0.25">
      <c r="A90" t="s">
        <v>496</v>
      </c>
    </row>
    <row r="91" spans="1:1" x14ac:dyDescent="0.25">
      <c r="A91" t="s">
        <v>497</v>
      </c>
    </row>
    <row r="92" spans="1:1" x14ac:dyDescent="0.25">
      <c r="A92" t="s">
        <v>498</v>
      </c>
    </row>
    <row r="93" spans="1:1" x14ac:dyDescent="0.25">
      <c r="A93" t="s">
        <v>499</v>
      </c>
    </row>
    <row r="94" spans="1:1" x14ac:dyDescent="0.25">
      <c r="A94" t="s">
        <v>500</v>
      </c>
    </row>
    <row r="95" spans="1:1" x14ac:dyDescent="0.25">
      <c r="A95" t="s">
        <v>501</v>
      </c>
    </row>
    <row r="96" spans="1:1" x14ac:dyDescent="0.25">
      <c r="A96" t="s">
        <v>502</v>
      </c>
    </row>
    <row r="97" spans="1:1" x14ac:dyDescent="0.25">
      <c r="A97" t="s">
        <v>503</v>
      </c>
    </row>
    <row r="98" spans="1:1" x14ac:dyDescent="0.25">
      <c r="A98" t="s">
        <v>504</v>
      </c>
    </row>
    <row r="99" spans="1:1" x14ac:dyDescent="0.25">
      <c r="A99" t="s">
        <v>505</v>
      </c>
    </row>
    <row r="100" spans="1:1" x14ac:dyDescent="0.25">
      <c r="A100" s="20" t="s">
        <v>506</v>
      </c>
    </row>
    <row r="101" spans="1:1" x14ac:dyDescent="0.25">
      <c r="A101" t="s">
        <v>507</v>
      </c>
    </row>
    <row r="102" spans="1:1" x14ac:dyDescent="0.25">
      <c r="A102" t="s">
        <v>508</v>
      </c>
    </row>
    <row r="103" spans="1:1" x14ac:dyDescent="0.25">
      <c r="A103" t="s">
        <v>509</v>
      </c>
    </row>
    <row r="104" spans="1:1" x14ac:dyDescent="0.25">
      <c r="A104" t="s">
        <v>510</v>
      </c>
    </row>
    <row r="105" spans="1:1" x14ac:dyDescent="0.25">
      <c r="A105" t="s">
        <v>511</v>
      </c>
    </row>
    <row r="106" spans="1:1" x14ac:dyDescent="0.25">
      <c r="A106" t="s">
        <v>512</v>
      </c>
    </row>
    <row r="107" spans="1:1" x14ac:dyDescent="0.25">
      <c r="A107" t="s">
        <v>513</v>
      </c>
    </row>
    <row r="108" spans="1:1" x14ac:dyDescent="0.25">
      <c r="A108" t="s">
        <v>514</v>
      </c>
    </row>
    <row r="109" spans="1:1" x14ac:dyDescent="0.25">
      <c r="A109" t="s">
        <v>515</v>
      </c>
    </row>
    <row r="110" spans="1:1" x14ac:dyDescent="0.25">
      <c r="A110" s="20" t="s">
        <v>516</v>
      </c>
    </row>
    <row r="111" spans="1:1" x14ac:dyDescent="0.25">
      <c r="A111" t="s">
        <v>517</v>
      </c>
    </row>
    <row r="112" spans="1:1" x14ac:dyDescent="0.25">
      <c r="A112" t="s">
        <v>518</v>
      </c>
    </row>
    <row r="113" spans="1:1" x14ac:dyDescent="0.25">
      <c r="A113" t="s">
        <v>519</v>
      </c>
    </row>
    <row r="114" spans="1:1" x14ac:dyDescent="0.25">
      <c r="A114" t="s">
        <v>520</v>
      </c>
    </row>
    <row r="115" spans="1:1" x14ac:dyDescent="0.25">
      <c r="A115" s="20" t="s">
        <v>521</v>
      </c>
    </row>
    <row r="116" spans="1:1" x14ac:dyDescent="0.25">
      <c r="A116" t="s">
        <v>522</v>
      </c>
    </row>
    <row r="117" spans="1:1" x14ac:dyDescent="0.25">
      <c r="A117" t="s">
        <v>523</v>
      </c>
    </row>
    <row r="118" spans="1:1" x14ac:dyDescent="0.25">
      <c r="A118" t="s">
        <v>524</v>
      </c>
    </row>
    <row r="119" spans="1:1" x14ac:dyDescent="0.25">
      <c r="A119" t="s">
        <v>525</v>
      </c>
    </row>
    <row r="120" spans="1:1" x14ac:dyDescent="0.25">
      <c r="A120" t="s">
        <v>526</v>
      </c>
    </row>
    <row r="121" spans="1:1" x14ac:dyDescent="0.25">
      <c r="A121" t="s">
        <v>527</v>
      </c>
    </row>
    <row r="122" spans="1:1" x14ac:dyDescent="0.25">
      <c r="A122" t="s">
        <v>528</v>
      </c>
    </row>
    <row r="123" spans="1:1" x14ac:dyDescent="0.25">
      <c r="A123" t="s">
        <v>529</v>
      </c>
    </row>
    <row r="124" spans="1:1" x14ac:dyDescent="0.25">
      <c r="A124" t="s">
        <v>530</v>
      </c>
    </row>
    <row r="125" spans="1:1" x14ac:dyDescent="0.25">
      <c r="A125" t="s">
        <v>531</v>
      </c>
    </row>
    <row r="126" spans="1:1" x14ac:dyDescent="0.25">
      <c r="A126" t="s">
        <v>532</v>
      </c>
    </row>
    <row r="127" spans="1:1" x14ac:dyDescent="0.25">
      <c r="A127" s="20" t="s">
        <v>533</v>
      </c>
    </row>
    <row r="128" spans="1:1" x14ac:dyDescent="0.25">
      <c r="A128" t="s">
        <v>534</v>
      </c>
    </row>
    <row r="129" spans="1:1" x14ac:dyDescent="0.25">
      <c r="A129" t="s">
        <v>535</v>
      </c>
    </row>
    <row r="130" spans="1:1" x14ac:dyDescent="0.25">
      <c r="A130" t="s">
        <v>536</v>
      </c>
    </row>
    <row r="131" spans="1:1" x14ac:dyDescent="0.25">
      <c r="A131" t="s">
        <v>537</v>
      </c>
    </row>
    <row r="132" spans="1:1" x14ac:dyDescent="0.25">
      <c r="A132" s="20" t="s">
        <v>538</v>
      </c>
    </row>
    <row r="133" spans="1:1" x14ac:dyDescent="0.25">
      <c r="A133" t="s">
        <v>539</v>
      </c>
    </row>
    <row r="134" spans="1:1" x14ac:dyDescent="0.25">
      <c r="A134" t="s">
        <v>540</v>
      </c>
    </row>
    <row r="135" spans="1:1" x14ac:dyDescent="0.25">
      <c r="A135" t="s">
        <v>485</v>
      </c>
    </row>
    <row r="136" spans="1:1" x14ac:dyDescent="0.25">
      <c r="A136" t="s">
        <v>486</v>
      </c>
    </row>
    <row r="137" spans="1:1" x14ac:dyDescent="0.25">
      <c r="A137" t="s">
        <v>541</v>
      </c>
    </row>
    <row r="138" spans="1:1" x14ac:dyDescent="0.25">
      <c r="A138" t="s">
        <v>542</v>
      </c>
    </row>
    <row r="139" spans="1:1" x14ac:dyDescent="0.25">
      <c r="A139" t="s">
        <v>543</v>
      </c>
    </row>
    <row r="140" spans="1:1" x14ac:dyDescent="0.25">
      <c r="A140" t="s">
        <v>544</v>
      </c>
    </row>
    <row r="141" spans="1:1" x14ac:dyDescent="0.25">
      <c r="A141" t="s">
        <v>545</v>
      </c>
    </row>
    <row r="142" spans="1:1" x14ac:dyDescent="0.25">
      <c r="A142" t="s">
        <v>546</v>
      </c>
    </row>
    <row r="143" spans="1:1" x14ac:dyDescent="0.25">
      <c r="A143" s="20" t="s">
        <v>547</v>
      </c>
    </row>
    <row r="144" spans="1:1" x14ac:dyDescent="0.25">
      <c r="A144" t="s">
        <v>548</v>
      </c>
    </row>
    <row r="145" spans="1:1" x14ac:dyDescent="0.25">
      <c r="A145" t="s">
        <v>549</v>
      </c>
    </row>
    <row r="146" spans="1:1" x14ac:dyDescent="0.25">
      <c r="A146" t="s">
        <v>550</v>
      </c>
    </row>
    <row r="147" spans="1:1" x14ac:dyDescent="0.25">
      <c r="A147" t="s">
        <v>551</v>
      </c>
    </row>
    <row r="148" spans="1:1" x14ac:dyDescent="0.25">
      <c r="A148" t="s">
        <v>552</v>
      </c>
    </row>
    <row r="149" spans="1:1" x14ac:dyDescent="0.25">
      <c r="A149" t="s">
        <v>553</v>
      </c>
    </row>
    <row r="150" spans="1:1" x14ac:dyDescent="0.25">
      <c r="A150" t="s">
        <v>554</v>
      </c>
    </row>
    <row r="151" spans="1:1" x14ac:dyDescent="0.25">
      <c r="A151" t="s">
        <v>555</v>
      </c>
    </row>
    <row r="152" spans="1:1" x14ac:dyDescent="0.25">
      <c r="A152" t="s">
        <v>556</v>
      </c>
    </row>
    <row r="153" spans="1:1" x14ac:dyDescent="0.25">
      <c r="A153" t="s">
        <v>557</v>
      </c>
    </row>
    <row r="154" spans="1:1" x14ac:dyDescent="0.25">
      <c r="A154" s="20" t="s">
        <v>558</v>
      </c>
    </row>
    <row r="155" spans="1:1" x14ac:dyDescent="0.25">
      <c r="A155" t="s">
        <v>559</v>
      </c>
    </row>
    <row r="156" spans="1:1" x14ac:dyDescent="0.25">
      <c r="A156" t="s">
        <v>560</v>
      </c>
    </row>
    <row r="157" spans="1:1" x14ac:dyDescent="0.25">
      <c r="A157" t="s">
        <v>561</v>
      </c>
    </row>
    <row r="158" spans="1:1" x14ac:dyDescent="0.25">
      <c r="A158" t="s">
        <v>562</v>
      </c>
    </row>
    <row r="159" spans="1:1" x14ac:dyDescent="0.25">
      <c r="A159" t="s">
        <v>563</v>
      </c>
    </row>
    <row r="160" spans="1:1" x14ac:dyDescent="0.25">
      <c r="A160" s="20" t="s">
        <v>564</v>
      </c>
    </row>
    <row r="161" spans="1:1" x14ac:dyDescent="0.25">
      <c r="A161" t="s">
        <v>565</v>
      </c>
    </row>
    <row r="162" spans="1:1" x14ac:dyDescent="0.25">
      <c r="A162" t="s">
        <v>566</v>
      </c>
    </row>
    <row r="163" spans="1:1" x14ac:dyDescent="0.25">
      <c r="A163" t="s">
        <v>567</v>
      </c>
    </row>
    <row r="164" spans="1:1" x14ac:dyDescent="0.25">
      <c r="A164" s="20" t="s">
        <v>568</v>
      </c>
    </row>
    <row r="165" spans="1:1" x14ac:dyDescent="0.25">
      <c r="A165" t="s">
        <v>569</v>
      </c>
    </row>
    <row r="166" spans="1:1" x14ac:dyDescent="0.25">
      <c r="A166" t="s">
        <v>570</v>
      </c>
    </row>
    <row r="167" spans="1:1" x14ac:dyDescent="0.25">
      <c r="A167" t="s">
        <v>571</v>
      </c>
    </row>
    <row r="168" spans="1:1" x14ac:dyDescent="0.25">
      <c r="A168" t="s">
        <v>572</v>
      </c>
    </row>
    <row r="169" spans="1:1" x14ac:dyDescent="0.25">
      <c r="A169" t="s">
        <v>573</v>
      </c>
    </row>
    <row r="170" spans="1:1" x14ac:dyDescent="0.25">
      <c r="A170" t="s">
        <v>574</v>
      </c>
    </row>
    <row r="171" spans="1:1" x14ac:dyDescent="0.25">
      <c r="A171" t="s">
        <v>575</v>
      </c>
    </row>
    <row r="172" spans="1:1" x14ac:dyDescent="0.25">
      <c r="A172" t="s">
        <v>576</v>
      </c>
    </row>
    <row r="173" spans="1:1" x14ac:dyDescent="0.25">
      <c r="A173" s="20" t="s">
        <v>577</v>
      </c>
    </row>
    <row r="174" spans="1:1" x14ac:dyDescent="0.25">
      <c r="A174" t="s">
        <v>578</v>
      </c>
    </row>
    <row r="175" spans="1:1" x14ac:dyDescent="0.25">
      <c r="A175" t="s">
        <v>579</v>
      </c>
    </row>
    <row r="176" spans="1:1" x14ac:dyDescent="0.25">
      <c r="A176" t="s">
        <v>580</v>
      </c>
    </row>
    <row r="177" spans="1:1" x14ac:dyDescent="0.25">
      <c r="A177" t="s">
        <v>581</v>
      </c>
    </row>
    <row r="178" spans="1:1" x14ac:dyDescent="0.25">
      <c r="A178" t="s">
        <v>582</v>
      </c>
    </row>
    <row r="179" spans="1:1" x14ac:dyDescent="0.25">
      <c r="A179" t="s">
        <v>583</v>
      </c>
    </row>
    <row r="180" spans="1:1" x14ac:dyDescent="0.25">
      <c r="A180" t="s">
        <v>584</v>
      </c>
    </row>
    <row r="181" spans="1:1" x14ac:dyDescent="0.25">
      <c r="A181" t="s">
        <v>585</v>
      </c>
    </row>
    <row r="182" spans="1:1" x14ac:dyDescent="0.25">
      <c r="A182" t="s">
        <v>586</v>
      </c>
    </row>
    <row r="183" spans="1:1" x14ac:dyDescent="0.25">
      <c r="A183" t="s">
        <v>587</v>
      </c>
    </row>
    <row r="184" spans="1:1" x14ac:dyDescent="0.25">
      <c r="A184" t="s">
        <v>588</v>
      </c>
    </row>
    <row r="185" spans="1:1" x14ac:dyDescent="0.25">
      <c r="A185" t="s">
        <v>589</v>
      </c>
    </row>
    <row r="186" spans="1:1" x14ac:dyDescent="0.25">
      <c r="A186" s="20" t="s">
        <v>590</v>
      </c>
    </row>
    <row r="187" spans="1:1" x14ac:dyDescent="0.25">
      <c r="A187" t="s">
        <v>591</v>
      </c>
    </row>
    <row r="188" spans="1:1" x14ac:dyDescent="0.25">
      <c r="A188" t="s">
        <v>592</v>
      </c>
    </row>
    <row r="189" spans="1:1" x14ac:dyDescent="0.25">
      <c r="A189" t="s">
        <v>593</v>
      </c>
    </row>
    <row r="190" spans="1:1" x14ac:dyDescent="0.25">
      <c r="A190" t="s">
        <v>549</v>
      </c>
    </row>
    <row r="191" spans="1:1" x14ac:dyDescent="0.25">
      <c r="A191" s="20" t="s">
        <v>594</v>
      </c>
    </row>
    <row r="192" spans="1:1" x14ac:dyDescent="0.25">
      <c r="A192" t="s">
        <v>595</v>
      </c>
    </row>
    <row r="193" spans="1:1" x14ac:dyDescent="0.25">
      <c r="A193" t="s">
        <v>596</v>
      </c>
    </row>
    <row r="194" spans="1:1" x14ac:dyDescent="0.25">
      <c r="A194" t="s">
        <v>597</v>
      </c>
    </row>
    <row r="195" spans="1:1" x14ac:dyDescent="0.25">
      <c r="A195" t="s">
        <v>598</v>
      </c>
    </row>
    <row r="196" spans="1:1" x14ac:dyDescent="0.25">
      <c r="A196" t="s">
        <v>599</v>
      </c>
    </row>
    <row r="197" spans="1:1" x14ac:dyDescent="0.25">
      <c r="A197" t="s">
        <v>600</v>
      </c>
    </row>
    <row r="198" spans="1:1" x14ac:dyDescent="0.25">
      <c r="A198" t="s">
        <v>601</v>
      </c>
    </row>
    <row r="199" spans="1:1" x14ac:dyDescent="0.25">
      <c r="A199" t="s">
        <v>602</v>
      </c>
    </row>
    <row r="200" spans="1:1" x14ac:dyDescent="0.25">
      <c r="A200" t="s">
        <v>603</v>
      </c>
    </row>
    <row r="201" spans="1:1" x14ac:dyDescent="0.25">
      <c r="A201" t="s">
        <v>604</v>
      </c>
    </row>
    <row r="202" spans="1:1" x14ac:dyDescent="0.25">
      <c r="A202" t="s">
        <v>605</v>
      </c>
    </row>
    <row r="203" spans="1:1" x14ac:dyDescent="0.25">
      <c r="A203" s="20" t="s">
        <v>606</v>
      </c>
    </row>
    <row r="204" spans="1:1" x14ac:dyDescent="0.25">
      <c r="A204" t="s">
        <v>607</v>
      </c>
    </row>
    <row r="205" spans="1:1" x14ac:dyDescent="0.25">
      <c r="A205" t="s">
        <v>608</v>
      </c>
    </row>
    <row r="206" spans="1:1" x14ac:dyDescent="0.25">
      <c r="A206" t="s">
        <v>609</v>
      </c>
    </row>
    <row r="207" spans="1:1" x14ac:dyDescent="0.25">
      <c r="A207" t="s">
        <v>610</v>
      </c>
    </row>
    <row r="208" spans="1:1" x14ac:dyDescent="0.25">
      <c r="A208" t="s">
        <v>611</v>
      </c>
    </row>
    <row r="209" spans="1:1" x14ac:dyDescent="0.25">
      <c r="A209" t="s">
        <v>612</v>
      </c>
    </row>
    <row r="210" spans="1:1" x14ac:dyDescent="0.25">
      <c r="A210" s="20" t="s">
        <v>613</v>
      </c>
    </row>
    <row r="211" spans="1:1" x14ac:dyDescent="0.25">
      <c r="A211" t="s">
        <v>614</v>
      </c>
    </row>
    <row r="212" spans="1:1" x14ac:dyDescent="0.25">
      <c r="A212" t="s">
        <v>615</v>
      </c>
    </row>
    <row r="213" spans="1:1" x14ac:dyDescent="0.25">
      <c r="A213" t="s">
        <v>616</v>
      </c>
    </row>
    <row r="214" spans="1:1" x14ac:dyDescent="0.25">
      <c r="A214" t="s">
        <v>617</v>
      </c>
    </row>
    <row r="215" spans="1:1" x14ac:dyDescent="0.25">
      <c r="A215" t="s">
        <v>618</v>
      </c>
    </row>
    <row r="216" spans="1:1" x14ac:dyDescent="0.25">
      <c r="A216" t="s">
        <v>619</v>
      </c>
    </row>
    <row r="217" spans="1:1" x14ac:dyDescent="0.25">
      <c r="A217" s="20" t="s">
        <v>620</v>
      </c>
    </row>
    <row r="218" spans="1:1" x14ac:dyDescent="0.25">
      <c r="A218" t="s">
        <v>621</v>
      </c>
    </row>
    <row r="219" spans="1:1" x14ac:dyDescent="0.25">
      <c r="A219" t="s">
        <v>622</v>
      </c>
    </row>
    <row r="220" spans="1:1" x14ac:dyDescent="0.25">
      <c r="A220" t="s">
        <v>623</v>
      </c>
    </row>
    <row r="221" spans="1:1" x14ac:dyDescent="0.25">
      <c r="A221" t="s">
        <v>624</v>
      </c>
    </row>
    <row r="222" spans="1:1" x14ac:dyDescent="0.25">
      <c r="A222" t="s">
        <v>625</v>
      </c>
    </row>
    <row r="223" spans="1:1" x14ac:dyDescent="0.25">
      <c r="A223" t="s">
        <v>626</v>
      </c>
    </row>
    <row r="224" spans="1:1" x14ac:dyDescent="0.25">
      <c r="A224" t="s">
        <v>627</v>
      </c>
    </row>
    <row r="225" spans="1:1" x14ac:dyDescent="0.25">
      <c r="A225" t="s">
        <v>628</v>
      </c>
    </row>
    <row r="226" spans="1:1" x14ac:dyDescent="0.25">
      <c r="A226" t="s">
        <v>629</v>
      </c>
    </row>
    <row r="227" spans="1:1" x14ac:dyDescent="0.25">
      <c r="A227" t="s">
        <v>630</v>
      </c>
    </row>
    <row r="228" spans="1:1" x14ac:dyDescent="0.25">
      <c r="A228" t="s">
        <v>631</v>
      </c>
    </row>
    <row r="229" spans="1:1" x14ac:dyDescent="0.25">
      <c r="A229" s="20" t="s">
        <v>632</v>
      </c>
    </row>
    <row r="230" spans="1:1" x14ac:dyDescent="0.25">
      <c r="A230" t="s">
        <v>633</v>
      </c>
    </row>
    <row r="231" spans="1:1" x14ac:dyDescent="0.25">
      <c r="A231" t="s">
        <v>634</v>
      </c>
    </row>
    <row r="232" spans="1:1" x14ac:dyDescent="0.25">
      <c r="A232" t="s">
        <v>634</v>
      </c>
    </row>
    <row r="233" spans="1:1" x14ac:dyDescent="0.25">
      <c r="A233" t="s">
        <v>635</v>
      </c>
    </row>
    <row r="234" spans="1:1" x14ac:dyDescent="0.25">
      <c r="A234" t="s">
        <v>636</v>
      </c>
    </row>
    <row r="235" spans="1:1" x14ac:dyDescent="0.25">
      <c r="A235" t="s">
        <v>637</v>
      </c>
    </row>
    <row r="236" spans="1:1" x14ac:dyDescent="0.25">
      <c r="A236" t="s">
        <v>638</v>
      </c>
    </row>
    <row r="237" spans="1:1" x14ac:dyDescent="0.25">
      <c r="A237" t="s">
        <v>639</v>
      </c>
    </row>
    <row r="238" spans="1:1" x14ac:dyDescent="0.25">
      <c r="A238" s="20" t="s">
        <v>640</v>
      </c>
    </row>
    <row r="239" spans="1:1" x14ac:dyDescent="0.25">
      <c r="A239" t="s">
        <v>641</v>
      </c>
    </row>
    <row r="240" spans="1:1" x14ac:dyDescent="0.25">
      <c r="A240" t="s">
        <v>642</v>
      </c>
    </row>
    <row r="241" spans="1:1" x14ac:dyDescent="0.25">
      <c r="A241" t="s">
        <v>643</v>
      </c>
    </row>
    <row r="242" spans="1:1" x14ac:dyDescent="0.25">
      <c r="A242" t="s">
        <v>644</v>
      </c>
    </row>
    <row r="243" spans="1:1" x14ac:dyDescent="0.25">
      <c r="A243" t="s">
        <v>645</v>
      </c>
    </row>
    <row r="244" spans="1:1" x14ac:dyDescent="0.25">
      <c r="A244" t="s">
        <v>646</v>
      </c>
    </row>
    <row r="245" spans="1:1" x14ac:dyDescent="0.25">
      <c r="A245" t="s">
        <v>647</v>
      </c>
    </row>
    <row r="246" spans="1:1" x14ac:dyDescent="0.25">
      <c r="A246" s="20" t="s">
        <v>648</v>
      </c>
    </row>
    <row r="247" spans="1:1" x14ac:dyDescent="0.25">
      <c r="A247" t="s">
        <v>649</v>
      </c>
    </row>
    <row r="248" spans="1:1" x14ac:dyDescent="0.25">
      <c r="A248" t="s">
        <v>650</v>
      </c>
    </row>
    <row r="249" spans="1:1" x14ac:dyDescent="0.25">
      <c r="A249" t="s">
        <v>651</v>
      </c>
    </row>
    <row r="250" spans="1:1" x14ac:dyDescent="0.25">
      <c r="A250" t="s">
        <v>652</v>
      </c>
    </row>
    <row r="251" spans="1:1" x14ac:dyDescent="0.25">
      <c r="A251" t="s">
        <v>653</v>
      </c>
    </row>
    <row r="252" spans="1:1" x14ac:dyDescent="0.25">
      <c r="A252" t="s">
        <v>654</v>
      </c>
    </row>
    <row r="253" spans="1:1" x14ac:dyDescent="0.25">
      <c r="A253" s="20" t="s">
        <v>655</v>
      </c>
    </row>
    <row r="254" spans="1:1" x14ac:dyDescent="0.25">
      <c r="A254" t="s">
        <v>656</v>
      </c>
    </row>
    <row r="255" spans="1:1" x14ac:dyDescent="0.25">
      <c r="A255" t="s">
        <v>657</v>
      </c>
    </row>
    <row r="256" spans="1:1" x14ac:dyDescent="0.25">
      <c r="A256" t="s">
        <v>658</v>
      </c>
    </row>
    <row r="257" spans="1:1" x14ac:dyDescent="0.25">
      <c r="A257" t="s">
        <v>659</v>
      </c>
    </row>
    <row r="258" spans="1:1" x14ac:dyDescent="0.25">
      <c r="A258" t="s">
        <v>660</v>
      </c>
    </row>
    <row r="259" spans="1:1" x14ac:dyDescent="0.25">
      <c r="A259" t="s">
        <v>661</v>
      </c>
    </row>
    <row r="260" spans="1:1" x14ac:dyDescent="0.25">
      <c r="A260" t="s">
        <v>662</v>
      </c>
    </row>
    <row r="261" spans="1:1" x14ac:dyDescent="0.25">
      <c r="A261" t="s">
        <v>663</v>
      </c>
    </row>
    <row r="262" spans="1:1" x14ac:dyDescent="0.25">
      <c r="A262" t="s">
        <v>664</v>
      </c>
    </row>
    <row r="263" spans="1:1" x14ac:dyDescent="0.25">
      <c r="A263" s="20" t="s">
        <v>665</v>
      </c>
    </row>
    <row r="264" spans="1:1" x14ac:dyDescent="0.25">
      <c r="A264" t="s">
        <v>666</v>
      </c>
    </row>
    <row r="265" spans="1:1" x14ac:dyDescent="0.25">
      <c r="A265" t="s">
        <v>667</v>
      </c>
    </row>
    <row r="266" spans="1:1" x14ac:dyDescent="0.25">
      <c r="A266" t="s">
        <v>668</v>
      </c>
    </row>
    <row r="267" spans="1:1" x14ac:dyDescent="0.25">
      <c r="A267" t="s">
        <v>669</v>
      </c>
    </row>
    <row r="268" spans="1:1" x14ac:dyDescent="0.25">
      <c r="A268" s="20" t="s">
        <v>670</v>
      </c>
    </row>
    <row r="269" spans="1:1" x14ac:dyDescent="0.25">
      <c r="A269" t="s">
        <v>671</v>
      </c>
    </row>
    <row r="270" spans="1:1" x14ac:dyDescent="0.25">
      <c r="A270" t="s">
        <v>659</v>
      </c>
    </row>
    <row r="271" spans="1:1" x14ac:dyDescent="0.25">
      <c r="A271" t="s">
        <v>672</v>
      </c>
    </row>
    <row r="272" spans="1:1" x14ac:dyDescent="0.25">
      <c r="A272" t="s">
        <v>660</v>
      </c>
    </row>
    <row r="273" spans="1:1" x14ac:dyDescent="0.25">
      <c r="A273" t="s">
        <v>661</v>
      </c>
    </row>
    <row r="274" spans="1:1" x14ac:dyDescent="0.25">
      <c r="A274" t="s">
        <v>663</v>
      </c>
    </row>
    <row r="275" spans="1:1" x14ac:dyDescent="0.25">
      <c r="A275" s="20" t="s">
        <v>664</v>
      </c>
    </row>
    <row r="276" spans="1:1" x14ac:dyDescent="0.25">
      <c r="A276" t="s">
        <v>673</v>
      </c>
    </row>
    <row r="277" spans="1:1" x14ac:dyDescent="0.25">
      <c r="A277" t="s">
        <v>674</v>
      </c>
    </row>
    <row r="278" spans="1:1" x14ac:dyDescent="0.25">
      <c r="A278" t="s">
        <v>675</v>
      </c>
    </row>
    <row r="279" spans="1:1" x14ac:dyDescent="0.25">
      <c r="A279" t="s">
        <v>676</v>
      </c>
    </row>
    <row r="280" spans="1:1" x14ac:dyDescent="0.25">
      <c r="A280" t="s">
        <v>677</v>
      </c>
    </row>
    <row r="281" spans="1:1" x14ac:dyDescent="0.25">
      <c r="A281" t="s">
        <v>678</v>
      </c>
    </row>
    <row r="282" spans="1:1" x14ac:dyDescent="0.25">
      <c r="A282" t="s">
        <v>679</v>
      </c>
    </row>
    <row r="283" spans="1:1" x14ac:dyDescent="0.25">
      <c r="A283" s="20" t="s">
        <v>680</v>
      </c>
    </row>
    <row r="284" spans="1:1" x14ac:dyDescent="0.25">
      <c r="A284" t="s">
        <v>681</v>
      </c>
    </row>
    <row r="285" spans="1:1" x14ac:dyDescent="0.25">
      <c r="A285" t="s">
        <v>682</v>
      </c>
    </row>
    <row r="286" spans="1:1" x14ac:dyDescent="0.25">
      <c r="A286" t="s">
        <v>683</v>
      </c>
    </row>
    <row r="287" spans="1:1" x14ac:dyDescent="0.25">
      <c r="A287" t="s">
        <v>684</v>
      </c>
    </row>
    <row r="288" spans="1:1" x14ac:dyDescent="0.25">
      <c r="A288" t="s">
        <v>685</v>
      </c>
    </row>
    <row r="289" spans="1:1" x14ac:dyDescent="0.25">
      <c r="A289" t="s">
        <v>686</v>
      </c>
    </row>
    <row r="290" spans="1:1" x14ac:dyDescent="0.25">
      <c r="A290" t="s">
        <v>687</v>
      </c>
    </row>
    <row r="291" spans="1:1" x14ac:dyDescent="0.25">
      <c r="A291" s="20" t="s">
        <v>688</v>
      </c>
    </row>
    <row r="292" spans="1:1" x14ac:dyDescent="0.25">
      <c r="A292" t="s">
        <v>689</v>
      </c>
    </row>
    <row r="293" spans="1:1" x14ac:dyDescent="0.25">
      <c r="A293" t="s">
        <v>690</v>
      </c>
    </row>
    <row r="294" spans="1:1" x14ac:dyDescent="0.25">
      <c r="A294" t="s">
        <v>691</v>
      </c>
    </row>
    <row r="295" spans="1:1" x14ac:dyDescent="0.25">
      <c r="A295" t="s">
        <v>692</v>
      </c>
    </row>
    <row r="296" spans="1:1" x14ac:dyDescent="0.25">
      <c r="A296" t="s">
        <v>693</v>
      </c>
    </row>
    <row r="297" spans="1:1" x14ac:dyDescent="0.25">
      <c r="A297" t="s">
        <v>694</v>
      </c>
    </row>
    <row r="298" spans="1:1" x14ac:dyDescent="0.25">
      <c r="A298" t="s">
        <v>695</v>
      </c>
    </row>
    <row r="299" spans="1:1" x14ac:dyDescent="0.25">
      <c r="A299" t="s">
        <v>696</v>
      </c>
    </row>
    <row r="300" spans="1:1" x14ac:dyDescent="0.25">
      <c r="A300" s="20" t="s">
        <v>697</v>
      </c>
    </row>
    <row r="301" spans="1:1" x14ac:dyDescent="0.25">
      <c r="A301" t="s">
        <v>698</v>
      </c>
    </row>
    <row r="302" spans="1:1" x14ac:dyDescent="0.25">
      <c r="A302" t="s">
        <v>699</v>
      </c>
    </row>
    <row r="303" spans="1:1" x14ac:dyDescent="0.25">
      <c r="A303" t="s">
        <v>700</v>
      </c>
    </row>
    <row r="304" spans="1:1" x14ac:dyDescent="0.25">
      <c r="A304" t="s">
        <v>701</v>
      </c>
    </row>
    <row r="305" spans="1:1" x14ac:dyDescent="0.25">
      <c r="A305" s="20" t="s">
        <v>702</v>
      </c>
    </row>
    <row r="306" spans="1:1" x14ac:dyDescent="0.25">
      <c r="A306" t="s">
        <v>703</v>
      </c>
    </row>
    <row r="307" spans="1:1" x14ac:dyDescent="0.25">
      <c r="A307" t="s">
        <v>704</v>
      </c>
    </row>
    <row r="308" spans="1:1" x14ac:dyDescent="0.25">
      <c r="A308" t="s">
        <v>705</v>
      </c>
    </row>
    <row r="309" spans="1:1" x14ac:dyDescent="0.25">
      <c r="A309" t="s">
        <v>537</v>
      </c>
    </row>
    <row r="310" spans="1:1" x14ac:dyDescent="0.25">
      <c r="A310" s="20" t="s">
        <v>538</v>
      </c>
    </row>
    <row r="311" spans="1:1" x14ac:dyDescent="0.25">
      <c r="A311" t="s">
        <v>706</v>
      </c>
    </row>
    <row r="312" spans="1:1" x14ac:dyDescent="0.25">
      <c r="A312" t="s">
        <v>707</v>
      </c>
    </row>
    <row r="313" spans="1:1" x14ac:dyDescent="0.25">
      <c r="A313" t="s">
        <v>708</v>
      </c>
    </row>
    <row r="314" spans="1:1" x14ac:dyDescent="0.25">
      <c r="A314" t="s">
        <v>709</v>
      </c>
    </row>
    <row r="315" spans="1:1" x14ac:dyDescent="0.25">
      <c r="A315" t="s">
        <v>710</v>
      </c>
    </row>
    <row r="316" spans="1:1" x14ac:dyDescent="0.25">
      <c r="A316" t="s">
        <v>711</v>
      </c>
    </row>
    <row r="317" spans="1:1" x14ac:dyDescent="0.25">
      <c r="A317" s="20" t="s">
        <v>712</v>
      </c>
    </row>
    <row r="318" spans="1:1" x14ac:dyDescent="0.25">
      <c r="A318" t="s">
        <v>713</v>
      </c>
    </row>
    <row r="319" spans="1:1" x14ac:dyDescent="0.25">
      <c r="A319" t="s">
        <v>714</v>
      </c>
    </row>
    <row r="320" spans="1:1" x14ac:dyDescent="0.25">
      <c r="A320" t="s">
        <v>715</v>
      </c>
    </row>
    <row r="321" spans="1:1" x14ac:dyDescent="0.25">
      <c r="A321" t="s">
        <v>716</v>
      </c>
    </row>
    <row r="322" spans="1:1" x14ac:dyDescent="0.25">
      <c r="A322" s="20" t="s">
        <v>717</v>
      </c>
    </row>
    <row r="323" spans="1:1" x14ac:dyDescent="0.25">
      <c r="A323" t="s">
        <v>718</v>
      </c>
    </row>
    <row r="324" spans="1:1" x14ac:dyDescent="0.25">
      <c r="A324" t="s">
        <v>719</v>
      </c>
    </row>
    <row r="325" spans="1:1" x14ac:dyDescent="0.25">
      <c r="A325" t="s">
        <v>720</v>
      </c>
    </row>
    <row r="326" spans="1:1" x14ac:dyDescent="0.25">
      <c r="A326" t="s">
        <v>721</v>
      </c>
    </row>
    <row r="327" spans="1:1" x14ac:dyDescent="0.25">
      <c r="A327" t="s">
        <v>722</v>
      </c>
    </row>
    <row r="328" spans="1:1" x14ac:dyDescent="0.25">
      <c r="A328" t="s">
        <v>723</v>
      </c>
    </row>
    <row r="329" spans="1:1" x14ac:dyDescent="0.25">
      <c r="A329" t="s">
        <v>724</v>
      </c>
    </row>
    <row r="330" spans="1:1" x14ac:dyDescent="0.25">
      <c r="A330" s="20" t="s">
        <v>725</v>
      </c>
    </row>
    <row r="331" spans="1:1" x14ac:dyDescent="0.25">
      <c r="A331" t="s">
        <v>726</v>
      </c>
    </row>
    <row r="332" spans="1:1" x14ac:dyDescent="0.25">
      <c r="A332" t="s">
        <v>727</v>
      </c>
    </row>
    <row r="333" spans="1:1" x14ac:dyDescent="0.25">
      <c r="A333" t="s">
        <v>421</v>
      </c>
    </row>
    <row r="334" spans="1:1" x14ac:dyDescent="0.25">
      <c r="A334" t="s">
        <v>422</v>
      </c>
    </row>
    <row r="335" spans="1:1" x14ac:dyDescent="0.25">
      <c r="A335" s="20" t="s">
        <v>423</v>
      </c>
    </row>
    <row r="336" spans="1:1" x14ac:dyDescent="0.25">
      <c r="A336" t="s">
        <v>728</v>
      </c>
    </row>
    <row r="337" spans="1:1" x14ac:dyDescent="0.25">
      <c r="A337" t="s">
        <v>729</v>
      </c>
    </row>
    <row r="338" spans="1:1" x14ac:dyDescent="0.25">
      <c r="A338" t="s">
        <v>730</v>
      </c>
    </row>
    <row r="339" spans="1:1" x14ac:dyDescent="0.25">
      <c r="A339" t="s">
        <v>731</v>
      </c>
    </row>
    <row r="340" spans="1:1" x14ac:dyDescent="0.25">
      <c r="A340" t="s">
        <v>732</v>
      </c>
    </row>
    <row r="341" spans="1:1" x14ac:dyDescent="0.25">
      <c r="A341" t="s">
        <v>733</v>
      </c>
    </row>
    <row r="342" spans="1:1" x14ac:dyDescent="0.25">
      <c r="A342" t="s">
        <v>734</v>
      </c>
    </row>
    <row r="343" spans="1:1" x14ac:dyDescent="0.25">
      <c r="A343" t="s">
        <v>735</v>
      </c>
    </row>
    <row r="344" spans="1:1" x14ac:dyDescent="0.25">
      <c r="A344" t="s">
        <v>736</v>
      </c>
    </row>
    <row r="345" spans="1:1" x14ac:dyDescent="0.25">
      <c r="A345" t="s">
        <v>737</v>
      </c>
    </row>
    <row r="346" spans="1:1" x14ac:dyDescent="0.25">
      <c r="A346" t="s">
        <v>738</v>
      </c>
    </row>
    <row r="347" spans="1:1" x14ac:dyDescent="0.25">
      <c r="A347" s="20" t="s">
        <v>739</v>
      </c>
    </row>
    <row r="348" spans="1:1" x14ac:dyDescent="0.25">
      <c r="A348" t="s">
        <v>740</v>
      </c>
    </row>
    <row r="349" spans="1:1" x14ac:dyDescent="0.25">
      <c r="A349" t="s">
        <v>741</v>
      </c>
    </row>
    <row r="350" spans="1:1" x14ac:dyDescent="0.25">
      <c r="A350" t="s">
        <v>742</v>
      </c>
    </row>
    <row r="351" spans="1:1" x14ac:dyDescent="0.25">
      <c r="A351" t="s">
        <v>743</v>
      </c>
    </row>
    <row r="352" spans="1:1" x14ac:dyDescent="0.25">
      <c r="A352" t="s">
        <v>744</v>
      </c>
    </row>
    <row r="353" spans="1:1" x14ac:dyDescent="0.25">
      <c r="A353" t="s">
        <v>745</v>
      </c>
    </row>
    <row r="354" spans="1:1" x14ac:dyDescent="0.25">
      <c r="A354" t="s">
        <v>746</v>
      </c>
    </row>
    <row r="355" spans="1:1" x14ac:dyDescent="0.25">
      <c r="A355" s="20" t="s">
        <v>747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CC72-F639-4BA7-ACD7-5204AC2BE402}">
  <dimension ref="A1:U139"/>
  <sheetViews>
    <sheetView topLeftCell="D109" workbookViewId="0">
      <selection activeCell="B123" sqref="B123:J123"/>
    </sheetView>
  </sheetViews>
  <sheetFormatPr defaultRowHeight="15" x14ac:dyDescent="0.25"/>
  <cols>
    <col min="2" max="2" width="19.140625" customWidth="1"/>
    <col min="3" max="3" width="25.28515625" customWidth="1"/>
    <col min="4" max="4" width="22.5703125" customWidth="1"/>
    <col min="5" max="5" width="29.140625" customWidth="1"/>
    <col min="6" max="6" width="19.5703125" customWidth="1"/>
    <col min="7" max="7" width="25.85546875" customWidth="1"/>
    <col min="8" max="8" width="27.7109375" customWidth="1"/>
    <col min="9" max="9" width="24.140625" customWidth="1"/>
    <col min="10" max="10" width="25.85546875" customWidth="1"/>
    <col min="14" max="14" width="10.42578125" bestFit="1" customWidth="1"/>
    <col min="17" max="17" width="9.140625" style="12"/>
  </cols>
  <sheetData>
    <row r="1" spans="1:21" x14ac:dyDescent="0.25">
      <c r="A1" t="s">
        <v>62</v>
      </c>
      <c r="B1" t="s">
        <v>138</v>
      </c>
    </row>
    <row r="2" spans="1:21" x14ac:dyDescent="0.25">
      <c r="A2" t="s">
        <v>139</v>
      </c>
      <c r="B2" s="23">
        <f>DATE(YEAR(C2), MONTH(C2), DAY(C2))</f>
        <v>43764</v>
      </c>
      <c r="C2" s="21" t="s">
        <v>412</v>
      </c>
      <c r="D2" s="21" t="s">
        <v>413</v>
      </c>
      <c r="E2" s="21" t="s">
        <v>414</v>
      </c>
      <c r="F2" s="21" t="s">
        <v>415</v>
      </c>
      <c r="G2" s="21" t="s">
        <v>416</v>
      </c>
      <c r="H2" s="21" t="s">
        <v>417</v>
      </c>
      <c r="I2" s="21" t="s">
        <v>418</v>
      </c>
      <c r="J2" s="21" t="s">
        <v>419</v>
      </c>
      <c r="K2" s="21"/>
      <c r="L2" s="21"/>
      <c r="M2" s="21"/>
      <c r="N2" s="21"/>
      <c r="O2" s="21"/>
      <c r="P2" s="21"/>
      <c r="Q2" s="24"/>
      <c r="R2" s="21"/>
      <c r="S2" s="21"/>
      <c r="U2" s="22"/>
    </row>
    <row r="3" spans="1:21" x14ac:dyDescent="0.25">
      <c r="A3" t="s">
        <v>140</v>
      </c>
      <c r="B3" s="23">
        <f t="shared" ref="B3:B46" si="0">DATE(YEAR(C3), MONTH(C3), DAY(C3))</f>
        <v>43651</v>
      </c>
      <c r="C3" s="21" t="s">
        <v>420</v>
      </c>
      <c r="D3" s="21" t="s">
        <v>421</v>
      </c>
      <c r="E3" s="21" t="s">
        <v>422</v>
      </c>
      <c r="F3" s="21" t="s">
        <v>423</v>
      </c>
      <c r="G3" s="21" t="s">
        <v>424</v>
      </c>
      <c r="H3" s="21" t="s">
        <v>425</v>
      </c>
      <c r="I3" s="21" t="s">
        <v>426</v>
      </c>
      <c r="J3" s="21"/>
      <c r="K3" s="21"/>
      <c r="L3" s="21"/>
      <c r="M3" s="21"/>
      <c r="N3" s="21"/>
      <c r="O3" s="21"/>
      <c r="P3" s="21"/>
      <c r="Q3" s="24"/>
      <c r="R3" s="21"/>
      <c r="S3" s="21"/>
    </row>
    <row r="4" spans="1:21" x14ac:dyDescent="0.25">
      <c r="A4" t="s">
        <v>141</v>
      </c>
      <c r="B4" s="23">
        <f t="shared" si="0"/>
        <v>43489</v>
      </c>
      <c r="C4" s="21" t="s">
        <v>427</v>
      </c>
      <c r="D4" s="21" t="s">
        <v>428</v>
      </c>
      <c r="E4" s="21" t="s">
        <v>429</v>
      </c>
      <c r="F4" s="21" t="s">
        <v>430</v>
      </c>
      <c r="G4" s="21" t="s">
        <v>431</v>
      </c>
      <c r="H4" s="21" t="s">
        <v>432</v>
      </c>
      <c r="I4" s="21"/>
      <c r="J4" s="21"/>
      <c r="K4" s="21"/>
      <c r="L4" s="21"/>
      <c r="M4" s="21"/>
      <c r="N4" s="21"/>
      <c r="O4" s="21"/>
      <c r="P4" s="21"/>
      <c r="Q4" s="24"/>
      <c r="R4" s="21"/>
      <c r="S4" s="21"/>
    </row>
    <row r="5" spans="1:21" x14ac:dyDescent="0.25">
      <c r="A5" t="s">
        <v>142</v>
      </c>
      <c r="B5" s="23">
        <f t="shared" si="0"/>
        <v>43548</v>
      </c>
      <c r="C5" s="21" t="s">
        <v>433</v>
      </c>
      <c r="D5" s="21" t="s">
        <v>434</v>
      </c>
      <c r="E5" s="21" t="s">
        <v>435</v>
      </c>
      <c r="F5" s="21" t="s">
        <v>436</v>
      </c>
      <c r="G5" s="21" t="s">
        <v>437</v>
      </c>
      <c r="H5" s="21" t="s">
        <v>438</v>
      </c>
      <c r="I5" s="21"/>
      <c r="J5" s="21"/>
      <c r="K5" s="21"/>
      <c r="L5" s="21"/>
      <c r="M5" s="21"/>
      <c r="N5" s="21"/>
      <c r="O5" s="21"/>
      <c r="P5" s="21"/>
      <c r="Q5" s="24"/>
      <c r="R5" s="21"/>
      <c r="S5" s="21"/>
    </row>
    <row r="6" spans="1:21" x14ac:dyDescent="0.25">
      <c r="A6" t="s">
        <v>143</v>
      </c>
      <c r="B6" s="23">
        <f t="shared" si="0"/>
        <v>43526</v>
      </c>
      <c r="C6" s="21" t="s">
        <v>439</v>
      </c>
      <c r="D6" s="21" t="s">
        <v>440</v>
      </c>
      <c r="E6" s="21" t="s">
        <v>441</v>
      </c>
      <c r="F6" s="21" t="s">
        <v>442</v>
      </c>
      <c r="G6" s="21" t="s">
        <v>443</v>
      </c>
      <c r="H6" s="21" t="s">
        <v>444</v>
      </c>
      <c r="I6" s="21"/>
      <c r="J6" s="21"/>
      <c r="K6" s="21"/>
      <c r="L6" s="21"/>
      <c r="M6" s="21"/>
      <c r="N6" s="21"/>
      <c r="O6" s="21"/>
      <c r="P6" s="21"/>
      <c r="Q6" s="24"/>
      <c r="R6" s="21"/>
      <c r="S6" s="21"/>
    </row>
    <row r="7" spans="1:21" x14ac:dyDescent="0.25">
      <c r="A7" t="s">
        <v>144</v>
      </c>
      <c r="B7" s="23">
        <f t="shared" si="0"/>
        <v>43816</v>
      </c>
      <c r="C7" s="21" t="s">
        <v>445</v>
      </c>
      <c r="D7" s="21" t="s">
        <v>446</v>
      </c>
      <c r="E7" s="21" t="s">
        <v>447</v>
      </c>
      <c r="F7" s="21" t="s">
        <v>448</v>
      </c>
      <c r="G7" s="21" t="s">
        <v>449</v>
      </c>
      <c r="H7" s="21" t="s">
        <v>450</v>
      </c>
      <c r="I7" s="21"/>
      <c r="J7" s="21"/>
      <c r="K7" s="21"/>
      <c r="L7" s="21"/>
      <c r="M7" s="21"/>
      <c r="N7" s="21"/>
      <c r="O7" s="21"/>
      <c r="P7" s="21"/>
      <c r="Q7" s="24"/>
      <c r="R7" s="21"/>
      <c r="S7" s="21"/>
    </row>
    <row r="8" spans="1:21" x14ac:dyDescent="0.25">
      <c r="A8" t="s">
        <v>145</v>
      </c>
      <c r="B8" s="23">
        <f t="shared" si="0"/>
        <v>43540</v>
      </c>
      <c r="C8" s="21" t="s">
        <v>451</v>
      </c>
      <c r="D8" s="21" t="s">
        <v>452</v>
      </c>
      <c r="E8" s="21" t="s">
        <v>453</v>
      </c>
      <c r="F8" s="21" t="s">
        <v>454</v>
      </c>
      <c r="G8" s="21" t="s">
        <v>455</v>
      </c>
      <c r="H8" s="21" t="s">
        <v>456</v>
      </c>
      <c r="I8" s="21" t="s">
        <v>457</v>
      </c>
      <c r="J8" s="21" t="s">
        <v>458</v>
      </c>
      <c r="K8" s="21" t="s">
        <v>459</v>
      </c>
      <c r="L8" s="21" t="s">
        <v>460</v>
      </c>
      <c r="M8" s="21" t="s">
        <v>461</v>
      </c>
      <c r="N8" s="21" t="s">
        <v>462</v>
      </c>
      <c r="O8" s="21" t="s">
        <v>434</v>
      </c>
      <c r="P8" s="21" t="s">
        <v>436</v>
      </c>
      <c r="Q8" s="24" t="s">
        <v>437</v>
      </c>
      <c r="R8" s="21" t="s">
        <v>438</v>
      </c>
      <c r="S8" s="21"/>
    </row>
    <row r="9" spans="1:21" x14ac:dyDescent="0.25">
      <c r="A9" t="s">
        <v>146</v>
      </c>
      <c r="B9" s="23">
        <f t="shared" si="0"/>
        <v>43105</v>
      </c>
      <c r="C9" s="21" t="s">
        <v>463</v>
      </c>
      <c r="D9" s="21" t="s">
        <v>464</v>
      </c>
      <c r="E9" s="21" t="s">
        <v>465</v>
      </c>
      <c r="F9" s="21" t="s">
        <v>466</v>
      </c>
      <c r="G9" s="21" t="s">
        <v>467</v>
      </c>
      <c r="H9" s="21" t="s">
        <v>468</v>
      </c>
      <c r="I9" s="21" t="s">
        <v>469</v>
      </c>
      <c r="J9" s="21" t="s">
        <v>470</v>
      </c>
      <c r="K9" s="21" t="s">
        <v>471</v>
      </c>
      <c r="L9" s="21"/>
      <c r="M9" s="21"/>
      <c r="N9" s="21"/>
      <c r="O9" s="21"/>
      <c r="P9" s="21"/>
      <c r="Q9" s="24"/>
      <c r="R9" s="21"/>
      <c r="S9" s="21"/>
    </row>
    <row r="10" spans="1:21" s="4" customFormat="1" x14ac:dyDescent="0.25">
      <c r="A10" s="4" t="s">
        <v>147</v>
      </c>
      <c r="B10" s="26">
        <f t="shared" si="0"/>
        <v>43287</v>
      </c>
      <c r="C10" s="27" t="s">
        <v>472</v>
      </c>
      <c r="D10" s="27" t="s">
        <v>472</v>
      </c>
      <c r="E10" s="25" t="s">
        <v>473</v>
      </c>
      <c r="F10" s="25" t="s">
        <v>474</v>
      </c>
      <c r="G10" s="25" t="s">
        <v>475</v>
      </c>
      <c r="H10" s="25" t="s">
        <v>476</v>
      </c>
      <c r="I10" s="25" t="s">
        <v>477</v>
      </c>
      <c r="J10" s="25" t="s">
        <v>478</v>
      </c>
      <c r="K10" s="25"/>
      <c r="L10" s="25"/>
      <c r="M10" s="25"/>
      <c r="N10" s="25"/>
      <c r="O10" s="25"/>
      <c r="P10" s="25"/>
      <c r="Q10" s="25"/>
      <c r="R10" s="25"/>
      <c r="S10" s="25"/>
    </row>
    <row r="11" spans="1:21" x14ac:dyDescent="0.25">
      <c r="A11" t="s">
        <v>148</v>
      </c>
      <c r="B11" s="23">
        <f t="shared" si="0"/>
        <v>43376</v>
      </c>
      <c r="C11" s="21" t="s">
        <v>479</v>
      </c>
      <c r="D11" s="21" t="s">
        <v>480</v>
      </c>
      <c r="E11" s="21" t="s">
        <v>481</v>
      </c>
      <c r="F11" s="21" t="s">
        <v>482</v>
      </c>
      <c r="G11" s="21" t="s">
        <v>483</v>
      </c>
      <c r="H11" s="21" t="s">
        <v>484</v>
      </c>
      <c r="I11" s="21" t="s">
        <v>485</v>
      </c>
      <c r="J11" s="21" t="s">
        <v>486</v>
      </c>
      <c r="K11" s="21"/>
      <c r="L11" s="21"/>
      <c r="M11" s="21"/>
      <c r="N11" s="21"/>
      <c r="O11" s="21"/>
      <c r="P11" s="21"/>
      <c r="Q11" s="24"/>
      <c r="R11" s="21"/>
      <c r="S11" s="21"/>
    </row>
    <row r="12" spans="1:21" x14ac:dyDescent="0.25">
      <c r="A12" t="s">
        <v>149</v>
      </c>
      <c r="B12" s="23">
        <f t="shared" si="0"/>
        <v>43269</v>
      </c>
      <c r="C12" s="21" t="s">
        <v>487</v>
      </c>
      <c r="D12" s="21" t="s">
        <v>488</v>
      </c>
      <c r="E12" s="21" t="s">
        <v>489</v>
      </c>
      <c r="F12" s="21" t="s">
        <v>490</v>
      </c>
      <c r="G12" s="21" t="s">
        <v>491</v>
      </c>
      <c r="H12" s="21" t="s">
        <v>492</v>
      </c>
      <c r="I12" s="21" t="s">
        <v>493</v>
      </c>
      <c r="J12" s="21"/>
      <c r="K12" s="21"/>
      <c r="L12" s="21"/>
      <c r="M12" s="21"/>
      <c r="N12" s="21"/>
      <c r="O12" s="21"/>
      <c r="P12" s="21"/>
      <c r="Q12" s="24"/>
      <c r="R12" s="21"/>
      <c r="S12" s="21"/>
    </row>
    <row r="13" spans="1:21" x14ac:dyDescent="0.25">
      <c r="A13" t="s">
        <v>150</v>
      </c>
      <c r="B13" s="23">
        <f t="shared" si="0"/>
        <v>43519</v>
      </c>
      <c r="C13" s="21" t="s">
        <v>494</v>
      </c>
      <c r="D13" s="21" t="s">
        <v>495</v>
      </c>
      <c r="E13" s="21" t="s">
        <v>496</v>
      </c>
      <c r="F13" s="21" t="s">
        <v>497</v>
      </c>
      <c r="G13" s="21" t="s">
        <v>498</v>
      </c>
      <c r="H13" s="21" t="s">
        <v>499</v>
      </c>
      <c r="I13" s="21" t="s">
        <v>500</v>
      </c>
      <c r="J13" s="21" t="s">
        <v>501</v>
      </c>
      <c r="K13" s="21" t="s">
        <v>502</v>
      </c>
      <c r="L13" s="21" t="s">
        <v>503</v>
      </c>
      <c r="M13" s="21" t="s">
        <v>504</v>
      </c>
      <c r="N13" s="21" t="s">
        <v>505</v>
      </c>
      <c r="O13" s="21" t="s">
        <v>506</v>
      </c>
      <c r="P13" s="21"/>
      <c r="Q13" s="24"/>
      <c r="R13" s="21"/>
      <c r="S13" s="21"/>
    </row>
    <row r="14" spans="1:21" x14ac:dyDescent="0.25">
      <c r="A14" t="s">
        <v>151</v>
      </c>
      <c r="B14" s="23">
        <f t="shared" si="0"/>
        <v>43693</v>
      </c>
      <c r="C14" s="21" t="s">
        <v>507</v>
      </c>
      <c r="D14" s="21" t="s">
        <v>508</v>
      </c>
      <c r="E14" s="21" t="s">
        <v>509</v>
      </c>
      <c r="F14" s="21" t="s">
        <v>510</v>
      </c>
      <c r="G14" s="21" t="s">
        <v>511</v>
      </c>
      <c r="H14" s="21" t="s">
        <v>512</v>
      </c>
      <c r="I14" s="21" t="s">
        <v>513</v>
      </c>
      <c r="J14" s="21" t="s">
        <v>514</v>
      </c>
      <c r="K14" s="21" t="s">
        <v>515</v>
      </c>
      <c r="L14" s="21" t="s">
        <v>516</v>
      </c>
      <c r="M14" s="21"/>
      <c r="N14" s="21"/>
      <c r="O14" s="21"/>
      <c r="P14" s="21"/>
      <c r="Q14" s="24"/>
      <c r="R14" s="21"/>
      <c r="S14" s="21"/>
    </row>
    <row r="15" spans="1:21" x14ac:dyDescent="0.25">
      <c r="A15" t="s">
        <v>152</v>
      </c>
      <c r="B15" s="23">
        <f t="shared" si="0"/>
        <v>43678</v>
      </c>
      <c r="C15" s="21" t="s">
        <v>517</v>
      </c>
      <c r="D15" s="21" t="s">
        <v>518</v>
      </c>
      <c r="E15" s="21" t="s">
        <v>519</v>
      </c>
      <c r="F15" s="21" t="s">
        <v>520</v>
      </c>
      <c r="G15" s="21" t="s">
        <v>521</v>
      </c>
      <c r="H15" s="21"/>
      <c r="I15" s="21"/>
      <c r="J15" s="21"/>
      <c r="K15" s="21"/>
      <c r="L15" s="21"/>
      <c r="M15" s="21"/>
      <c r="N15" s="21"/>
      <c r="O15" s="21"/>
      <c r="P15" s="21"/>
      <c r="Q15" s="24"/>
      <c r="R15" s="21"/>
      <c r="S15" s="21"/>
    </row>
    <row r="16" spans="1:21" x14ac:dyDescent="0.25">
      <c r="A16" t="s">
        <v>153</v>
      </c>
      <c r="B16" s="23">
        <f t="shared" si="0"/>
        <v>43161</v>
      </c>
      <c r="C16" s="21" t="s">
        <v>522</v>
      </c>
      <c r="D16" s="21" t="s">
        <v>523</v>
      </c>
      <c r="E16" s="21" t="s">
        <v>524</v>
      </c>
      <c r="F16" s="21" t="s">
        <v>525</v>
      </c>
      <c r="G16" s="21" t="s">
        <v>526</v>
      </c>
      <c r="H16" s="21"/>
      <c r="I16" s="21"/>
      <c r="J16" s="21"/>
      <c r="K16" s="21"/>
      <c r="L16" s="21"/>
      <c r="M16" s="21"/>
      <c r="N16" s="21"/>
      <c r="O16" s="21"/>
      <c r="P16" s="21"/>
      <c r="Q16" s="24"/>
      <c r="R16" s="21"/>
      <c r="S16" s="21"/>
    </row>
    <row r="17" spans="1:19" x14ac:dyDescent="0.25">
      <c r="A17" t="s">
        <v>154</v>
      </c>
      <c r="B17" s="23">
        <f t="shared" si="0"/>
        <v>43265</v>
      </c>
      <c r="C17" s="21" t="s">
        <v>527</v>
      </c>
      <c r="D17" s="21" t="s">
        <v>528</v>
      </c>
      <c r="E17" s="21" t="s">
        <v>529</v>
      </c>
      <c r="F17" s="21" t="s">
        <v>530</v>
      </c>
      <c r="G17" s="21" t="s">
        <v>531</v>
      </c>
      <c r="H17" s="21" t="s">
        <v>532</v>
      </c>
      <c r="I17" s="21" t="s">
        <v>533</v>
      </c>
      <c r="J17" s="21"/>
      <c r="K17" s="21"/>
      <c r="L17" s="21"/>
      <c r="M17" s="21"/>
      <c r="N17" s="21"/>
      <c r="O17" s="21"/>
      <c r="P17" s="21"/>
      <c r="Q17" s="24"/>
      <c r="R17" s="21"/>
      <c r="S17" s="21"/>
    </row>
    <row r="18" spans="1:19" x14ac:dyDescent="0.25">
      <c r="A18" t="s">
        <v>155</v>
      </c>
      <c r="B18" s="23">
        <f t="shared" si="0"/>
        <v>43229</v>
      </c>
      <c r="C18" s="21" t="s">
        <v>534</v>
      </c>
      <c r="D18" s="21" t="s">
        <v>535</v>
      </c>
      <c r="E18" s="21" t="s">
        <v>536</v>
      </c>
      <c r="F18" s="21" t="s">
        <v>537</v>
      </c>
      <c r="G18" s="21" t="s">
        <v>538</v>
      </c>
      <c r="H18" s="21"/>
      <c r="I18" s="21"/>
      <c r="J18" s="21"/>
      <c r="K18" s="21"/>
      <c r="L18" s="21"/>
      <c r="M18" s="21"/>
      <c r="N18" s="21"/>
      <c r="O18" s="21"/>
      <c r="P18" s="21"/>
      <c r="Q18" s="24"/>
      <c r="R18" s="21"/>
      <c r="S18" s="21"/>
    </row>
    <row r="19" spans="1:19" x14ac:dyDescent="0.25">
      <c r="A19" t="s">
        <v>156</v>
      </c>
      <c r="B19" s="23">
        <f t="shared" si="0"/>
        <v>43380</v>
      </c>
      <c r="C19" s="21" t="s">
        <v>539</v>
      </c>
      <c r="D19" s="21" t="s">
        <v>540</v>
      </c>
      <c r="E19" s="21" t="s">
        <v>485</v>
      </c>
      <c r="F19" s="21" t="s">
        <v>486</v>
      </c>
      <c r="G19" s="21" t="s">
        <v>541</v>
      </c>
      <c r="H19" s="21" t="s">
        <v>542</v>
      </c>
      <c r="I19" s="21" t="s">
        <v>543</v>
      </c>
      <c r="J19" s="21" t="s">
        <v>544</v>
      </c>
      <c r="K19" s="21" t="s">
        <v>545</v>
      </c>
      <c r="L19" s="21" t="s">
        <v>546</v>
      </c>
      <c r="M19" s="21" t="s">
        <v>547</v>
      </c>
      <c r="N19" s="21"/>
      <c r="O19" s="21"/>
      <c r="P19" s="21"/>
      <c r="Q19" s="24"/>
      <c r="R19" s="21"/>
      <c r="S19" s="21"/>
    </row>
    <row r="20" spans="1:19" x14ac:dyDescent="0.25">
      <c r="A20" t="s">
        <v>157</v>
      </c>
      <c r="B20" s="23">
        <f t="shared" si="0"/>
        <v>43395</v>
      </c>
      <c r="C20" s="21" t="s">
        <v>548</v>
      </c>
      <c r="D20" s="21" t="s">
        <v>549</v>
      </c>
      <c r="E20" s="21" t="s">
        <v>550</v>
      </c>
      <c r="F20" s="21" t="s">
        <v>551</v>
      </c>
      <c r="G20" s="21" t="s">
        <v>552</v>
      </c>
      <c r="H20" s="21" t="s">
        <v>553</v>
      </c>
      <c r="I20" s="21" t="s">
        <v>554</v>
      </c>
      <c r="J20" s="21" t="s">
        <v>555</v>
      </c>
      <c r="K20" s="21" t="s">
        <v>556</v>
      </c>
      <c r="L20" s="21" t="s">
        <v>557</v>
      </c>
      <c r="M20" s="21" t="s">
        <v>558</v>
      </c>
      <c r="N20" s="21"/>
      <c r="O20" s="21"/>
      <c r="P20" s="21"/>
      <c r="Q20" s="24"/>
      <c r="R20" s="21"/>
      <c r="S20" s="21"/>
    </row>
    <row r="21" spans="1:19" x14ac:dyDescent="0.25">
      <c r="A21" t="s">
        <v>158</v>
      </c>
      <c r="B21" s="23">
        <f t="shared" si="0"/>
        <v>43601</v>
      </c>
      <c r="C21" s="21" t="s">
        <v>559</v>
      </c>
      <c r="D21" s="21" t="s">
        <v>560</v>
      </c>
      <c r="E21" s="21" t="s">
        <v>561</v>
      </c>
      <c r="F21" s="21" t="s">
        <v>562</v>
      </c>
      <c r="G21" s="21" t="s">
        <v>563</v>
      </c>
      <c r="H21" s="21" t="s">
        <v>564</v>
      </c>
      <c r="I21" s="21"/>
      <c r="J21" s="21"/>
      <c r="K21" s="21"/>
      <c r="L21" s="21"/>
      <c r="M21" s="21"/>
      <c r="N21" s="21"/>
      <c r="O21" s="21"/>
      <c r="P21" s="21"/>
      <c r="Q21" s="24"/>
      <c r="R21" s="21"/>
      <c r="S21" s="21"/>
    </row>
    <row r="22" spans="1:19" x14ac:dyDescent="0.25">
      <c r="A22" t="s">
        <v>159</v>
      </c>
      <c r="B22" s="23">
        <f t="shared" si="0"/>
        <v>43199</v>
      </c>
      <c r="C22" s="21" t="s">
        <v>565</v>
      </c>
      <c r="D22" s="21" t="s">
        <v>566</v>
      </c>
      <c r="E22" s="21" t="s">
        <v>567</v>
      </c>
      <c r="F22" s="21" t="s">
        <v>568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4"/>
      <c r="R22" s="21"/>
      <c r="S22" s="21"/>
    </row>
    <row r="23" spans="1:19" x14ac:dyDescent="0.25">
      <c r="A23" t="s">
        <v>160</v>
      </c>
      <c r="B23" s="23">
        <f t="shared" si="0"/>
        <v>43311</v>
      </c>
      <c r="C23" s="21" t="s">
        <v>569</v>
      </c>
      <c r="D23" s="21" t="s">
        <v>571</v>
      </c>
      <c r="E23" s="21" t="s">
        <v>572</v>
      </c>
      <c r="F23" s="21" t="s">
        <v>573</v>
      </c>
      <c r="G23" s="21" t="s">
        <v>574</v>
      </c>
      <c r="H23" s="21" t="s">
        <v>575</v>
      </c>
      <c r="I23" s="21" t="s">
        <v>576</v>
      </c>
      <c r="J23" s="21" t="s">
        <v>577</v>
      </c>
      <c r="K23" s="21"/>
      <c r="L23" s="21"/>
      <c r="M23" s="21"/>
      <c r="N23" s="21"/>
      <c r="O23" s="21"/>
      <c r="P23" s="24"/>
      <c r="Q23" s="21"/>
      <c r="R23" s="21"/>
    </row>
    <row r="24" spans="1:19" x14ac:dyDescent="0.25">
      <c r="A24" t="s">
        <v>161</v>
      </c>
      <c r="B24" s="23">
        <f t="shared" si="0"/>
        <v>43346</v>
      </c>
      <c r="C24" s="21" t="s">
        <v>578</v>
      </c>
      <c r="D24" s="21" t="s">
        <v>579</v>
      </c>
      <c r="E24" s="21" t="s">
        <v>580</v>
      </c>
      <c r="F24" s="21" t="s">
        <v>581</v>
      </c>
      <c r="G24" s="21" t="s">
        <v>582</v>
      </c>
      <c r="H24" s="21" t="s">
        <v>583</v>
      </c>
      <c r="I24" s="21" t="s">
        <v>584</v>
      </c>
      <c r="J24" s="21" t="s">
        <v>585</v>
      </c>
      <c r="K24" s="21" t="s">
        <v>586</v>
      </c>
      <c r="L24" s="21" t="s">
        <v>587</v>
      </c>
      <c r="M24" s="21" t="s">
        <v>588</v>
      </c>
      <c r="N24" s="21" t="s">
        <v>589</v>
      </c>
      <c r="O24" s="21" t="s">
        <v>590</v>
      </c>
      <c r="P24" s="21"/>
      <c r="Q24" s="24"/>
      <c r="R24" s="21"/>
      <c r="S24" s="21"/>
    </row>
    <row r="25" spans="1:19" x14ac:dyDescent="0.25">
      <c r="A25" t="s">
        <v>162</v>
      </c>
      <c r="B25" s="23">
        <f t="shared" si="0"/>
        <v>43394</v>
      </c>
      <c r="C25" s="21" t="s">
        <v>591</v>
      </c>
      <c r="D25" s="21" t="s">
        <v>592</v>
      </c>
      <c r="E25" s="21" t="s">
        <v>593</v>
      </c>
      <c r="F25" s="21" t="s">
        <v>549</v>
      </c>
      <c r="G25" s="21" t="s">
        <v>594</v>
      </c>
      <c r="H25" s="21"/>
      <c r="I25" s="21"/>
      <c r="J25" s="21"/>
      <c r="K25" s="21"/>
      <c r="L25" s="21"/>
      <c r="M25" s="21"/>
      <c r="N25" s="21"/>
      <c r="O25" s="21"/>
      <c r="P25" s="21"/>
      <c r="Q25" s="24"/>
      <c r="R25" s="21"/>
      <c r="S25" s="21"/>
    </row>
    <row r="26" spans="1:19" x14ac:dyDescent="0.25">
      <c r="A26" t="s">
        <v>163</v>
      </c>
      <c r="B26" s="23">
        <f t="shared" si="0"/>
        <v>43230</v>
      </c>
      <c r="C26" s="21" t="s">
        <v>595</v>
      </c>
      <c r="D26" s="21" t="s">
        <v>596</v>
      </c>
      <c r="E26" s="21" t="s">
        <v>597</v>
      </c>
      <c r="F26" s="21" t="s">
        <v>598</v>
      </c>
      <c r="G26" s="21" t="s">
        <v>599</v>
      </c>
      <c r="H26" s="21" t="s">
        <v>600</v>
      </c>
      <c r="I26" s="21" t="s">
        <v>601</v>
      </c>
      <c r="J26" s="21" t="s">
        <v>602</v>
      </c>
      <c r="K26" s="21" t="s">
        <v>603</v>
      </c>
      <c r="L26" s="21" t="s">
        <v>604</v>
      </c>
      <c r="M26" s="21" t="s">
        <v>605</v>
      </c>
      <c r="N26" s="21" t="s">
        <v>606</v>
      </c>
      <c r="O26" s="21"/>
      <c r="P26" s="21"/>
      <c r="Q26" s="24"/>
      <c r="R26" s="21"/>
      <c r="S26" s="21"/>
    </row>
    <row r="27" spans="1:19" x14ac:dyDescent="0.25">
      <c r="A27" t="s">
        <v>164</v>
      </c>
      <c r="B27" s="23">
        <f t="shared" si="0"/>
        <v>43357</v>
      </c>
      <c r="C27" s="21" t="s">
        <v>607</v>
      </c>
      <c r="D27" s="21" t="s">
        <v>608</v>
      </c>
      <c r="E27" s="21" t="s">
        <v>609</v>
      </c>
      <c r="F27" s="21" t="s">
        <v>610</v>
      </c>
      <c r="G27" s="21" t="s">
        <v>611</v>
      </c>
      <c r="H27" s="21" t="s">
        <v>612</v>
      </c>
      <c r="I27" s="21" t="s">
        <v>613</v>
      </c>
      <c r="J27" s="21"/>
      <c r="K27" s="21"/>
      <c r="L27" s="21"/>
      <c r="M27" s="21"/>
      <c r="N27" s="21"/>
      <c r="O27" s="21"/>
      <c r="P27" s="21"/>
      <c r="Q27" s="24"/>
      <c r="R27" s="21"/>
      <c r="S27" s="21"/>
    </row>
    <row r="28" spans="1:19" x14ac:dyDescent="0.25">
      <c r="A28" t="s">
        <v>165</v>
      </c>
      <c r="B28" s="23">
        <f t="shared" si="0"/>
        <v>43660</v>
      </c>
      <c r="C28" s="21" t="s">
        <v>614</v>
      </c>
      <c r="D28" s="21" t="s">
        <v>615</v>
      </c>
      <c r="E28" s="21" t="s">
        <v>616</v>
      </c>
      <c r="F28" s="21" t="s">
        <v>617</v>
      </c>
      <c r="G28" s="21" t="s">
        <v>618</v>
      </c>
      <c r="H28" s="21" t="s">
        <v>619</v>
      </c>
      <c r="I28" s="21" t="s">
        <v>620</v>
      </c>
      <c r="J28" s="21"/>
      <c r="K28" s="21"/>
      <c r="L28" s="21"/>
      <c r="M28" s="21"/>
      <c r="N28" s="21"/>
      <c r="O28" s="21"/>
      <c r="P28" s="21"/>
      <c r="Q28" s="24"/>
      <c r="R28" s="21"/>
      <c r="S28" s="21"/>
    </row>
    <row r="29" spans="1:19" x14ac:dyDescent="0.25">
      <c r="A29" t="s">
        <v>166</v>
      </c>
      <c r="B29" s="23">
        <f t="shared" si="0"/>
        <v>44791</v>
      </c>
      <c r="C29" s="21" t="s">
        <v>621</v>
      </c>
      <c r="D29" s="21" t="s">
        <v>622</v>
      </c>
      <c r="E29" s="21" t="s">
        <v>623</v>
      </c>
      <c r="F29" s="21" t="s">
        <v>624</v>
      </c>
      <c r="G29" s="21" t="s">
        <v>625</v>
      </c>
      <c r="H29" s="21" t="s">
        <v>626</v>
      </c>
      <c r="I29" s="21" t="s">
        <v>627</v>
      </c>
      <c r="J29" s="21" t="s">
        <v>628</v>
      </c>
      <c r="K29" s="21" t="s">
        <v>629</v>
      </c>
      <c r="L29" s="21" t="s">
        <v>630</v>
      </c>
      <c r="M29" s="21" t="s">
        <v>631</v>
      </c>
      <c r="N29" s="21" t="s">
        <v>632</v>
      </c>
      <c r="O29" s="21"/>
      <c r="P29" s="21"/>
      <c r="Q29" s="24"/>
      <c r="R29" s="21"/>
      <c r="S29" s="21"/>
    </row>
    <row r="30" spans="1:19" s="4" customFormat="1" x14ac:dyDescent="0.25">
      <c r="A30" s="4" t="s">
        <v>167</v>
      </c>
      <c r="B30" s="26">
        <f t="shared" si="0"/>
        <v>42642</v>
      </c>
      <c r="C30" s="25" t="s">
        <v>633</v>
      </c>
      <c r="D30" s="27" t="s">
        <v>634</v>
      </c>
      <c r="E30" s="27" t="s">
        <v>634</v>
      </c>
      <c r="F30" s="25" t="s">
        <v>635</v>
      </c>
      <c r="G30" s="25" t="s">
        <v>636</v>
      </c>
      <c r="H30" s="25" t="s">
        <v>637</v>
      </c>
      <c r="I30" s="25" t="s">
        <v>638</v>
      </c>
      <c r="J30" s="25" t="s">
        <v>639</v>
      </c>
      <c r="K30" s="25" t="s">
        <v>640</v>
      </c>
      <c r="L30" s="25"/>
      <c r="M30" s="25"/>
      <c r="N30" s="25"/>
      <c r="O30" s="25"/>
      <c r="P30" s="25"/>
      <c r="Q30" s="25"/>
      <c r="R30" s="25"/>
      <c r="S30" s="25"/>
    </row>
    <row r="31" spans="1:19" x14ac:dyDescent="0.25">
      <c r="A31" t="s">
        <v>168</v>
      </c>
      <c r="B31" s="23">
        <f t="shared" si="0"/>
        <v>42204</v>
      </c>
      <c r="C31" s="21" t="s">
        <v>641</v>
      </c>
      <c r="D31" s="21" t="s">
        <v>642</v>
      </c>
      <c r="E31" s="21" t="s">
        <v>643</v>
      </c>
      <c r="F31" s="21" t="s">
        <v>644</v>
      </c>
      <c r="G31" s="21" t="s">
        <v>645</v>
      </c>
      <c r="H31" s="21" t="s">
        <v>646</v>
      </c>
      <c r="I31" s="21" t="s">
        <v>647</v>
      </c>
      <c r="J31" s="21" t="s">
        <v>648</v>
      </c>
      <c r="K31" s="21"/>
      <c r="L31" s="21"/>
      <c r="M31" s="21"/>
      <c r="N31" s="21"/>
      <c r="O31" s="21"/>
      <c r="P31" s="21"/>
      <c r="Q31" s="24"/>
      <c r="R31" s="21"/>
      <c r="S31" s="21"/>
    </row>
    <row r="32" spans="1:19" x14ac:dyDescent="0.25">
      <c r="A32" t="s">
        <v>169</v>
      </c>
      <c r="B32" s="23">
        <f t="shared" si="0"/>
        <v>42423</v>
      </c>
      <c r="C32" s="21" t="s">
        <v>649</v>
      </c>
      <c r="D32" s="21" t="s">
        <v>650</v>
      </c>
      <c r="E32" s="21" t="s">
        <v>651</v>
      </c>
      <c r="F32" s="21" t="s">
        <v>652</v>
      </c>
      <c r="G32" s="21" t="s">
        <v>653</v>
      </c>
      <c r="H32" s="21" t="s">
        <v>654</v>
      </c>
      <c r="I32" s="21" t="s">
        <v>655</v>
      </c>
      <c r="J32" s="21"/>
      <c r="K32" s="21"/>
      <c r="L32" s="21"/>
      <c r="M32" s="21"/>
      <c r="N32" s="21"/>
      <c r="O32" s="21"/>
      <c r="P32" s="21"/>
      <c r="Q32" s="24"/>
      <c r="R32" s="21"/>
      <c r="S32" s="21"/>
    </row>
    <row r="33" spans="1:19" x14ac:dyDescent="0.25">
      <c r="A33" t="s">
        <v>170</v>
      </c>
      <c r="B33" s="23">
        <f t="shared" si="0"/>
        <v>44312</v>
      </c>
      <c r="C33" s="21" t="s">
        <v>656</v>
      </c>
      <c r="D33" s="21" t="s">
        <v>657</v>
      </c>
      <c r="E33" s="21" t="s">
        <v>658</v>
      </c>
      <c r="F33" s="21" t="s">
        <v>659</v>
      </c>
      <c r="G33" s="21" t="s">
        <v>660</v>
      </c>
      <c r="H33" s="21" t="s">
        <v>661</v>
      </c>
      <c r="I33" s="21" t="s">
        <v>662</v>
      </c>
      <c r="J33" s="21" t="s">
        <v>663</v>
      </c>
      <c r="K33" s="21" t="s">
        <v>664</v>
      </c>
      <c r="L33" s="21" t="s">
        <v>665</v>
      </c>
      <c r="M33" s="21"/>
      <c r="N33" s="21"/>
      <c r="O33" s="21"/>
      <c r="P33" s="21"/>
      <c r="Q33" s="24"/>
      <c r="R33" s="21"/>
      <c r="S33" s="21"/>
    </row>
    <row r="34" spans="1:19" x14ac:dyDescent="0.25">
      <c r="A34" t="s">
        <v>171</v>
      </c>
      <c r="B34" s="23">
        <f t="shared" si="0"/>
        <v>44431</v>
      </c>
      <c r="C34" s="21" t="s">
        <v>666</v>
      </c>
      <c r="D34" s="21" t="s">
        <v>667</v>
      </c>
      <c r="E34" s="21" t="s">
        <v>668</v>
      </c>
      <c r="F34" s="21" t="s">
        <v>669</v>
      </c>
      <c r="G34" s="21" t="s">
        <v>670</v>
      </c>
      <c r="H34" s="21"/>
      <c r="I34" s="21"/>
      <c r="J34" s="21"/>
      <c r="K34" s="21"/>
      <c r="L34" s="21"/>
      <c r="M34" s="21"/>
      <c r="N34" s="21"/>
      <c r="O34" s="21"/>
      <c r="P34" s="21"/>
      <c r="Q34" s="24"/>
      <c r="R34" s="21"/>
      <c r="S34" s="21"/>
    </row>
    <row r="35" spans="1:19" x14ac:dyDescent="0.25">
      <c r="A35" t="s">
        <v>172</v>
      </c>
      <c r="B35" s="23">
        <f t="shared" si="0"/>
        <v>44313</v>
      </c>
      <c r="C35" s="21" t="s">
        <v>671</v>
      </c>
      <c r="D35" s="21" t="s">
        <v>659</v>
      </c>
      <c r="E35" s="21" t="s">
        <v>672</v>
      </c>
      <c r="F35" s="21" t="s">
        <v>660</v>
      </c>
      <c r="G35" s="21" t="s">
        <v>661</v>
      </c>
      <c r="H35" s="21" t="s">
        <v>663</v>
      </c>
      <c r="I35" s="21" t="s">
        <v>664</v>
      </c>
      <c r="J35" s="21"/>
      <c r="K35" s="21"/>
      <c r="L35" s="21"/>
      <c r="M35" s="21"/>
      <c r="N35" s="21"/>
      <c r="O35" s="21"/>
      <c r="P35" s="21"/>
      <c r="Q35" s="24"/>
      <c r="R35" s="21"/>
      <c r="S35" s="21"/>
    </row>
    <row r="36" spans="1:19" x14ac:dyDescent="0.25">
      <c r="A36" t="s">
        <v>173</v>
      </c>
      <c r="B36" s="23">
        <f t="shared" si="0"/>
        <v>44328</v>
      </c>
      <c r="C36" s="21" t="s">
        <v>673</v>
      </c>
      <c r="D36" s="21" t="s">
        <v>675</v>
      </c>
      <c r="E36" s="21" t="s">
        <v>676</v>
      </c>
      <c r="F36" s="21" t="s">
        <v>677</v>
      </c>
      <c r="G36" s="21" t="s">
        <v>678</v>
      </c>
      <c r="H36" s="21" t="s">
        <v>679</v>
      </c>
      <c r="I36" s="21" t="s">
        <v>680</v>
      </c>
      <c r="J36" s="21"/>
      <c r="K36" s="21"/>
      <c r="L36" s="21"/>
      <c r="M36" s="21"/>
      <c r="N36" s="21"/>
      <c r="O36" s="21"/>
      <c r="P36" s="24"/>
      <c r="Q36" s="21"/>
      <c r="R36" s="21"/>
    </row>
    <row r="37" spans="1:19" x14ac:dyDescent="0.25">
      <c r="A37" t="s">
        <v>174</v>
      </c>
      <c r="B37" s="23">
        <f t="shared" si="0"/>
        <v>44516</v>
      </c>
      <c r="C37" s="21" t="s">
        <v>681</v>
      </c>
      <c r="D37" s="21" t="s">
        <v>682</v>
      </c>
      <c r="E37" s="21" t="s">
        <v>683</v>
      </c>
      <c r="F37" s="21" t="s">
        <v>684</v>
      </c>
      <c r="G37" s="21" t="s">
        <v>685</v>
      </c>
      <c r="H37" s="21" t="s">
        <v>686</v>
      </c>
      <c r="I37" s="21" t="s">
        <v>687</v>
      </c>
      <c r="J37" s="21" t="s">
        <v>688</v>
      </c>
      <c r="K37" s="21"/>
      <c r="L37" s="21"/>
      <c r="M37" s="21"/>
      <c r="N37" s="21"/>
      <c r="O37" s="21"/>
      <c r="P37" s="21"/>
      <c r="Q37" s="24"/>
      <c r="R37" s="21"/>
      <c r="S37" s="21"/>
    </row>
    <row r="38" spans="1:19" x14ac:dyDescent="0.25">
      <c r="A38" t="s">
        <v>175</v>
      </c>
      <c r="B38" s="23">
        <f t="shared" si="0"/>
        <v>43137</v>
      </c>
      <c r="C38" s="21" t="s">
        <v>689</v>
      </c>
      <c r="D38" s="21" t="s">
        <v>690</v>
      </c>
      <c r="E38" s="21" t="s">
        <v>691</v>
      </c>
      <c r="F38" s="21" t="s">
        <v>692</v>
      </c>
      <c r="G38" s="21" t="s">
        <v>693</v>
      </c>
      <c r="H38" s="21" t="s">
        <v>694</v>
      </c>
      <c r="I38" s="21" t="s">
        <v>695</v>
      </c>
      <c r="J38" s="21" t="s">
        <v>696</v>
      </c>
      <c r="K38" s="21" t="s">
        <v>697</v>
      </c>
      <c r="L38" s="21"/>
      <c r="M38" s="21"/>
      <c r="N38" s="21"/>
      <c r="O38" s="21"/>
      <c r="P38" s="21"/>
      <c r="Q38" s="24"/>
      <c r="R38" s="21"/>
      <c r="S38" s="21"/>
    </row>
    <row r="39" spans="1:19" x14ac:dyDescent="0.25">
      <c r="A39" t="s">
        <v>176</v>
      </c>
      <c r="B39" s="23">
        <f t="shared" si="0"/>
        <v>43242</v>
      </c>
      <c r="C39" s="21" t="s">
        <v>698</v>
      </c>
      <c r="D39" s="21" t="s">
        <v>699</v>
      </c>
      <c r="E39" s="21" t="s">
        <v>700</v>
      </c>
      <c r="F39" s="21" t="s">
        <v>701</v>
      </c>
      <c r="G39" s="21" t="s">
        <v>702</v>
      </c>
      <c r="H39" s="21"/>
      <c r="I39" s="21"/>
      <c r="J39" s="21"/>
      <c r="K39" s="21"/>
      <c r="L39" s="21"/>
      <c r="M39" s="21"/>
      <c r="N39" s="21"/>
      <c r="O39" s="21"/>
      <c r="P39" s="21"/>
      <c r="Q39" s="24"/>
      <c r="R39" s="21"/>
      <c r="S39" s="21"/>
    </row>
    <row r="40" spans="1:19" x14ac:dyDescent="0.25">
      <c r="A40" t="s">
        <v>177</v>
      </c>
      <c r="B40" s="23">
        <f t="shared" si="0"/>
        <v>43228</v>
      </c>
      <c r="C40" s="21" t="s">
        <v>703</v>
      </c>
      <c r="D40" s="21" t="s">
        <v>704</v>
      </c>
      <c r="E40" s="21" t="s">
        <v>705</v>
      </c>
      <c r="F40" s="21" t="s">
        <v>537</v>
      </c>
      <c r="G40" s="21" t="s">
        <v>538</v>
      </c>
      <c r="H40" s="21"/>
      <c r="I40" s="21"/>
      <c r="J40" s="21"/>
      <c r="K40" s="21"/>
      <c r="L40" s="21"/>
      <c r="M40" s="21"/>
      <c r="N40" s="21"/>
      <c r="O40" s="21"/>
      <c r="P40" s="21"/>
      <c r="Q40" s="24"/>
      <c r="R40" s="21"/>
      <c r="S40" s="21"/>
    </row>
    <row r="41" spans="1:19" x14ac:dyDescent="0.25">
      <c r="A41" t="s">
        <v>178</v>
      </c>
      <c r="B41" s="23">
        <f t="shared" si="0"/>
        <v>43803</v>
      </c>
      <c r="C41" s="21" t="s">
        <v>706</v>
      </c>
      <c r="D41" s="21" t="s">
        <v>707</v>
      </c>
      <c r="E41" s="21" t="s">
        <v>708</v>
      </c>
      <c r="F41" s="21" t="s">
        <v>709</v>
      </c>
      <c r="G41" s="21" t="s">
        <v>710</v>
      </c>
      <c r="H41" s="21" t="s">
        <v>711</v>
      </c>
      <c r="I41" s="21" t="s">
        <v>712</v>
      </c>
      <c r="J41" s="21"/>
      <c r="K41" s="21"/>
      <c r="L41" s="21"/>
      <c r="M41" s="21"/>
      <c r="N41" s="21"/>
      <c r="O41" s="21"/>
      <c r="P41" s="21"/>
      <c r="Q41" s="24"/>
      <c r="R41" s="21"/>
      <c r="S41" s="21"/>
    </row>
    <row r="42" spans="1:19" x14ac:dyDescent="0.25">
      <c r="A42" t="s">
        <v>179</v>
      </c>
      <c r="B42" s="23">
        <f t="shared" si="0"/>
        <v>44488</v>
      </c>
      <c r="C42" s="21" t="s">
        <v>713</v>
      </c>
      <c r="D42" s="21" t="s">
        <v>714</v>
      </c>
      <c r="E42" s="21" t="s">
        <v>715</v>
      </c>
      <c r="F42" s="21" t="s">
        <v>716</v>
      </c>
      <c r="G42" s="21" t="s">
        <v>717</v>
      </c>
      <c r="H42" s="21"/>
      <c r="I42" s="21"/>
      <c r="J42" s="21"/>
      <c r="K42" s="21"/>
      <c r="L42" s="21"/>
      <c r="M42" s="21"/>
      <c r="N42" s="21"/>
      <c r="O42" s="21"/>
      <c r="P42" s="21"/>
      <c r="Q42" s="24"/>
      <c r="R42" s="21"/>
      <c r="S42" s="21"/>
    </row>
    <row r="43" spans="1:19" x14ac:dyDescent="0.25">
      <c r="A43" t="s">
        <v>180</v>
      </c>
      <c r="B43" s="23">
        <f t="shared" si="0"/>
        <v>42927</v>
      </c>
      <c r="C43" s="21" t="s">
        <v>718</v>
      </c>
      <c r="D43" s="21" t="s">
        <v>719</v>
      </c>
      <c r="E43" s="21" t="s">
        <v>720</v>
      </c>
      <c r="F43" s="21" t="s">
        <v>721</v>
      </c>
      <c r="G43" s="21" t="s">
        <v>722</v>
      </c>
      <c r="H43" s="21" t="s">
        <v>723</v>
      </c>
      <c r="I43" s="21" t="s">
        <v>724</v>
      </c>
      <c r="J43" s="21" t="s">
        <v>725</v>
      </c>
      <c r="K43" s="21"/>
      <c r="L43" s="21"/>
      <c r="M43" s="21"/>
      <c r="N43" s="21"/>
      <c r="O43" s="21"/>
      <c r="P43" s="21"/>
      <c r="Q43" s="24"/>
      <c r="R43" s="21"/>
      <c r="S43" s="21"/>
    </row>
    <row r="44" spans="1:19" x14ac:dyDescent="0.25">
      <c r="A44" t="s">
        <v>181</v>
      </c>
      <c r="B44" s="23">
        <f t="shared" si="0"/>
        <v>43651</v>
      </c>
      <c r="C44" s="21" t="s">
        <v>726</v>
      </c>
      <c r="D44" s="21" t="s">
        <v>727</v>
      </c>
      <c r="E44" s="21" t="s">
        <v>421</v>
      </c>
      <c r="F44" s="21" t="s">
        <v>422</v>
      </c>
      <c r="G44" s="21" t="s">
        <v>423</v>
      </c>
      <c r="H44" s="21"/>
      <c r="I44" s="21"/>
      <c r="J44" s="21"/>
      <c r="K44" s="21"/>
      <c r="L44" s="21"/>
      <c r="M44" s="21"/>
      <c r="N44" s="21"/>
      <c r="O44" s="21"/>
      <c r="P44" s="21"/>
      <c r="Q44" s="24"/>
      <c r="R44" s="21"/>
      <c r="S44" s="21"/>
    </row>
    <row r="45" spans="1:19" x14ac:dyDescent="0.25">
      <c r="A45" t="s">
        <v>182</v>
      </c>
      <c r="B45" s="23">
        <f t="shared" si="0"/>
        <v>44753</v>
      </c>
      <c r="C45" s="21" t="s">
        <v>728</v>
      </c>
      <c r="D45" s="21" t="s">
        <v>729</v>
      </c>
      <c r="E45" s="21" t="s">
        <v>730</v>
      </c>
      <c r="F45" s="21" t="s">
        <v>731</v>
      </c>
      <c r="G45" s="21" t="s">
        <v>732</v>
      </c>
      <c r="H45" s="21" t="s">
        <v>733</v>
      </c>
      <c r="I45" s="21" t="s">
        <v>734</v>
      </c>
      <c r="J45" s="21" t="s">
        <v>735</v>
      </c>
      <c r="K45" s="21" t="s">
        <v>736</v>
      </c>
      <c r="L45" s="21" t="s">
        <v>737</v>
      </c>
      <c r="M45" s="21" t="s">
        <v>738</v>
      </c>
      <c r="N45" s="21" t="s">
        <v>739</v>
      </c>
      <c r="O45" s="21"/>
      <c r="P45" s="21"/>
      <c r="Q45" s="24"/>
      <c r="R45" s="21"/>
      <c r="S45" s="21"/>
    </row>
    <row r="46" spans="1:19" x14ac:dyDescent="0.25">
      <c r="A46" t="s">
        <v>183</v>
      </c>
      <c r="B46" s="23">
        <f t="shared" si="0"/>
        <v>42814</v>
      </c>
      <c r="C46" s="21" t="s">
        <v>740</v>
      </c>
      <c r="D46" s="21" t="s">
        <v>741</v>
      </c>
      <c r="E46" s="21" t="s">
        <v>743</v>
      </c>
      <c r="F46" s="21" t="s">
        <v>744</v>
      </c>
      <c r="G46" s="21" t="s">
        <v>745</v>
      </c>
      <c r="H46" s="21" t="s">
        <v>746</v>
      </c>
      <c r="I46" s="21" t="s">
        <v>747</v>
      </c>
      <c r="J46" s="21"/>
      <c r="K46" s="21"/>
      <c r="L46" s="21"/>
      <c r="M46" s="21"/>
      <c r="N46" s="21"/>
      <c r="O46" s="21"/>
      <c r="P46" s="24"/>
      <c r="Q46" s="21"/>
      <c r="R46" s="21"/>
    </row>
    <row r="49" spans="1:20" x14ac:dyDescent="0.25">
      <c r="A49" t="s">
        <v>139</v>
      </c>
      <c r="B49" s="7">
        <f>C2-$B2</f>
        <v>0.50694444444525288</v>
      </c>
      <c r="C49" s="7">
        <f t="shared" ref="C49:I49" si="1">D2-$B2</f>
        <v>0.70069444444379769</v>
      </c>
      <c r="D49" s="7">
        <f t="shared" si="1"/>
        <v>1.0319444444467081</v>
      </c>
      <c r="E49" s="7">
        <f t="shared" si="1"/>
        <v>2.0062499999985448</v>
      </c>
      <c r="F49" s="7">
        <f t="shared" si="1"/>
        <v>2.6618055555591127</v>
      </c>
      <c r="G49" s="7">
        <f t="shared" si="1"/>
        <v>3.0069444444452529</v>
      </c>
      <c r="H49" s="7">
        <f t="shared" si="1"/>
        <v>4.0111111111109494</v>
      </c>
      <c r="I49" s="7">
        <f t="shared" si="1"/>
        <v>5.2381944444423425</v>
      </c>
      <c r="J49" s="7"/>
      <c r="K49" s="7"/>
      <c r="L49" s="7"/>
      <c r="M49" s="7"/>
      <c r="N49" s="7"/>
      <c r="O49" s="7"/>
      <c r="P49" s="7"/>
      <c r="Q49" s="7"/>
    </row>
    <row r="50" spans="1:20" x14ac:dyDescent="0.25">
      <c r="A50" t="s">
        <v>140</v>
      </c>
      <c r="B50" s="7">
        <f t="shared" ref="B50:H50" si="2">C3-$B3</f>
        <v>0.93402777778101154</v>
      </c>
      <c r="C50" s="7">
        <f t="shared" si="2"/>
        <v>1.0104166666642413</v>
      </c>
      <c r="D50" s="7">
        <f t="shared" si="2"/>
        <v>2.0062499999985448</v>
      </c>
      <c r="E50" s="7">
        <f t="shared" si="2"/>
        <v>3.0124999999970896</v>
      </c>
      <c r="F50" s="7">
        <f t="shared" si="2"/>
        <v>3.7201388888861402</v>
      </c>
      <c r="G50" s="7">
        <f t="shared" si="2"/>
        <v>4.0138888888905058</v>
      </c>
      <c r="H50" s="7">
        <f t="shared" si="2"/>
        <v>5.0013888888861402</v>
      </c>
      <c r="I50" s="7"/>
      <c r="J50" s="7"/>
      <c r="K50" s="7"/>
      <c r="L50" s="7"/>
      <c r="M50" s="7"/>
      <c r="N50" s="7"/>
      <c r="O50" s="7"/>
      <c r="P50" s="7"/>
      <c r="Q50" s="7"/>
    </row>
    <row r="51" spans="1:20" x14ac:dyDescent="0.25">
      <c r="A51" t="s">
        <v>141</v>
      </c>
      <c r="B51" s="7">
        <f t="shared" ref="B51:G51" si="3">C4-$B4</f>
        <v>0.68263888888759539</v>
      </c>
      <c r="C51" s="7">
        <f t="shared" si="3"/>
        <v>1.0013888888861402</v>
      </c>
      <c r="D51" s="7">
        <f t="shared" si="3"/>
        <v>1.7291666666642413</v>
      </c>
      <c r="E51" s="7">
        <f t="shared" si="3"/>
        <v>2.0083333333313931</v>
      </c>
      <c r="F51" s="7">
        <f t="shared" si="3"/>
        <v>3.0124999999970896</v>
      </c>
      <c r="G51" s="7">
        <f t="shared" si="3"/>
        <v>4.2381944444423425</v>
      </c>
      <c r="H51" s="7"/>
      <c r="I51" s="7"/>
      <c r="J51" s="7"/>
      <c r="K51" s="7"/>
      <c r="L51" s="7"/>
      <c r="M51" s="7"/>
      <c r="N51" s="7"/>
      <c r="O51" s="7"/>
      <c r="P51" s="7"/>
      <c r="Q51" s="7"/>
    </row>
    <row r="52" spans="1:20" x14ac:dyDescent="0.25">
      <c r="A52" t="s">
        <v>142</v>
      </c>
      <c r="B52" s="7">
        <f t="shared" ref="B52:G52" si="4">C5-$B5</f>
        <v>0.71388888888759539</v>
      </c>
      <c r="C52" s="7">
        <f t="shared" si="4"/>
        <v>1.0111111111109494</v>
      </c>
      <c r="D52" s="7">
        <f t="shared" si="4"/>
        <v>1.6993055555576575</v>
      </c>
      <c r="E52" s="7">
        <f t="shared" si="4"/>
        <v>2.0090277777781012</v>
      </c>
      <c r="F52" s="7">
        <f t="shared" si="4"/>
        <v>3.007638888891961</v>
      </c>
      <c r="G52" s="7">
        <f t="shared" si="4"/>
        <v>4.0020833333328483</v>
      </c>
      <c r="H52" s="7"/>
      <c r="I52" s="7"/>
      <c r="J52" s="7"/>
      <c r="K52" s="7"/>
      <c r="L52" s="7"/>
      <c r="M52" s="7"/>
      <c r="N52" s="7"/>
      <c r="O52" s="7"/>
      <c r="P52" s="7"/>
      <c r="Q52" s="7"/>
    </row>
    <row r="53" spans="1:20" x14ac:dyDescent="0.25">
      <c r="A53" t="s">
        <v>143</v>
      </c>
      <c r="B53" s="7">
        <f t="shared" ref="B53:G53" si="5">C6-$B6</f>
        <v>0.9805555555576575</v>
      </c>
      <c r="C53" s="7">
        <f t="shared" si="5"/>
        <v>1.0124999999970896</v>
      </c>
      <c r="D53" s="7">
        <f t="shared" si="5"/>
        <v>2.015972222223354</v>
      </c>
      <c r="E53" s="7">
        <f t="shared" si="5"/>
        <v>2.6972222222248092</v>
      </c>
      <c r="F53" s="7">
        <f t="shared" si="5"/>
        <v>3.0229166666686069</v>
      </c>
      <c r="G53" s="7">
        <f t="shared" si="5"/>
        <v>4.0062499999985448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0" x14ac:dyDescent="0.25">
      <c r="A54" t="s">
        <v>144</v>
      </c>
      <c r="B54" s="7">
        <f t="shared" ref="B54:G54" si="6">C7-$B7</f>
        <v>0.93125000000145519</v>
      </c>
      <c r="C54" s="7">
        <f t="shared" si="6"/>
        <v>1.0083333333313931</v>
      </c>
      <c r="D54" s="7">
        <f t="shared" si="6"/>
        <v>1.7430555555547471</v>
      </c>
      <c r="E54" s="7">
        <f t="shared" si="6"/>
        <v>2.0034722222189885</v>
      </c>
      <c r="F54" s="7">
        <f t="shared" si="6"/>
        <v>3.0298611111138598</v>
      </c>
      <c r="G54" s="7">
        <f t="shared" si="6"/>
        <v>4.0034722222189885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 spans="1:20" x14ac:dyDescent="0.25">
      <c r="A55" t="s">
        <v>145</v>
      </c>
      <c r="B55" s="7">
        <f t="shared" ref="B55:Q55" si="7">C8-$B8</f>
        <v>0.4805555555576575</v>
      </c>
      <c r="C55" s="7">
        <f t="shared" si="7"/>
        <v>0.66944444444379769</v>
      </c>
      <c r="D55" s="7">
        <f t="shared" si="7"/>
        <v>0.87986111111240461</v>
      </c>
      <c r="E55" s="7">
        <f t="shared" si="7"/>
        <v>1.0083333333313931</v>
      </c>
      <c r="F55" s="7">
        <f t="shared" si="7"/>
        <v>2.0062499999985448</v>
      </c>
      <c r="G55" s="7">
        <f t="shared" si="7"/>
        <v>2.6909722222189885</v>
      </c>
      <c r="H55" s="7">
        <f t="shared" si="7"/>
        <v>3.0180555555562023</v>
      </c>
      <c r="I55" s="7">
        <f t="shared" si="7"/>
        <v>4.0069444444452529</v>
      </c>
      <c r="J55" s="7">
        <f t="shared" si="7"/>
        <v>5.0138888888905058</v>
      </c>
      <c r="K55" s="7">
        <f t="shared" si="7"/>
        <v>6.0034722222189885</v>
      </c>
      <c r="L55" s="7">
        <f t="shared" si="7"/>
        <v>7.0291666666671517</v>
      </c>
      <c r="M55" s="7">
        <f t="shared" si="7"/>
        <v>8.0034722222189885</v>
      </c>
      <c r="N55" s="7">
        <f t="shared" si="7"/>
        <v>9.0111111111109494</v>
      </c>
      <c r="O55" s="7">
        <f t="shared" si="7"/>
        <v>10.009027777778101</v>
      </c>
      <c r="P55" s="7">
        <f t="shared" si="7"/>
        <v>11.007638888891961</v>
      </c>
      <c r="Q55" s="7">
        <f t="shared" si="7"/>
        <v>12.002083333332848</v>
      </c>
      <c r="R55" s="7"/>
      <c r="S55" s="7"/>
      <c r="T55" s="7"/>
    </row>
    <row r="56" spans="1:20" x14ac:dyDescent="0.25">
      <c r="A56" t="s">
        <v>146</v>
      </c>
      <c r="B56" s="7">
        <f t="shared" ref="B56:J56" si="8">C9-$B9</f>
        <v>0.46666666666715173</v>
      </c>
      <c r="C56" s="7">
        <f t="shared" si="8"/>
        <v>0.90069444444088731</v>
      </c>
      <c r="D56" s="7">
        <f t="shared" si="8"/>
        <v>1.0229166666686069</v>
      </c>
      <c r="E56" s="7">
        <f t="shared" si="8"/>
        <v>2.0027777777795563</v>
      </c>
      <c r="F56" s="7">
        <f t="shared" si="8"/>
        <v>3.2375000000029104</v>
      </c>
      <c r="G56" s="7">
        <f t="shared" si="8"/>
        <v>4.0090277777781012</v>
      </c>
      <c r="H56" s="7">
        <f t="shared" si="8"/>
        <v>4.6444444444423425</v>
      </c>
      <c r="I56" s="7">
        <f t="shared" si="8"/>
        <v>5.0027777777795563</v>
      </c>
      <c r="J56" s="7">
        <f t="shared" si="8"/>
        <v>6.0055555555591127</v>
      </c>
      <c r="K56" s="7"/>
      <c r="L56" s="7"/>
      <c r="M56" s="7"/>
      <c r="N56" s="7"/>
      <c r="O56" s="7"/>
      <c r="P56" s="7"/>
      <c r="Q56" s="7"/>
      <c r="R56" s="7"/>
      <c r="S56" s="7"/>
      <c r="T56" s="7"/>
    </row>
    <row r="57" spans="1:20" x14ac:dyDescent="0.25">
      <c r="A57" t="s">
        <v>147</v>
      </c>
      <c r="B57" s="7">
        <f t="shared" ref="B57:I57" si="9">C10-$B10</f>
        <v>0.13958333332993789</v>
      </c>
      <c r="C57" s="7">
        <f t="shared" si="9"/>
        <v>0.13958333332993789</v>
      </c>
      <c r="D57" s="7">
        <f t="shared" si="9"/>
        <v>0.91319444444525288</v>
      </c>
      <c r="E57" s="7">
        <f t="shared" si="9"/>
        <v>1.0048611111124046</v>
      </c>
      <c r="F57" s="7">
        <f t="shared" si="9"/>
        <v>2.2430555555547471</v>
      </c>
      <c r="G57" s="7">
        <f t="shared" si="9"/>
        <v>3.0118055555576575</v>
      </c>
      <c r="H57" s="7">
        <f t="shared" si="9"/>
        <v>4.0020833333328483</v>
      </c>
      <c r="I57" s="7">
        <f t="shared" si="9"/>
        <v>5.0034722222189885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 spans="1:20" x14ac:dyDescent="0.25">
      <c r="A58" t="s">
        <v>148</v>
      </c>
      <c r="B58" s="7">
        <f t="shared" ref="B58:I58" si="10">C11-$B11</f>
        <v>0.98263888889050577</v>
      </c>
      <c r="C58" s="7">
        <f t="shared" si="10"/>
        <v>1.0180555555562023</v>
      </c>
      <c r="D58" s="7">
        <f t="shared" si="10"/>
        <v>1.6652777777781012</v>
      </c>
      <c r="E58" s="7">
        <f t="shared" si="10"/>
        <v>2.0166666666700621</v>
      </c>
      <c r="F58" s="7">
        <f t="shared" si="10"/>
        <v>3.0166666666700621</v>
      </c>
      <c r="G58" s="7">
        <f t="shared" si="10"/>
        <v>4.0118055555576575</v>
      </c>
      <c r="H58" s="7">
        <f t="shared" si="10"/>
        <v>5.0229166666686069</v>
      </c>
      <c r="I58" s="7">
        <f t="shared" si="10"/>
        <v>6.0041666666656965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 spans="1:20" x14ac:dyDescent="0.25">
      <c r="A59" t="s">
        <v>149</v>
      </c>
      <c r="B59" s="7">
        <f t="shared" ref="B59:H59" si="11">C12-$B12</f>
        <v>0.68333333333430346</v>
      </c>
      <c r="C59" s="7">
        <f t="shared" si="11"/>
        <v>1.0131944444437977</v>
      </c>
      <c r="D59" s="7">
        <f t="shared" si="11"/>
        <v>1.8388888888875954</v>
      </c>
      <c r="E59" s="7">
        <f t="shared" si="11"/>
        <v>2.0215277777751908</v>
      </c>
      <c r="F59" s="7">
        <f t="shared" si="11"/>
        <v>3.0423611111109494</v>
      </c>
      <c r="G59" s="7">
        <f t="shared" si="11"/>
        <v>4.0027777777795563</v>
      </c>
      <c r="H59" s="7">
        <f t="shared" si="11"/>
        <v>5.0020833333328483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 spans="1:20" x14ac:dyDescent="0.25">
      <c r="A60" t="s">
        <v>150</v>
      </c>
      <c r="B60" s="7">
        <f t="shared" ref="B60:N60" si="12">C13-$B13</f>
        <v>0.6756944444423425</v>
      </c>
      <c r="C60" s="7">
        <f t="shared" si="12"/>
        <v>0.90138888888759539</v>
      </c>
      <c r="D60" s="7">
        <f t="shared" si="12"/>
        <v>1.0083333333313931</v>
      </c>
      <c r="E60" s="7">
        <f t="shared" si="12"/>
        <v>2.015972222223354</v>
      </c>
      <c r="F60" s="7">
        <f t="shared" si="12"/>
        <v>2.7249999999985448</v>
      </c>
      <c r="G60" s="7">
        <f t="shared" si="12"/>
        <v>3.0111111111109494</v>
      </c>
      <c r="H60" s="7">
        <f t="shared" si="12"/>
        <v>4.0090277777781012</v>
      </c>
      <c r="I60" s="7">
        <f t="shared" si="12"/>
        <v>4.6694444444437977</v>
      </c>
      <c r="J60" s="7">
        <f t="shared" si="12"/>
        <v>5.0034722222189885</v>
      </c>
      <c r="K60" s="7">
        <f t="shared" si="12"/>
        <v>6.0013888888861402</v>
      </c>
      <c r="L60" s="7">
        <f t="shared" si="12"/>
        <v>7.0020833333328483</v>
      </c>
      <c r="M60" s="7">
        <f t="shared" si="12"/>
        <v>8.0270833333343035</v>
      </c>
      <c r="N60" s="7">
        <f t="shared" si="12"/>
        <v>9.2368055555562023</v>
      </c>
      <c r="O60" s="7"/>
      <c r="P60" s="7"/>
      <c r="Q60" s="7"/>
      <c r="R60" s="7"/>
      <c r="S60" s="7"/>
      <c r="T60" s="7"/>
    </row>
    <row r="61" spans="1:20" x14ac:dyDescent="0.25">
      <c r="A61" t="s">
        <v>151</v>
      </c>
      <c r="B61" s="7">
        <f t="shared" ref="B61:K61" si="13">C14-$B14</f>
        <v>0.74652777778101154</v>
      </c>
      <c r="C61" s="7">
        <f t="shared" si="13"/>
        <v>1.0208333333357587</v>
      </c>
      <c r="D61" s="7">
        <f t="shared" si="13"/>
        <v>1.0243055555547471</v>
      </c>
      <c r="E61" s="7">
        <f t="shared" si="13"/>
        <v>2.0083333333313931</v>
      </c>
      <c r="F61" s="7">
        <f t="shared" si="13"/>
        <v>3.0069444444452529</v>
      </c>
      <c r="G61" s="7">
        <f t="shared" si="13"/>
        <v>4.0027777777795563</v>
      </c>
      <c r="H61" s="7">
        <f t="shared" si="13"/>
        <v>4.7743055555547471</v>
      </c>
      <c r="I61" s="7">
        <f t="shared" si="13"/>
        <v>5.0131944444437977</v>
      </c>
      <c r="J61" s="7">
        <f t="shared" si="13"/>
        <v>6.007638888891961</v>
      </c>
      <c r="K61" s="7">
        <f t="shared" si="13"/>
        <v>7.2409722222218988</v>
      </c>
      <c r="L61" s="7"/>
      <c r="M61" s="7"/>
      <c r="N61" s="7"/>
      <c r="O61" s="7"/>
      <c r="P61" s="7"/>
      <c r="Q61" s="7"/>
      <c r="R61" s="7"/>
      <c r="S61" s="7"/>
      <c r="T61" s="7"/>
    </row>
    <row r="62" spans="1:20" x14ac:dyDescent="0.25">
      <c r="A62" t="s">
        <v>152</v>
      </c>
      <c r="B62" s="7">
        <f t="shared" ref="B62:F62" si="14">C15-$B15</f>
        <v>0.10347222222480923</v>
      </c>
      <c r="C62" s="7">
        <f t="shared" si="14"/>
        <v>0.13958333332993789</v>
      </c>
      <c r="D62" s="7">
        <f t="shared" si="14"/>
        <v>0.71180555555474712</v>
      </c>
      <c r="E62" s="7">
        <f t="shared" si="14"/>
        <v>1.0013888888861402</v>
      </c>
      <c r="F62" s="7">
        <f t="shared" si="14"/>
        <v>2.0041666666656965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 spans="1:20" x14ac:dyDescent="0.25">
      <c r="A63" t="s">
        <v>153</v>
      </c>
      <c r="B63" s="7">
        <f t="shared" ref="B63:F63" si="15">C16-$B16</f>
        <v>0.69583333333139308</v>
      </c>
      <c r="C63" s="7">
        <f t="shared" si="15"/>
        <v>0.89583333333575865</v>
      </c>
      <c r="D63" s="7">
        <f t="shared" si="15"/>
        <v>1.0229166666686069</v>
      </c>
      <c r="E63" s="7">
        <f t="shared" si="15"/>
        <v>2.0104166666642413</v>
      </c>
      <c r="F63" s="7">
        <f t="shared" si="15"/>
        <v>3.0006944444467081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 spans="1:20" x14ac:dyDescent="0.25">
      <c r="A64" t="s">
        <v>154</v>
      </c>
      <c r="B64" s="7">
        <f t="shared" ref="B64:H64" si="16">C17-$B17</f>
        <v>0.14027777777664596</v>
      </c>
      <c r="C64" s="7">
        <f t="shared" si="16"/>
        <v>0.14097222222335404</v>
      </c>
      <c r="D64" s="7">
        <f t="shared" si="16"/>
        <v>0.6993055555576575</v>
      </c>
      <c r="E64" s="7">
        <f t="shared" si="16"/>
        <v>1.0131944444437977</v>
      </c>
      <c r="F64" s="7">
        <f t="shared" si="16"/>
        <v>2.0104166666642413</v>
      </c>
      <c r="G64" s="7">
        <f t="shared" si="16"/>
        <v>3.2319444444437977</v>
      </c>
      <c r="H64" s="7">
        <f t="shared" si="16"/>
        <v>4.0138888888905058</v>
      </c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 spans="1:20" x14ac:dyDescent="0.25">
      <c r="A65" t="s">
        <v>155</v>
      </c>
      <c r="B65" s="7">
        <f t="shared" ref="B65:F65" si="17">C18-$B18</f>
        <v>0.2930555555576575</v>
      </c>
      <c r="C65" s="7">
        <f t="shared" si="17"/>
        <v>0.29374999999708962</v>
      </c>
      <c r="D65" s="7">
        <f t="shared" si="17"/>
        <v>0.65763888888614019</v>
      </c>
      <c r="E65" s="7">
        <f t="shared" si="17"/>
        <v>1.0138888888905058</v>
      </c>
      <c r="F65" s="7">
        <f t="shared" si="17"/>
        <v>2.007638888891961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 spans="1:20" x14ac:dyDescent="0.25">
      <c r="A66" t="s">
        <v>156</v>
      </c>
      <c r="B66" s="7">
        <f t="shared" ref="B66:L66" si="18">C19-$B19</f>
        <v>0.45833333333575865</v>
      </c>
      <c r="C66" s="7">
        <f t="shared" si="18"/>
        <v>0.91249999999854481</v>
      </c>
      <c r="D66" s="7">
        <f t="shared" si="18"/>
        <v>1.0229166666686069</v>
      </c>
      <c r="E66" s="7">
        <f t="shared" si="18"/>
        <v>2.0041666666656965</v>
      </c>
      <c r="F66" s="7">
        <f t="shared" si="18"/>
        <v>3.0340277777795563</v>
      </c>
      <c r="G66" s="7">
        <f t="shared" si="18"/>
        <v>3.7548611111124046</v>
      </c>
      <c r="H66" s="7">
        <f t="shared" si="18"/>
        <v>4.0090277777781012</v>
      </c>
      <c r="I66" s="7">
        <f t="shared" si="18"/>
        <v>5.0277777777810115</v>
      </c>
      <c r="J66" s="7">
        <f t="shared" si="18"/>
        <v>6.0041666666656965</v>
      </c>
      <c r="K66" s="7">
        <f t="shared" si="18"/>
        <v>7.0062499999985448</v>
      </c>
      <c r="L66" s="7">
        <f t="shared" si="18"/>
        <v>8.0055555555591127</v>
      </c>
      <c r="M66" s="7"/>
      <c r="N66" s="7"/>
      <c r="O66" s="7"/>
      <c r="P66" s="7"/>
      <c r="Q66" s="7"/>
      <c r="R66" s="7"/>
      <c r="S66" s="7"/>
      <c r="T66" s="7"/>
    </row>
    <row r="67" spans="1:20" x14ac:dyDescent="0.25">
      <c r="A67" t="s">
        <v>157</v>
      </c>
      <c r="B67" s="7">
        <f t="shared" ref="B67:L67" si="19">C20-$B20</f>
        <v>0.74444444444088731</v>
      </c>
      <c r="C67" s="7">
        <f t="shared" si="19"/>
        <v>1.0361111111124046</v>
      </c>
      <c r="D67" s="7">
        <f t="shared" si="19"/>
        <v>1.6611111111124046</v>
      </c>
      <c r="E67" s="7">
        <f t="shared" si="19"/>
        <v>2.0263888888875954</v>
      </c>
      <c r="F67" s="7">
        <f t="shared" si="19"/>
        <v>3.0145833333299379</v>
      </c>
      <c r="G67" s="7">
        <f t="shared" si="19"/>
        <v>3.7152777777810115</v>
      </c>
      <c r="H67" s="7">
        <f t="shared" si="19"/>
        <v>4.2430555555547471</v>
      </c>
      <c r="I67" s="7">
        <f t="shared" si="19"/>
        <v>4.4805555555576575</v>
      </c>
      <c r="J67" s="7">
        <f t="shared" si="19"/>
        <v>5.0013888888861402</v>
      </c>
      <c r="K67" s="7">
        <f t="shared" si="19"/>
        <v>6.0041666666656965</v>
      </c>
      <c r="L67" s="7">
        <f t="shared" si="19"/>
        <v>7.0020833333328483</v>
      </c>
      <c r="M67" s="7"/>
      <c r="N67" s="7"/>
      <c r="O67" s="7"/>
      <c r="P67" s="7"/>
      <c r="Q67" s="7"/>
      <c r="R67" s="7"/>
      <c r="S67" s="7"/>
      <c r="T67" s="7"/>
    </row>
    <row r="68" spans="1:20" x14ac:dyDescent="0.25">
      <c r="A68" t="s">
        <v>158</v>
      </c>
      <c r="B68" s="7">
        <f t="shared" ref="B68:G68" si="20">C21-$B21</f>
        <v>0.67152777777664596</v>
      </c>
      <c r="C68" s="7">
        <f t="shared" si="20"/>
        <v>0.91180555555911269</v>
      </c>
      <c r="D68" s="7">
        <f t="shared" si="20"/>
        <v>1.0187500000029104</v>
      </c>
      <c r="E68" s="7">
        <f t="shared" si="20"/>
        <v>2.0048611111124046</v>
      </c>
      <c r="F68" s="7">
        <f t="shared" si="20"/>
        <v>3.25</v>
      </c>
      <c r="G68" s="7">
        <f t="shared" si="20"/>
        <v>4.0020833333328483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 spans="1:20" x14ac:dyDescent="0.25">
      <c r="A69" t="s">
        <v>159</v>
      </c>
      <c r="B69" s="7">
        <f t="shared" ref="B69:E69" si="21">C22-$B22</f>
        <v>0.50069444444670808</v>
      </c>
      <c r="C69" s="7">
        <f t="shared" si="21"/>
        <v>0.88055555555911269</v>
      </c>
      <c r="D69" s="7">
        <f t="shared" si="21"/>
        <v>1.0006944444467081</v>
      </c>
      <c r="E69" s="7">
        <f t="shared" si="21"/>
        <v>2.0055555555591127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 spans="1:20" x14ac:dyDescent="0.25">
      <c r="A70" t="s">
        <v>160</v>
      </c>
      <c r="B70" s="7">
        <f t="shared" ref="B70:I70" si="22">C23-$B23</f>
        <v>0.36458333333575865</v>
      </c>
      <c r="C70" s="7">
        <f t="shared" si="22"/>
        <v>2.0034722222189885</v>
      </c>
      <c r="D70" s="7">
        <f t="shared" si="22"/>
        <v>3.015972222223354</v>
      </c>
      <c r="E70" s="7">
        <f t="shared" si="22"/>
        <v>4.0055555555591127</v>
      </c>
      <c r="F70" s="7">
        <f t="shared" si="22"/>
        <v>4.7319444444437977</v>
      </c>
      <c r="G70" s="7">
        <f t="shared" si="22"/>
        <v>5.0041666666656965</v>
      </c>
      <c r="H70" s="7">
        <f t="shared" si="22"/>
        <v>6.0048611111124046</v>
      </c>
      <c r="I70" s="7">
        <f t="shared" si="22"/>
        <v>7.0013888888861402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 spans="1:20" x14ac:dyDescent="0.25">
      <c r="A71" t="s">
        <v>161</v>
      </c>
      <c r="B71" s="7">
        <f t="shared" ref="B71:N71" si="23">C24-$B24</f>
        <v>0.18125000000145519</v>
      </c>
      <c r="C71" s="7">
        <f t="shared" si="23"/>
        <v>0.18194444444088731</v>
      </c>
      <c r="D71" s="7">
        <f t="shared" si="23"/>
        <v>0.65208333333430346</v>
      </c>
      <c r="E71" s="7">
        <f t="shared" si="23"/>
        <v>1.0187500000029104</v>
      </c>
      <c r="F71" s="7">
        <f t="shared" si="23"/>
        <v>2.0180555555562023</v>
      </c>
      <c r="G71" s="7">
        <f t="shared" si="23"/>
        <v>3.0083333333313931</v>
      </c>
      <c r="H71" s="7">
        <f t="shared" si="23"/>
        <v>4.0368055555591127</v>
      </c>
      <c r="I71" s="7">
        <f t="shared" si="23"/>
        <v>5.0319444444467081</v>
      </c>
      <c r="J71" s="7">
        <f t="shared" si="23"/>
        <v>6.0090277777781012</v>
      </c>
      <c r="K71" s="7">
        <f t="shared" si="23"/>
        <v>7.0013888888861402</v>
      </c>
      <c r="L71" s="7">
        <f t="shared" si="23"/>
        <v>8.0041666666656965</v>
      </c>
      <c r="M71" s="7">
        <f t="shared" si="23"/>
        <v>9.0097222222248092</v>
      </c>
      <c r="N71" s="7">
        <f t="shared" si="23"/>
        <v>11.061805555553292</v>
      </c>
      <c r="O71" s="7"/>
      <c r="P71" s="7"/>
      <c r="Q71" s="7"/>
      <c r="R71" s="7"/>
      <c r="S71" s="7"/>
      <c r="T71" s="7"/>
    </row>
    <row r="72" spans="1:20" x14ac:dyDescent="0.25">
      <c r="A72" t="s">
        <v>162</v>
      </c>
      <c r="B72" s="7">
        <f t="shared" ref="B72:F72" si="24">C25-$B25</f>
        <v>0.46250000000145519</v>
      </c>
      <c r="C72" s="7">
        <f t="shared" si="24"/>
        <v>0.71458333333430346</v>
      </c>
      <c r="D72" s="7">
        <f t="shared" si="24"/>
        <v>1.0111111111109494</v>
      </c>
      <c r="E72" s="7">
        <f t="shared" si="24"/>
        <v>2.0361111111124046</v>
      </c>
      <c r="F72" s="7">
        <f t="shared" si="24"/>
        <v>3.0027777777795563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 spans="1:20" x14ac:dyDescent="0.25">
      <c r="A73" t="s">
        <v>163</v>
      </c>
      <c r="B73" s="7">
        <f t="shared" ref="B73:M73" si="25">C26-$B26</f>
        <v>0.29583333332993789</v>
      </c>
      <c r="C73" s="7">
        <f t="shared" si="25"/>
        <v>0.29722222222335404</v>
      </c>
      <c r="D73" s="7">
        <f t="shared" si="25"/>
        <v>0.73888888888905058</v>
      </c>
      <c r="E73" s="7">
        <f t="shared" si="25"/>
        <v>1.0062499999985448</v>
      </c>
      <c r="F73" s="7">
        <f t="shared" si="25"/>
        <v>2.0034722222189885</v>
      </c>
      <c r="G73" s="7">
        <f t="shared" si="25"/>
        <v>3.0111111111109494</v>
      </c>
      <c r="H73" s="7">
        <f t="shared" si="25"/>
        <v>4.023611111108039</v>
      </c>
      <c r="I73" s="7">
        <f t="shared" si="25"/>
        <v>5.0194444444423425</v>
      </c>
      <c r="J73" s="7">
        <f t="shared" si="25"/>
        <v>6.0409722222248092</v>
      </c>
      <c r="K73" s="7">
        <f t="shared" si="25"/>
        <v>6.046527777776646</v>
      </c>
      <c r="L73" s="7">
        <f t="shared" si="25"/>
        <v>7.0034722222189885</v>
      </c>
      <c r="M73" s="7">
        <f t="shared" si="25"/>
        <v>8.0013888888861402</v>
      </c>
      <c r="N73" s="7"/>
      <c r="O73" s="7"/>
      <c r="P73" s="7"/>
      <c r="Q73" s="7"/>
      <c r="R73" s="7"/>
      <c r="S73" s="7"/>
      <c r="T73" s="7"/>
    </row>
    <row r="74" spans="1:20" x14ac:dyDescent="0.25">
      <c r="A74" t="s">
        <v>164</v>
      </c>
      <c r="B74" s="7">
        <f t="shared" ref="B74:H74" si="26">C27-$B27</f>
        <v>0.26597222222335404</v>
      </c>
      <c r="C74" s="7">
        <f t="shared" si="26"/>
        <v>0.26666666667006211</v>
      </c>
      <c r="D74" s="7">
        <f t="shared" si="26"/>
        <v>0.64583333333575865</v>
      </c>
      <c r="E74" s="7">
        <f t="shared" si="26"/>
        <v>1.0111111111109494</v>
      </c>
      <c r="F74" s="7">
        <f t="shared" si="26"/>
        <v>2.0041666666656965</v>
      </c>
      <c r="G74" s="7">
        <f t="shared" si="26"/>
        <v>3.0444444444437977</v>
      </c>
      <c r="H74" s="7">
        <f t="shared" si="26"/>
        <v>4.0069444444452529</v>
      </c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 spans="1:20" x14ac:dyDescent="0.25">
      <c r="A75" t="s">
        <v>165</v>
      </c>
      <c r="B75" s="7">
        <f t="shared" ref="B75:H75" si="27">C28-$B28</f>
        <v>0.73472222222335404</v>
      </c>
      <c r="C75" s="7">
        <f t="shared" si="27"/>
        <v>1.007638888891961</v>
      </c>
      <c r="D75" s="7">
        <f t="shared" si="27"/>
        <v>1.6194444444408873</v>
      </c>
      <c r="E75" s="7">
        <f t="shared" si="27"/>
        <v>2.0055555555591127</v>
      </c>
      <c r="F75" s="7">
        <f t="shared" si="27"/>
        <v>3.0090277777781012</v>
      </c>
      <c r="G75" s="7">
        <f t="shared" si="27"/>
        <v>4.0027777777795563</v>
      </c>
      <c r="H75" s="7">
        <f t="shared" si="27"/>
        <v>5.0006944444467081</v>
      </c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 spans="1:20" x14ac:dyDescent="0.25">
      <c r="A76" t="s">
        <v>166</v>
      </c>
      <c r="B76" s="7">
        <f t="shared" ref="B76:M76" si="28">C29-$B29</f>
        <v>0.19791666666424135</v>
      </c>
      <c r="C76" s="7">
        <f t="shared" si="28"/>
        <v>0.42222222222335404</v>
      </c>
      <c r="D76" s="7">
        <f t="shared" si="28"/>
        <v>0.73888888888905058</v>
      </c>
      <c r="E76" s="7">
        <f t="shared" si="28"/>
        <v>1.023611111108039</v>
      </c>
      <c r="F76" s="7">
        <f t="shared" si="28"/>
        <v>2.023611111108039</v>
      </c>
      <c r="G76" s="7">
        <f t="shared" si="28"/>
        <v>3.2624999999970896</v>
      </c>
      <c r="H76" s="7">
        <f t="shared" si="28"/>
        <v>4.2618055555576575</v>
      </c>
      <c r="I76" s="7">
        <f t="shared" si="28"/>
        <v>5.0013888888861402</v>
      </c>
      <c r="J76" s="7">
        <f t="shared" si="28"/>
        <v>6.0027777777795563</v>
      </c>
      <c r="K76" s="7">
        <f t="shared" si="28"/>
        <v>7.2451388888875954</v>
      </c>
      <c r="L76" s="7">
        <f t="shared" si="28"/>
        <v>8.0020833333328483</v>
      </c>
      <c r="M76" s="7">
        <f t="shared" si="28"/>
        <v>9</v>
      </c>
      <c r="N76" s="7"/>
      <c r="O76" s="7"/>
      <c r="P76" s="7"/>
      <c r="Q76" s="7"/>
      <c r="R76" s="7"/>
      <c r="S76" s="7"/>
      <c r="T76" s="7"/>
    </row>
    <row r="77" spans="1:20" x14ac:dyDescent="0.25">
      <c r="A77" t="s">
        <v>167</v>
      </c>
      <c r="B77" s="7">
        <f t="shared" ref="B77:J77" si="29">C30-$B30</f>
        <v>0.93402777778101154</v>
      </c>
      <c r="C77" s="7">
        <f t="shared" si="29"/>
        <v>1.0229166666686069</v>
      </c>
      <c r="D77" s="7">
        <f t="shared" si="29"/>
        <v>1.0229166666686069</v>
      </c>
      <c r="E77" s="7">
        <f t="shared" si="29"/>
        <v>1.4881944444423425</v>
      </c>
      <c r="F77" s="7">
        <f t="shared" si="29"/>
        <v>2.007638888891961</v>
      </c>
      <c r="G77" s="7">
        <f t="shared" si="29"/>
        <v>3.0326388888861402</v>
      </c>
      <c r="H77" s="7">
        <f t="shared" si="29"/>
        <v>4.0187500000029104</v>
      </c>
      <c r="I77" s="7">
        <f t="shared" si="29"/>
        <v>5.0090277777781012</v>
      </c>
      <c r="J77" s="7">
        <f t="shared" si="29"/>
        <v>21.560416666667152</v>
      </c>
      <c r="K77" s="7"/>
      <c r="L77" s="7"/>
      <c r="M77" s="7"/>
      <c r="N77" s="7"/>
      <c r="O77" s="7"/>
      <c r="P77" s="7"/>
      <c r="Q77" s="7"/>
      <c r="R77" s="7"/>
      <c r="S77" s="7"/>
      <c r="T77" s="7"/>
    </row>
    <row r="78" spans="1:20" x14ac:dyDescent="0.25">
      <c r="A78" t="s">
        <v>168</v>
      </c>
      <c r="B78" s="7">
        <f t="shared" ref="B78:I78" si="30">C31-$B31</f>
        <v>0.24930555555329192</v>
      </c>
      <c r="C78" s="7">
        <f t="shared" si="30"/>
        <v>0.75833333333139308</v>
      </c>
      <c r="D78" s="7">
        <f t="shared" si="30"/>
        <v>1.0062499999985448</v>
      </c>
      <c r="E78" s="7">
        <f t="shared" si="30"/>
        <v>2.0013888888861402</v>
      </c>
      <c r="F78" s="7">
        <f t="shared" si="30"/>
        <v>3.0118055555576575</v>
      </c>
      <c r="G78" s="7">
        <f t="shared" si="30"/>
        <v>3.7583333333313931</v>
      </c>
      <c r="H78" s="7">
        <f t="shared" si="30"/>
        <v>4.0131944444437977</v>
      </c>
      <c r="I78" s="7">
        <f t="shared" si="30"/>
        <v>5.242361111108039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 spans="1:20" x14ac:dyDescent="0.25">
      <c r="A79" t="s">
        <v>169</v>
      </c>
      <c r="B79" s="7">
        <f t="shared" ref="B79:H79" si="31">C32-$B32</f>
        <v>0.5506944444423425</v>
      </c>
      <c r="C79" s="7">
        <f t="shared" si="31"/>
        <v>0.91041666666569654</v>
      </c>
      <c r="D79" s="7">
        <f t="shared" si="31"/>
        <v>1.0034722222189885</v>
      </c>
      <c r="E79" s="7">
        <f t="shared" si="31"/>
        <v>2.007638888891961</v>
      </c>
      <c r="F79" s="7">
        <f t="shared" si="31"/>
        <v>2.6944444444452529</v>
      </c>
      <c r="G79" s="7">
        <f t="shared" si="31"/>
        <v>3.0055555555591127</v>
      </c>
      <c r="H79" s="7">
        <f t="shared" si="31"/>
        <v>4.023611111108039</v>
      </c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 spans="1:20" x14ac:dyDescent="0.25">
      <c r="A80" t="s">
        <v>170</v>
      </c>
      <c r="B80" s="7">
        <f t="shared" ref="B80:K80" si="32">C33-$B33</f>
        <v>0.74166666666860692</v>
      </c>
      <c r="C80" s="7">
        <f t="shared" si="32"/>
        <v>1.0166666666700621</v>
      </c>
      <c r="D80" s="7">
        <f t="shared" si="32"/>
        <v>1.7305555555576575</v>
      </c>
      <c r="E80" s="7">
        <f t="shared" si="32"/>
        <v>2.015277777776646</v>
      </c>
      <c r="F80" s="7">
        <f t="shared" si="32"/>
        <v>3.023611111108039</v>
      </c>
      <c r="G80" s="7">
        <f t="shared" si="32"/>
        <v>4.0187500000029104</v>
      </c>
      <c r="H80" s="7">
        <f t="shared" si="32"/>
        <v>4.7222222222189885</v>
      </c>
      <c r="I80" s="7">
        <f t="shared" si="32"/>
        <v>5.0006944444467081</v>
      </c>
      <c r="J80" s="7">
        <f t="shared" si="32"/>
        <v>6.0020833333328483</v>
      </c>
      <c r="K80" s="7">
        <f t="shared" si="32"/>
        <v>7.2333333333299379</v>
      </c>
      <c r="L80" s="7"/>
      <c r="M80" s="7"/>
      <c r="N80" s="7"/>
      <c r="O80" s="7"/>
      <c r="P80" s="7"/>
      <c r="Q80" s="7"/>
      <c r="R80" s="7"/>
      <c r="S80" s="7"/>
      <c r="T80" s="7"/>
    </row>
    <row r="81" spans="1:20" x14ac:dyDescent="0.25">
      <c r="A81" t="s">
        <v>171</v>
      </c>
      <c r="B81" s="7">
        <f t="shared" ref="B81:F81" si="33">C34-$B34</f>
        <v>0.48124999999708962</v>
      </c>
      <c r="C81" s="7">
        <f t="shared" si="33"/>
        <v>0.90486111111385981</v>
      </c>
      <c r="D81" s="7">
        <f t="shared" si="33"/>
        <v>1.0166666666700621</v>
      </c>
      <c r="E81" s="7">
        <f t="shared" si="33"/>
        <v>2.0090277777781012</v>
      </c>
      <c r="F81" s="7">
        <f t="shared" si="33"/>
        <v>3.0180555555562023</v>
      </c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 spans="1:20" x14ac:dyDescent="0.25">
      <c r="A82" t="s">
        <v>172</v>
      </c>
      <c r="B82" s="7">
        <f t="shared" ref="B82:H82" si="34">C35-$B35</f>
        <v>0.96111111110803904</v>
      </c>
      <c r="C82" s="7">
        <f t="shared" si="34"/>
        <v>1.015277777776646</v>
      </c>
      <c r="D82" s="7">
        <f t="shared" si="34"/>
        <v>1.7229166666656965</v>
      </c>
      <c r="E82" s="7">
        <f t="shared" si="34"/>
        <v>2.023611111108039</v>
      </c>
      <c r="F82" s="7">
        <f t="shared" si="34"/>
        <v>3.0187500000029104</v>
      </c>
      <c r="G82" s="7">
        <f t="shared" si="34"/>
        <v>4.0006944444467081</v>
      </c>
      <c r="H82" s="7">
        <f t="shared" si="34"/>
        <v>5.0020833333328483</v>
      </c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 spans="1:20" x14ac:dyDescent="0.25">
      <c r="A83" t="s">
        <v>173</v>
      </c>
      <c r="B83" s="7">
        <f t="shared" ref="B83:H83" si="35">C36-$B36</f>
        <v>0.84861111111240461</v>
      </c>
      <c r="C83" s="7">
        <f t="shared" si="35"/>
        <v>1.2486111111138598</v>
      </c>
      <c r="D83" s="7">
        <f t="shared" si="35"/>
        <v>1.4972222222204437</v>
      </c>
      <c r="E83" s="7">
        <f t="shared" si="35"/>
        <v>2.0097222222248092</v>
      </c>
      <c r="F83" s="7">
        <f t="shared" si="35"/>
        <v>3.0166666666700621</v>
      </c>
      <c r="G83" s="7">
        <f t="shared" si="35"/>
        <v>4</v>
      </c>
      <c r="H83" s="7">
        <f t="shared" si="35"/>
        <v>5.0013888888861402</v>
      </c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 spans="1:20" x14ac:dyDescent="0.25">
      <c r="A84" t="s">
        <v>174</v>
      </c>
      <c r="B84" s="7">
        <f t="shared" ref="B84:I84" si="36">C37-$B37</f>
        <v>0.45833333333575865</v>
      </c>
      <c r="C84" s="7">
        <f t="shared" si="36"/>
        <v>1.0118055555576575</v>
      </c>
      <c r="D84" s="7">
        <f t="shared" si="36"/>
        <v>1.8013888888890506</v>
      </c>
      <c r="E84" s="7">
        <f t="shared" si="36"/>
        <v>2.0069444444452529</v>
      </c>
      <c r="F84" s="7">
        <f t="shared" si="36"/>
        <v>3.0145833333299379</v>
      </c>
      <c r="G84" s="7">
        <f t="shared" si="36"/>
        <v>4.0090277777781012</v>
      </c>
      <c r="H84" s="7">
        <f t="shared" si="36"/>
        <v>5.007638888891961</v>
      </c>
      <c r="I84" s="7">
        <f t="shared" si="36"/>
        <v>6.0034722222189885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 spans="1:20" x14ac:dyDescent="0.25">
      <c r="A85" t="s">
        <v>175</v>
      </c>
      <c r="B85" s="7">
        <f t="shared" ref="B85:J85" si="37">C38-$B38</f>
        <v>0.83888888888759539</v>
      </c>
      <c r="C85" s="7">
        <f t="shared" si="37"/>
        <v>1.1340277777781012</v>
      </c>
      <c r="D85" s="7">
        <f t="shared" si="37"/>
        <v>1.1472222222218988</v>
      </c>
      <c r="E85" s="7">
        <f t="shared" si="37"/>
        <v>1.640277777776646</v>
      </c>
      <c r="F85" s="7">
        <f t="shared" si="37"/>
        <v>2.0458333333299379</v>
      </c>
      <c r="G85" s="7">
        <f t="shared" si="37"/>
        <v>3.0124999999970896</v>
      </c>
      <c r="H85" s="7">
        <f t="shared" si="37"/>
        <v>4.023611111108039</v>
      </c>
      <c r="I85" s="7">
        <f t="shared" si="37"/>
        <v>5.0020833333328483</v>
      </c>
      <c r="J85" s="7">
        <f t="shared" si="37"/>
        <v>6.007638888891961</v>
      </c>
      <c r="K85" s="7"/>
      <c r="L85" s="7"/>
      <c r="M85" s="7"/>
      <c r="N85" s="7"/>
      <c r="O85" s="7"/>
      <c r="P85" s="7"/>
      <c r="Q85" s="7"/>
      <c r="R85" s="7"/>
      <c r="S85" s="7"/>
      <c r="T85" s="7"/>
    </row>
    <row r="86" spans="1:20" x14ac:dyDescent="0.25">
      <c r="A86" t="s">
        <v>176</v>
      </c>
      <c r="B86" s="7">
        <f t="shared" ref="B86:F86" si="38">C39-$B39</f>
        <v>0.57638888889050577</v>
      </c>
      <c r="C86" s="7">
        <f t="shared" si="38"/>
        <v>1.0305555555532919</v>
      </c>
      <c r="D86" s="7">
        <f t="shared" si="38"/>
        <v>2.0062499999985448</v>
      </c>
      <c r="E86" s="7">
        <f t="shared" si="38"/>
        <v>2.6736111111094942</v>
      </c>
      <c r="F86" s="7">
        <f t="shared" si="38"/>
        <v>3.007638888891961</v>
      </c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 spans="1:20" x14ac:dyDescent="0.25">
      <c r="A87" t="s">
        <v>177</v>
      </c>
      <c r="B87" s="7">
        <f t="shared" ref="B87:F87" si="39">C40-$B40</f>
        <v>0.8555555555576575</v>
      </c>
      <c r="C87" s="7">
        <f t="shared" si="39"/>
        <v>0.99236111110803904</v>
      </c>
      <c r="D87" s="7">
        <f t="shared" si="39"/>
        <v>1.0208333333357587</v>
      </c>
      <c r="E87" s="7">
        <f t="shared" si="39"/>
        <v>2.0138888888905058</v>
      </c>
      <c r="F87" s="7">
        <f t="shared" si="39"/>
        <v>3.007638888891961</v>
      </c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 spans="1:20" x14ac:dyDescent="0.25">
      <c r="A88" t="s">
        <v>178</v>
      </c>
      <c r="B88" s="7">
        <f t="shared" ref="B88:H88" si="40">C41-$B41</f>
        <v>0.88194444444525288</v>
      </c>
      <c r="C88" s="7">
        <f t="shared" si="40"/>
        <v>1.0243055555547471</v>
      </c>
      <c r="D88" s="7">
        <f t="shared" si="40"/>
        <v>1.6659722222248092</v>
      </c>
      <c r="E88" s="7">
        <f t="shared" si="40"/>
        <v>2.0034722222189885</v>
      </c>
      <c r="F88" s="7">
        <f t="shared" si="40"/>
        <v>3.0020833333328483</v>
      </c>
      <c r="G88" s="7">
        <f t="shared" si="40"/>
        <v>4.0138888888905058</v>
      </c>
      <c r="H88" s="7">
        <f t="shared" si="40"/>
        <v>5.0027777777795563</v>
      </c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 spans="1:20" x14ac:dyDescent="0.25">
      <c r="A89" t="s">
        <v>179</v>
      </c>
      <c r="B89" s="7">
        <f t="shared" ref="B89:F89" si="41">C42-$B42</f>
        <v>0.6680555555576575</v>
      </c>
      <c r="C89" s="7">
        <f t="shared" si="41"/>
        <v>1.0215277777751908</v>
      </c>
      <c r="D89" s="7">
        <f t="shared" si="41"/>
        <v>1.6812500000014552</v>
      </c>
      <c r="E89" s="7">
        <f t="shared" si="41"/>
        <v>2.0270833333343035</v>
      </c>
      <c r="F89" s="7">
        <f t="shared" si="41"/>
        <v>3.0034722222189885</v>
      </c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 spans="1:20" x14ac:dyDescent="0.25">
      <c r="A90" t="s">
        <v>180</v>
      </c>
      <c r="B90" s="7">
        <f t="shared" ref="B90:I90" si="42">C43-$B43</f>
        <v>0.61805555555474712</v>
      </c>
      <c r="C90" s="7">
        <f t="shared" si="42"/>
        <v>0.89236111110949423</v>
      </c>
      <c r="D90" s="7">
        <f t="shared" si="42"/>
        <v>1.0395833333313931</v>
      </c>
      <c r="E90" s="7">
        <f t="shared" si="42"/>
        <v>2.0034722222189885</v>
      </c>
      <c r="F90" s="7">
        <f t="shared" si="42"/>
        <v>2.7826388888861402</v>
      </c>
      <c r="G90" s="7">
        <f t="shared" si="42"/>
        <v>3.0166666666700621</v>
      </c>
      <c r="H90" s="7">
        <f t="shared" si="42"/>
        <v>4.0062499999985448</v>
      </c>
      <c r="I90" s="7">
        <f t="shared" si="42"/>
        <v>5.0020833333328483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 spans="1:20" x14ac:dyDescent="0.25">
      <c r="A91" t="s">
        <v>181</v>
      </c>
      <c r="B91" s="7">
        <f t="shared" ref="B91:F91" si="43">C44-$B44</f>
        <v>0.50694444444525288</v>
      </c>
      <c r="C91" s="7">
        <f t="shared" si="43"/>
        <v>0.69722222222480923</v>
      </c>
      <c r="D91" s="7">
        <f t="shared" si="43"/>
        <v>1.0104166666642413</v>
      </c>
      <c r="E91" s="7">
        <f t="shared" si="43"/>
        <v>2.0062499999985448</v>
      </c>
      <c r="F91" s="7">
        <f t="shared" si="43"/>
        <v>3.0124999999970896</v>
      </c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 spans="1:20" x14ac:dyDescent="0.25">
      <c r="A92" t="s">
        <v>182</v>
      </c>
      <c r="B92" s="7">
        <f t="shared" ref="B92:M92" si="44">C45-$B45</f>
        <v>0.53819444444525288</v>
      </c>
      <c r="C92" s="7">
        <f t="shared" si="44"/>
        <v>1.2624999999970896</v>
      </c>
      <c r="D92" s="7">
        <f t="shared" si="44"/>
        <v>2.0034722222189885</v>
      </c>
      <c r="E92" s="7">
        <f t="shared" si="44"/>
        <v>3.2645833333299379</v>
      </c>
      <c r="F92" s="7">
        <f t="shared" si="44"/>
        <v>3.484027777776646</v>
      </c>
      <c r="G92" s="7">
        <f t="shared" si="44"/>
        <v>4.2458333333343035</v>
      </c>
      <c r="H92" s="7">
        <f t="shared" si="44"/>
        <v>5.0055555555591127</v>
      </c>
      <c r="I92" s="7">
        <f t="shared" si="44"/>
        <v>6.2562499999985448</v>
      </c>
      <c r="J92" s="7">
        <f t="shared" si="44"/>
        <v>7.0055555555591127</v>
      </c>
      <c r="K92" s="7">
        <f t="shared" si="44"/>
        <v>7.742361111108039</v>
      </c>
      <c r="L92" s="7">
        <f t="shared" si="44"/>
        <v>8.2270833333313931</v>
      </c>
      <c r="M92" s="7">
        <f t="shared" si="44"/>
        <v>9.0069444444452529</v>
      </c>
      <c r="N92" s="7"/>
      <c r="O92" s="7"/>
      <c r="P92" s="7"/>
      <c r="Q92" s="7"/>
      <c r="R92" s="7"/>
      <c r="S92" s="7"/>
      <c r="T92" s="7"/>
    </row>
    <row r="93" spans="1:20" x14ac:dyDescent="0.25">
      <c r="A93" t="s">
        <v>183</v>
      </c>
      <c r="B93" s="7">
        <f t="shared" ref="B93:H93" si="45">C46-$B46</f>
        <v>0.33750000000145519</v>
      </c>
      <c r="C93" s="7">
        <f t="shared" si="45"/>
        <v>1.0166666666700621</v>
      </c>
      <c r="D93" s="7">
        <f t="shared" si="45"/>
        <v>2.7062500000029104</v>
      </c>
      <c r="E93" s="7">
        <f t="shared" si="45"/>
        <v>3.2354166666700621</v>
      </c>
      <c r="F93" s="7">
        <f t="shared" si="45"/>
        <v>4.2333333333299379</v>
      </c>
      <c r="G93" s="7">
        <f t="shared" si="45"/>
        <v>5.0493055555562023</v>
      </c>
      <c r="H93" s="7">
        <f t="shared" si="45"/>
        <v>6.0291666666671517</v>
      </c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5" spans="1:20" x14ac:dyDescent="0.25">
      <c r="A95" t="s">
        <v>139</v>
      </c>
      <c r="B95" s="1">
        <f>B49*24</f>
        <v>12.166666666686069</v>
      </c>
      <c r="C95" s="1">
        <f t="shared" ref="C95:I95" si="46">C49*24</f>
        <v>16.816666666651145</v>
      </c>
      <c r="D95" s="1">
        <f t="shared" si="46"/>
        <v>24.766666666720994</v>
      </c>
      <c r="E95" s="1">
        <f t="shared" si="46"/>
        <v>48.149999999965075</v>
      </c>
      <c r="F95" s="1">
        <f t="shared" si="46"/>
        <v>63.883333333418705</v>
      </c>
      <c r="G95" s="1">
        <f t="shared" si="46"/>
        <v>72.166666666686069</v>
      </c>
      <c r="H95" s="1">
        <f t="shared" si="46"/>
        <v>96.266666666662786</v>
      </c>
      <c r="I95" s="1">
        <f t="shared" si="46"/>
        <v>125.71666666661622</v>
      </c>
      <c r="J95" s="1"/>
      <c r="K95" s="1"/>
      <c r="L95" s="1"/>
      <c r="M95" s="1"/>
      <c r="N95" s="1"/>
      <c r="O95" s="1"/>
      <c r="P95" s="1"/>
      <c r="Q95" s="1"/>
    </row>
    <row r="96" spans="1:20" x14ac:dyDescent="0.25">
      <c r="A96" t="s">
        <v>140</v>
      </c>
      <c r="B96" s="1">
        <f t="shared" ref="B96:H96" si="47">B50*24</f>
        <v>22.416666666744277</v>
      </c>
      <c r="C96" s="1">
        <f t="shared" si="47"/>
        <v>24.249999999941792</v>
      </c>
      <c r="D96" s="1">
        <f t="shared" si="47"/>
        <v>48.149999999965075</v>
      </c>
      <c r="E96" s="1">
        <f t="shared" si="47"/>
        <v>72.299999999930151</v>
      </c>
      <c r="F96" s="1">
        <f t="shared" si="47"/>
        <v>89.283333333267365</v>
      </c>
      <c r="G96" s="1">
        <f t="shared" si="47"/>
        <v>96.333333333372138</v>
      </c>
      <c r="H96" s="1">
        <f t="shared" si="47"/>
        <v>120.03333333326736</v>
      </c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t="s">
        <v>141</v>
      </c>
      <c r="B97" s="1">
        <f t="shared" ref="B97:G97" si="48">B51*24</f>
        <v>16.383333333302289</v>
      </c>
      <c r="C97" s="1">
        <f t="shared" si="48"/>
        <v>24.033333333267365</v>
      </c>
      <c r="D97" s="1">
        <f t="shared" si="48"/>
        <v>41.499999999941792</v>
      </c>
      <c r="E97" s="1">
        <f t="shared" si="48"/>
        <v>48.199999999953434</v>
      </c>
      <c r="F97" s="1">
        <f t="shared" si="48"/>
        <v>72.299999999930151</v>
      </c>
      <c r="G97" s="1">
        <f t="shared" si="48"/>
        <v>101.71666666661622</v>
      </c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t="s">
        <v>142</v>
      </c>
      <c r="B98" s="1">
        <f t="shared" ref="B98:G98" si="49">B52*24</f>
        <v>17.133333333302289</v>
      </c>
      <c r="C98" s="1">
        <f t="shared" si="49"/>
        <v>24.266666666662786</v>
      </c>
      <c r="D98" s="1">
        <f t="shared" si="49"/>
        <v>40.78333333338378</v>
      </c>
      <c r="E98" s="1">
        <f t="shared" si="49"/>
        <v>48.216666666674428</v>
      </c>
      <c r="F98" s="1">
        <f t="shared" si="49"/>
        <v>72.183333333407063</v>
      </c>
      <c r="G98" s="1">
        <f t="shared" si="49"/>
        <v>96.049999999988358</v>
      </c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t="s">
        <v>143</v>
      </c>
      <c r="B99" s="1">
        <f t="shared" ref="B99:G99" si="50">B53*24</f>
        <v>23.53333333338378</v>
      </c>
      <c r="C99" s="1">
        <f t="shared" si="50"/>
        <v>24.299999999930151</v>
      </c>
      <c r="D99" s="1">
        <f t="shared" si="50"/>
        <v>48.383333333360497</v>
      </c>
      <c r="E99" s="1">
        <f t="shared" si="50"/>
        <v>64.733333333395422</v>
      </c>
      <c r="F99" s="1">
        <f t="shared" si="50"/>
        <v>72.550000000046566</v>
      </c>
      <c r="G99" s="1">
        <f t="shared" si="50"/>
        <v>96.149999999965075</v>
      </c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t="s">
        <v>144</v>
      </c>
      <c r="B100" s="1">
        <f t="shared" ref="B100:G100" si="51">B54*24</f>
        <v>22.350000000034925</v>
      </c>
      <c r="C100" s="1">
        <f t="shared" si="51"/>
        <v>24.199999999953434</v>
      </c>
      <c r="D100" s="1">
        <f t="shared" si="51"/>
        <v>41.833333333313931</v>
      </c>
      <c r="E100" s="1">
        <f t="shared" si="51"/>
        <v>48.083333333255723</v>
      </c>
      <c r="F100" s="1">
        <f t="shared" si="51"/>
        <v>72.716666666732635</v>
      </c>
      <c r="G100" s="1">
        <f t="shared" si="51"/>
        <v>96.083333333255723</v>
      </c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t="s">
        <v>145</v>
      </c>
      <c r="B101" s="1">
        <f t="shared" ref="B101:Q101" si="52">B55*24</f>
        <v>11.53333333338378</v>
      </c>
      <c r="C101" s="1">
        <f t="shared" si="52"/>
        <v>16.066666666651145</v>
      </c>
      <c r="D101" s="1">
        <f t="shared" si="52"/>
        <v>21.116666666697711</v>
      </c>
      <c r="E101" s="1">
        <f t="shared" si="52"/>
        <v>24.199999999953434</v>
      </c>
      <c r="F101" s="1">
        <f t="shared" si="52"/>
        <v>48.149999999965075</v>
      </c>
      <c r="G101" s="1">
        <f t="shared" si="52"/>
        <v>64.583333333255723</v>
      </c>
      <c r="H101" s="1">
        <f t="shared" si="52"/>
        <v>72.433333333348855</v>
      </c>
      <c r="I101" s="1">
        <f t="shared" si="52"/>
        <v>96.166666666686069</v>
      </c>
      <c r="J101" s="1">
        <f t="shared" si="52"/>
        <v>120.33333333337214</v>
      </c>
      <c r="K101" s="1">
        <f t="shared" si="52"/>
        <v>144.08333333325572</v>
      </c>
      <c r="L101" s="1">
        <f t="shared" si="52"/>
        <v>168.70000000001164</v>
      </c>
      <c r="M101" s="1">
        <f t="shared" si="52"/>
        <v>192.08333333325572</v>
      </c>
      <c r="N101" s="1">
        <f t="shared" si="52"/>
        <v>216.26666666666279</v>
      </c>
      <c r="O101" s="1">
        <f t="shared" si="52"/>
        <v>240.21666666667443</v>
      </c>
      <c r="P101" s="1">
        <f t="shared" si="52"/>
        <v>264.18333333340706</v>
      </c>
      <c r="Q101" s="1">
        <f t="shared" si="52"/>
        <v>288.04999999998836</v>
      </c>
    </row>
    <row r="102" spans="1:17" x14ac:dyDescent="0.25">
      <c r="A102" t="s">
        <v>146</v>
      </c>
      <c r="B102" s="1">
        <f t="shared" ref="B102:J102" si="53">B56*24</f>
        <v>11.200000000011642</v>
      </c>
      <c r="C102" s="1">
        <f t="shared" si="53"/>
        <v>21.616666666581295</v>
      </c>
      <c r="D102" s="1">
        <f t="shared" si="53"/>
        <v>24.550000000046566</v>
      </c>
      <c r="E102" s="1">
        <f t="shared" si="53"/>
        <v>48.066666666709352</v>
      </c>
      <c r="F102" s="1">
        <f t="shared" si="53"/>
        <v>77.700000000069849</v>
      </c>
      <c r="G102" s="1">
        <f t="shared" si="53"/>
        <v>96.216666666674428</v>
      </c>
      <c r="H102" s="1">
        <f t="shared" si="53"/>
        <v>111.46666666661622</v>
      </c>
      <c r="I102" s="1">
        <f t="shared" si="53"/>
        <v>120.06666666670935</v>
      </c>
      <c r="J102" s="1">
        <f t="shared" si="53"/>
        <v>144.1333333334187</v>
      </c>
      <c r="K102" s="1"/>
      <c r="L102" s="1"/>
      <c r="M102" s="1"/>
      <c r="N102" s="1"/>
      <c r="O102" s="1"/>
      <c r="P102" s="1"/>
      <c r="Q102" s="1"/>
    </row>
    <row r="103" spans="1:17" x14ac:dyDescent="0.25">
      <c r="A103" t="s">
        <v>147</v>
      </c>
      <c r="B103" s="1">
        <f t="shared" ref="B103:I103" si="54">B57*24</f>
        <v>3.3499999999185093</v>
      </c>
      <c r="C103" s="1">
        <f t="shared" si="54"/>
        <v>3.3499999999185093</v>
      </c>
      <c r="D103" s="1">
        <f t="shared" si="54"/>
        <v>21.916666666686069</v>
      </c>
      <c r="E103" s="1">
        <f t="shared" si="54"/>
        <v>24.116666666697711</v>
      </c>
      <c r="F103" s="1">
        <f t="shared" si="54"/>
        <v>53.833333333313931</v>
      </c>
      <c r="G103" s="1">
        <f t="shared" si="54"/>
        <v>72.28333333338378</v>
      </c>
      <c r="H103" s="1">
        <f t="shared" si="54"/>
        <v>96.049999999988358</v>
      </c>
      <c r="I103" s="1">
        <f t="shared" si="54"/>
        <v>120.08333333325572</v>
      </c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t="s">
        <v>148</v>
      </c>
      <c r="B104" s="1">
        <f t="shared" ref="B104:I104" si="55">B58*24</f>
        <v>23.583333333372138</v>
      </c>
      <c r="C104" s="1">
        <f t="shared" si="55"/>
        <v>24.433333333348855</v>
      </c>
      <c r="D104" s="1">
        <f t="shared" si="55"/>
        <v>39.966666666674428</v>
      </c>
      <c r="E104" s="1">
        <f t="shared" si="55"/>
        <v>48.400000000081491</v>
      </c>
      <c r="F104" s="1">
        <f t="shared" si="55"/>
        <v>72.400000000081491</v>
      </c>
      <c r="G104" s="1">
        <f t="shared" si="55"/>
        <v>96.28333333338378</v>
      </c>
      <c r="H104" s="1">
        <f t="shared" si="55"/>
        <v>120.55000000004657</v>
      </c>
      <c r="I104" s="1">
        <f t="shared" si="55"/>
        <v>144.09999999997672</v>
      </c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t="s">
        <v>149</v>
      </c>
      <c r="B105" s="1">
        <f t="shared" ref="B105:H105" si="56">B59*24</f>
        <v>16.400000000023283</v>
      </c>
      <c r="C105" s="1">
        <f t="shared" si="56"/>
        <v>24.316666666651145</v>
      </c>
      <c r="D105" s="1">
        <f t="shared" si="56"/>
        <v>44.133333333302289</v>
      </c>
      <c r="E105" s="1">
        <f t="shared" si="56"/>
        <v>48.516666666604578</v>
      </c>
      <c r="F105" s="1">
        <f t="shared" si="56"/>
        <v>73.016666666662786</v>
      </c>
      <c r="G105" s="1">
        <f t="shared" si="56"/>
        <v>96.066666666709352</v>
      </c>
      <c r="H105" s="1">
        <f t="shared" si="56"/>
        <v>120.04999999998836</v>
      </c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t="s">
        <v>150</v>
      </c>
      <c r="B106" s="1">
        <f t="shared" ref="B106:N106" si="57">B60*24</f>
        <v>16.21666666661622</v>
      </c>
      <c r="C106" s="1">
        <f t="shared" si="57"/>
        <v>21.633333333302289</v>
      </c>
      <c r="D106" s="1">
        <f t="shared" si="57"/>
        <v>24.199999999953434</v>
      </c>
      <c r="E106" s="1">
        <f t="shared" si="57"/>
        <v>48.383333333360497</v>
      </c>
      <c r="F106" s="1">
        <f t="shared" si="57"/>
        <v>65.399999999965075</v>
      </c>
      <c r="G106" s="1">
        <f t="shared" si="57"/>
        <v>72.266666666662786</v>
      </c>
      <c r="H106" s="1">
        <f t="shared" si="57"/>
        <v>96.216666666674428</v>
      </c>
      <c r="I106" s="1">
        <f t="shared" si="57"/>
        <v>112.06666666665114</v>
      </c>
      <c r="J106" s="1">
        <f t="shared" si="57"/>
        <v>120.08333333325572</v>
      </c>
      <c r="K106" s="1">
        <f t="shared" si="57"/>
        <v>144.03333333326736</v>
      </c>
      <c r="L106" s="1">
        <f t="shared" si="57"/>
        <v>168.04999999998836</v>
      </c>
      <c r="M106" s="1">
        <f t="shared" si="57"/>
        <v>192.65000000002328</v>
      </c>
      <c r="N106" s="1">
        <f t="shared" si="57"/>
        <v>221.68333333334886</v>
      </c>
      <c r="O106" s="1"/>
      <c r="P106" s="1"/>
      <c r="Q106" s="1"/>
    </row>
    <row r="107" spans="1:17" x14ac:dyDescent="0.25">
      <c r="A107" t="s">
        <v>151</v>
      </c>
      <c r="B107" s="1">
        <f t="shared" ref="B107:K107" si="58">B61*24</f>
        <v>17.916666666744277</v>
      </c>
      <c r="C107" s="1">
        <f t="shared" si="58"/>
        <v>24.500000000058208</v>
      </c>
      <c r="D107" s="1">
        <f t="shared" si="58"/>
        <v>24.583333333313931</v>
      </c>
      <c r="E107" s="1">
        <f t="shared" si="58"/>
        <v>48.199999999953434</v>
      </c>
      <c r="F107" s="1">
        <f t="shared" si="58"/>
        <v>72.166666666686069</v>
      </c>
      <c r="G107" s="1">
        <f t="shared" si="58"/>
        <v>96.066666666709352</v>
      </c>
      <c r="H107" s="1">
        <f t="shared" si="58"/>
        <v>114.58333333331393</v>
      </c>
      <c r="I107" s="1">
        <f t="shared" si="58"/>
        <v>120.31666666665114</v>
      </c>
      <c r="J107" s="1">
        <f t="shared" si="58"/>
        <v>144.18333333340706</v>
      </c>
      <c r="K107" s="1">
        <f t="shared" si="58"/>
        <v>173.78333333332557</v>
      </c>
      <c r="L107" s="1"/>
      <c r="M107" s="1"/>
      <c r="N107" s="1"/>
      <c r="O107" s="1"/>
      <c r="P107" s="1"/>
      <c r="Q107" s="1"/>
    </row>
    <row r="108" spans="1:17" x14ac:dyDescent="0.25">
      <c r="A108" t="s">
        <v>152</v>
      </c>
      <c r="B108" s="1">
        <f t="shared" ref="B108:F108" si="59">B62*24</f>
        <v>2.4833333333954215</v>
      </c>
      <c r="C108" s="1">
        <f t="shared" si="59"/>
        <v>3.3499999999185093</v>
      </c>
      <c r="D108" s="1">
        <f t="shared" si="59"/>
        <v>17.083333333313931</v>
      </c>
      <c r="E108" s="1">
        <f t="shared" si="59"/>
        <v>24.033333333267365</v>
      </c>
      <c r="F108" s="1">
        <f t="shared" si="59"/>
        <v>48.099999999976717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t="s">
        <v>153</v>
      </c>
      <c r="B109" s="1">
        <f t="shared" ref="B109:F109" si="60">B63*24</f>
        <v>16.699999999953434</v>
      </c>
      <c r="C109" s="1">
        <f t="shared" si="60"/>
        <v>21.500000000058208</v>
      </c>
      <c r="D109" s="1">
        <f t="shared" si="60"/>
        <v>24.550000000046566</v>
      </c>
      <c r="E109" s="1">
        <f t="shared" si="60"/>
        <v>48.249999999941792</v>
      </c>
      <c r="F109" s="1">
        <f t="shared" si="60"/>
        <v>72.016666666720994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t="s">
        <v>154</v>
      </c>
      <c r="B110" s="1">
        <f t="shared" ref="B110:H110" si="61">B64*24</f>
        <v>3.3666666666395031</v>
      </c>
      <c r="C110" s="1">
        <f t="shared" si="61"/>
        <v>3.3833333333604969</v>
      </c>
      <c r="D110" s="1">
        <f t="shared" si="61"/>
        <v>16.78333333338378</v>
      </c>
      <c r="E110" s="1">
        <f t="shared" si="61"/>
        <v>24.316666666651145</v>
      </c>
      <c r="F110" s="1">
        <f t="shared" si="61"/>
        <v>48.249999999941792</v>
      </c>
      <c r="G110" s="1">
        <f t="shared" si="61"/>
        <v>77.566666666651145</v>
      </c>
      <c r="H110" s="1">
        <f t="shared" si="61"/>
        <v>96.333333333372138</v>
      </c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t="s">
        <v>155</v>
      </c>
      <c r="B111" s="1">
        <f t="shared" ref="B111:F111" si="62">B65*24</f>
        <v>7.03333333338378</v>
      </c>
      <c r="C111" s="1">
        <f t="shared" si="62"/>
        <v>7.0499999999301508</v>
      </c>
      <c r="D111" s="1">
        <f t="shared" si="62"/>
        <v>15.783333333267365</v>
      </c>
      <c r="E111" s="1">
        <f t="shared" si="62"/>
        <v>24.333333333372138</v>
      </c>
      <c r="F111" s="1">
        <f t="shared" si="62"/>
        <v>48.183333333407063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t="s">
        <v>156</v>
      </c>
      <c r="B112" s="1">
        <f t="shared" ref="B112:L112" si="63">B66*24</f>
        <v>11.000000000058208</v>
      </c>
      <c r="C112" s="1">
        <f t="shared" si="63"/>
        <v>21.899999999965075</v>
      </c>
      <c r="D112" s="1">
        <f t="shared" si="63"/>
        <v>24.550000000046566</v>
      </c>
      <c r="E112" s="1">
        <f t="shared" si="63"/>
        <v>48.099999999976717</v>
      </c>
      <c r="F112" s="1">
        <f t="shared" si="63"/>
        <v>72.816666666709352</v>
      </c>
      <c r="G112" s="1">
        <f t="shared" si="63"/>
        <v>90.116666666697711</v>
      </c>
      <c r="H112" s="1">
        <f t="shared" si="63"/>
        <v>96.216666666674428</v>
      </c>
      <c r="I112" s="1">
        <f t="shared" si="63"/>
        <v>120.66666666674428</v>
      </c>
      <c r="J112" s="1">
        <f t="shared" si="63"/>
        <v>144.09999999997672</v>
      </c>
      <c r="K112" s="1">
        <f t="shared" si="63"/>
        <v>168.14999999996508</v>
      </c>
      <c r="L112" s="1">
        <f t="shared" si="63"/>
        <v>192.1333333334187</v>
      </c>
      <c r="M112" s="1"/>
      <c r="N112" s="1"/>
      <c r="O112" s="1"/>
      <c r="P112" s="1"/>
      <c r="Q112" s="1"/>
    </row>
    <row r="113" spans="1:17" x14ac:dyDescent="0.25">
      <c r="A113" t="s">
        <v>157</v>
      </c>
      <c r="B113" s="1">
        <f t="shared" ref="B113:L113" si="64">B67*24</f>
        <v>17.866666666581295</v>
      </c>
      <c r="C113" s="1">
        <f t="shared" si="64"/>
        <v>24.866666666697711</v>
      </c>
      <c r="D113" s="1">
        <f t="shared" si="64"/>
        <v>39.866666666697711</v>
      </c>
      <c r="E113" s="1">
        <f t="shared" si="64"/>
        <v>48.633333333302289</v>
      </c>
      <c r="F113" s="1">
        <f t="shared" si="64"/>
        <v>72.349999999918509</v>
      </c>
      <c r="G113" s="1">
        <f t="shared" si="64"/>
        <v>89.166666666744277</v>
      </c>
      <c r="H113" s="1">
        <f t="shared" si="64"/>
        <v>101.83333333331393</v>
      </c>
      <c r="I113" s="1">
        <f t="shared" si="64"/>
        <v>107.53333333338378</v>
      </c>
      <c r="J113" s="1">
        <f t="shared" si="64"/>
        <v>120.03333333326736</v>
      </c>
      <c r="K113" s="1">
        <f t="shared" si="64"/>
        <v>144.09999999997672</v>
      </c>
      <c r="L113" s="1">
        <f t="shared" si="64"/>
        <v>168.04999999998836</v>
      </c>
      <c r="M113" s="1"/>
      <c r="N113" s="1"/>
      <c r="O113" s="1"/>
      <c r="P113" s="1"/>
      <c r="Q113" s="1"/>
    </row>
    <row r="114" spans="1:17" x14ac:dyDescent="0.25">
      <c r="A114" t="s">
        <v>158</v>
      </c>
      <c r="B114" s="1">
        <f t="shared" ref="B114:G114" si="65">B68*24</f>
        <v>16.116666666639503</v>
      </c>
      <c r="C114" s="1">
        <f t="shared" si="65"/>
        <v>21.883333333418705</v>
      </c>
      <c r="D114" s="1">
        <f t="shared" si="65"/>
        <v>24.450000000069849</v>
      </c>
      <c r="E114" s="1">
        <f t="shared" si="65"/>
        <v>48.116666666697711</v>
      </c>
      <c r="F114" s="1">
        <f t="shared" si="65"/>
        <v>78</v>
      </c>
      <c r="G114" s="1">
        <f t="shared" si="65"/>
        <v>96.049999999988358</v>
      </c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t="s">
        <v>159</v>
      </c>
      <c r="B115" s="1">
        <f t="shared" ref="B115:E115" si="66">B69*24</f>
        <v>12.016666666720994</v>
      </c>
      <c r="C115" s="1">
        <f t="shared" si="66"/>
        <v>21.133333333418705</v>
      </c>
      <c r="D115" s="1">
        <f t="shared" si="66"/>
        <v>24.016666666720994</v>
      </c>
      <c r="E115" s="1">
        <f t="shared" si="66"/>
        <v>48.133333333418705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t="s">
        <v>160</v>
      </c>
      <c r="B116" s="1">
        <f t="shared" ref="B116:I116" si="67">B70*24</f>
        <v>8.7500000000582077</v>
      </c>
      <c r="C116" s="1">
        <f t="shared" si="67"/>
        <v>48.083333333255723</v>
      </c>
      <c r="D116" s="1">
        <f t="shared" si="67"/>
        <v>72.383333333360497</v>
      </c>
      <c r="E116" s="1">
        <f t="shared" si="67"/>
        <v>96.133333333418705</v>
      </c>
      <c r="F116" s="1">
        <f t="shared" si="67"/>
        <v>113.56666666665114</v>
      </c>
      <c r="G116" s="1">
        <f t="shared" si="67"/>
        <v>120.09999999997672</v>
      </c>
      <c r="H116" s="1">
        <f t="shared" si="67"/>
        <v>144.11666666669771</v>
      </c>
      <c r="I116" s="1">
        <f t="shared" si="67"/>
        <v>168.03333333326736</v>
      </c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t="s">
        <v>161</v>
      </c>
      <c r="B117" s="1">
        <f t="shared" ref="B117:N117" si="68">B71*24</f>
        <v>4.3500000000349246</v>
      </c>
      <c r="C117" s="1">
        <f t="shared" si="68"/>
        <v>4.3666666665812954</v>
      </c>
      <c r="D117" s="1">
        <f t="shared" si="68"/>
        <v>15.650000000023283</v>
      </c>
      <c r="E117" s="1">
        <f t="shared" si="68"/>
        <v>24.450000000069849</v>
      </c>
      <c r="F117" s="1">
        <f t="shared" si="68"/>
        <v>48.433333333348855</v>
      </c>
      <c r="G117" s="1">
        <f t="shared" si="68"/>
        <v>72.199999999953434</v>
      </c>
      <c r="H117" s="1">
        <f t="shared" si="68"/>
        <v>96.883333333418705</v>
      </c>
      <c r="I117" s="1">
        <f t="shared" si="68"/>
        <v>120.76666666672099</v>
      </c>
      <c r="J117" s="1">
        <f t="shared" si="68"/>
        <v>144.21666666667443</v>
      </c>
      <c r="K117" s="1">
        <f t="shared" si="68"/>
        <v>168.03333333326736</v>
      </c>
      <c r="L117" s="1">
        <f t="shared" si="68"/>
        <v>192.09999999997672</v>
      </c>
      <c r="M117" s="1">
        <f t="shared" si="68"/>
        <v>216.23333333339542</v>
      </c>
      <c r="N117" s="1">
        <f t="shared" si="68"/>
        <v>265.48333333327901</v>
      </c>
      <c r="O117" s="1"/>
      <c r="P117" s="1"/>
      <c r="Q117" s="1"/>
    </row>
    <row r="118" spans="1:17" x14ac:dyDescent="0.25">
      <c r="A118" t="s">
        <v>162</v>
      </c>
      <c r="B118" s="1">
        <f t="shared" ref="B118:F118" si="69">B72*24</f>
        <v>11.100000000034925</v>
      </c>
      <c r="C118" s="1">
        <f t="shared" si="69"/>
        <v>17.150000000023283</v>
      </c>
      <c r="D118" s="1">
        <f t="shared" si="69"/>
        <v>24.266666666662786</v>
      </c>
      <c r="E118" s="1">
        <f t="shared" si="69"/>
        <v>48.866666666697711</v>
      </c>
      <c r="F118" s="1">
        <f t="shared" si="69"/>
        <v>72.066666666709352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t="s">
        <v>163</v>
      </c>
      <c r="B119" s="1">
        <f t="shared" ref="B119:M119" si="70">B73*24</f>
        <v>7.0999999999185093</v>
      </c>
      <c r="C119" s="1">
        <f t="shared" si="70"/>
        <v>7.1333333333604969</v>
      </c>
      <c r="D119" s="1">
        <f t="shared" si="70"/>
        <v>17.733333333337214</v>
      </c>
      <c r="E119" s="1">
        <f t="shared" si="70"/>
        <v>24.149999999965075</v>
      </c>
      <c r="F119" s="1">
        <f t="shared" si="70"/>
        <v>48.083333333255723</v>
      </c>
      <c r="G119" s="1">
        <f t="shared" si="70"/>
        <v>72.266666666662786</v>
      </c>
      <c r="H119" s="1">
        <f t="shared" si="70"/>
        <v>96.566666666592937</v>
      </c>
      <c r="I119" s="1">
        <f t="shared" si="70"/>
        <v>120.46666666661622</v>
      </c>
      <c r="J119" s="1">
        <f t="shared" si="70"/>
        <v>144.98333333339542</v>
      </c>
      <c r="K119" s="1">
        <f t="shared" si="70"/>
        <v>145.1166666666395</v>
      </c>
      <c r="L119" s="1">
        <f t="shared" si="70"/>
        <v>168.08333333325572</v>
      </c>
      <c r="M119" s="1">
        <f t="shared" si="70"/>
        <v>192.03333333326736</v>
      </c>
      <c r="N119" s="1"/>
      <c r="O119" s="1"/>
      <c r="P119" s="1"/>
      <c r="Q119" s="1"/>
    </row>
    <row r="120" spans="1:17" x14ac:dyDescent="0.25">
      <c r="A120" t="s">
        <v>164</v>
      </c>
      <c r="B120" s="1">
        <f t="shared" ref="B120:H120" si="71">B74*24</f>
        <v>6.3833333333604969</v>
      </c>
      <c r="C120" s="1">
        <f t="shared" si="71"/>
        <v>6.4000000000814907</v>
      </c>
      <c r="D120" s="1">
        <f t="shared" si="71"/>
        <v>15.500000000058208</v>
      </c>
      <c r="E120" s="1">
        <f t="shared" si="71"/>
        <v>24.266666666662786</v>
      </c>
      <c r="F120" s="1">
        <f t="shared" si="71"/>
        <v>48.099999999976717</v>
      </c>
      <c r="G120" s="1">
        <f t="shared" si="71"/>
        <v>73.066666666651145</v>
      </c>
      <c r="H120" s="1">
        <f t="shared" si="71"/>
        <v>96.166666666686069</v>
      </c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t="s">
        <v>165</v>
      </c>
      <c r="B121" s="1">
        <f t="shared" ref="B121:H121" si="72">B75*24</f>
        <v>17.633333333360497</v>
      </c>
      <c r="C121" s="1">
        <f t="shared" si="72"/>
        <v>24.183333333407063</v>
      </c>
      <c r="D121" s="1">
        <f t="shared" si="72"/>
        <v>38.866666666581295</v>
      </c>
      <c r="E121" s="1">
        <f t="shared" si="72"/>
        <v>48.133333333418705</v>
      </c>
      <c r="F121" s="1">
        <f t="shared" si="72"/>
        <v>72.216666666674428</v>
      </c>
      <c r="G121" s="1">
        <f t="shared" si="72"/>
        <v>96.066666666709352</v>
      </c>
      <c r="H121" s="1">
        <f t="shared" si="72"/>
        <v>120.01666666672099</v>
      </c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t="s">
        <v>166</v>
      </c>
      <c r="B122" s="1">
        <f t="shared" ref="B122:M122" si="73">B76*24</f>
        <v>4.7499999999417923</v>
      </c>
      <c r="C122" s="1">
        <f t="shared" si="73"/>
        <v>10.133333333360497</v>
      </c>
      <c r="D122" s="1">
        <f t="shared" si="73"/>
        <v>17.733333333337214</v>
      </c>
      <c r="E122" s="1">
        <f t="shared" si="73"/>
        <v>24.566666666592937</v>
      </c>
      <c r="F122" s="1">
        <f t="shared" si="73"/>
        <v>48.566666666592937</v>
      </c>
      <c r="G122" s="1">
        <f t="shared" si="73"/>
        <v>78.299999999930151</v>
      </c>
      <c r="H122" s="1">
        <f t="shared" si="73"/>
        <v>102.28333333338378</v>
      </c>
      <c r="I122" s="1">
        <f t="shared" si="73"/>
        <v>120.03333333326736</v>
      </c>
      <c r="J122" s="1">
        <f t="shared" si="73"/>
        <v>144.06666666670935</v>
      </c>
      <c r="K122" s="1">
        <f t="shared" si="73"/>
        <v>173.88333333330229</v>
      </c>
      <c r="L122" s="1">
        <f t="shared" si="73"/>
        <v>192.04999999998836</v>
      </c>
      <c r="M122" s="1">
        <f t="shared" si="73"/>
        <v>216</v>
      </c>
      <c r="N122" s="1"/>
      <c r="O122" s="1"/>
      <c r="P122" s="1"/>
      <c r="Q122" s="1"/>
    </row>
    <row r="123" spans="1:17" x14ac:dyDescent="0.25">
      <c r="A123" t="s">
        <v>167</v>
      </c>
      <c r="B123" s="1">
        <f t="shared" ref="B123:J123" si="74">B77*24</f>
        <v>22.416666666744277</v>
      </c>
      <c r="C123" s="1">
        <f t="shared" si="74"/>
        <v>24.550000000046566</v>
      </c>
      <c r="D123" s="1">
        <f t="shared" si="74"/>
        <v>24.550000000046566</v>
      </c>
      <c r="E123" s="1">
        <f t="shared" si="74"/>
        <v>35.71666666661622</v>
      </c>
      <c r="F123" s="1">
        <f t="shared" si="74"/>
        <v>48.183333333407063</v>
      </c>
      <c r="G123" s="1">
        <f t="shared" si="74"/>
        <v>72.783333333267365</v>
      </c>
      <c r="H123" s="1">
        <f t="shared" si="74"/>
        <v>96.450000000069849</v>
      </c>
      <c r="I123" s="1">
        <f t="shared" si="74"/>
        <v>120.21666666667443</v>
      </c>
      <c r="J123" s="1">
        <f t="shared" si="74"/>
        <v>517.45000000001164</v>
      </c>
      <c r="K123" s="1"/>
      <c r="L123" s="1"/>
      <c r="M123" s="1"/>
      <c r="N123" s="1"/>
      <c r="O123" s="1"/>
      <c r="P123" s="1"/>
      <c r="Q123" s="1"/>
    </row>
    <row r="124" spans="1:17" x14ac:dyDescent="0.25">
      <c r="A124" t="s">
        <v>168</v>
      </c>
      <c r="B124" s="1">
        <f t="shared" ref="B124:I124" si="75">B78*24</f>
        <v>5.9833333332790062</v>
      </c>
      <c r="C124" s="1">
        <f t="shared" si="75"/>
        <v>18.199999999953434</v>
      </c>
      <c r="D124" s="1">
        <f t="shared" si="75"/>
        <v>24.149999999965075</v>
      </c>
      <c r="E124" s="1">
        <f t="shared" si="75"/>
        <v>48.033333333267365</v>
      </c>
      <c r="F124" s="1">
        <f t="shared" si="75"/>
        <v>72.28333333338378</v>
      </c>
      <c r="G124" s="1">
        <f t="shared" si="75"/>
        <v>90.199999999953434</v>
      </c>
      <c r="H124" s="1">
        <f t="shared" si="75"/>
        <v>96.316666666651145</v>
      </c>
      <c r="I124" s="1">
        <f t="shared" si="75"/>
        <v>125.81666666659294</v>
      </c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t="s">
        <v>169</v>
      </c>
      <c r="B125" s="1">
        <f t="shared" ref="B125:H125" si="76">B79*24</f>
        <v>13.21666666661622</v>
      </c>
      <c r="C125" s="1">
        <f t="shared" si="76"/>
        <v>21.849999999976717</v>
      </c>
      <c r="D125" s="1">
        <f t="shared" si="76"/>
        <v>24.083333333255723</v>
      </c>
      <c r="E125" s="1">
        <f t="shared" si="76"/>
        <v>48.183333333407063</v>
      </c>
      <c r="F125" s="1">
        <f t="shared" si="76"/>
        <v>64.666666666686069</v>
      </c>
      <c r="G125" s="1">
        <f t="shared" si="76"/>
        <v>72.133333333418705</v>
      </c>
      <c r="H125" s="1">
        <f t="shared" si="76"/>
        <v>96.566666666592937</v>
      </c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t="s">
        <v>170</v>
      </c>
      <c r="B126" s="1">
        <f t="shared" ref="B126:K126" si="77">B80*24</f>
        <v>17.800000000046566</v>
      </c>
      <c r="C126" s="1">
        <f t="shared" si="77"/>
        <v>24.400000000081491</v>
      </c>
      <c r="D126" s="1">
        <f t="shared" si="77"/>
        <v>41.53333333338378</v>
      </c>
      <c r="E126" s="1">
        <f t="shared" si="77"/>
        <v>48.366666666639503</v>
      </c>
      <c r="F126" s="1">
        <f t="shared" si="77"/>
        <v>72.566666666592937</v>
      </c>
      <c r="G126" s="1">
        <f t="shared" si="77"/>
        <v>96.450000000069849</v>
      </c>
      <c r="H126" s="1">
        <f t="shared" si="77"/>
        <v>113.33333333325572</v>
      </c>
      <c r="I126" s="1">
        <f t="shared" si="77"/>
        <v>120.01666666672099</v>
      </c>
      <c r="J126" s="1">
        <f t="shared" si="77"/>
        <v>144.04999999998836</v>
      </c>
      <c r="K126" s="1">
        <f t="shared" si="77"/>
        <v>173.59999999991851</v>
      </c>
      <c r="L126" s="1"/>
      <c r="M126" s="1"/>
      <c r="N126" s="1"/>
      <c r="O126" s="1"/>
      <c r="P126" s="1"/>
      <c r="Q126" s="1"/>
    </row>
    <row r="127" spans="1:17" x14ac:dyDescent="0.25">
      <c r="A127" t="s">
        <v>171</v>
      </c>
      <c r="B127" s="1">
        <f t="shared" ref="B127:F127" si="78">B81*24</f>
        <v>11.549999999930151</v>
      </c>
      <c r="C127" s="1">
        <f t="shared" si="78"/>
        <v>21.716666666732635</v>
      </c>
      <c r="D127" s="1">
        <f t="shared" si="78"/>
        <v>24.400000000081491</v>
      </c>
      <c r="E127" s="1">
        <f t="shared" si="78"/>
        <v>48.216666666674428</v>
      </c>
      <c r="F127" s="1">
        <f t="shared" si="78"/>
        <v>72.433333333348855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t="s">
        <v>172</v>
      </c>
      <c r="B128" s="1">
        <f t="shared" ref="B128:H128" si="79">B82*24</f>
        <v>23.066666666592937</v>
      </c>
      <c r="C128" s="1">
        <f t="shared" si="79"/>
        <v>24.366666666639503</v>
      </c>
      <c r="D128" s="1">
        <f t="shared" si="79"/>
        <v>41.349999999976717</v>
      </c>
      <c r="E128" s="1">
        <f t="shared" si="79"/>
        <v>48.566666666592937</v>
      </c>
      <c r="F128" s="1">
        <f t="shared" si="79"/>
        <v>72.450000000069849</v>
      </c>
      <c r="G128" s="1">
        <f t="shared" si="79"/>
        <v>96.016666666720994</v>
      </c>
      <c r="H128" s="1">
        <f t="shared" si="79"/>
        <v>120.04999999998836</v>
      </c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t="s">
        <v>173</v>
      </c>
      <c r="B129" s="1">
        <f t="shared" ref="B129:H129" si="80">B83*24</f>
        <v>20.366666666697711</v>
      </c>
      <c r="C129" s="1">
        <f t="shared" si="80"/>
        <v>29.966666666732635</v>
      </c>
      <c r="D129" s="1">
        <f t="shared" si="80"/>
        <v>35.933333333290648</v>
      </c>
      <c r="E129" s="1">
        <f t="shared" si="80"/>
        <v>48.233333333395422</v>
      </c>
      <c r="F129" s="1">
        <f t="shared" si="80"/>
        <v>72.400000000081491</v>
      </c>
      <c r="G129" s="1">
        <f t="shared" si="80"/>
        <v>96</v>
      </c>
      <c r="H129" s="1">
        <f t="shared" si="80"/>
        <v>120.03333333326736</v>
      </c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t="s">
        <v>174</v>
      </c>
      <c r="B130" s="1">
        <f t="shared" ref="B130:I130" si="81">B84*24</f>
        <v>11.000000000058208</v>
      </c>
      <c r="C130" s="1">
        <f t="shared" si="81"/>
        <v>24.28333333338378</v>
      </c>
      <c r="D130" s="1">
        <f t="shared" si="81"/>
        <v>43.233333333337214</v>
      </c>
      <c r="E130" s="1">
        <f t="shared" si="81"/>
        <v>48.166666666686069</v>
      </c>
      <c r="F130" s="1">
        <f t="shared" si="81"/>
        <v>72.349999999918509</v>
      </c>
      <c r="G130" s="1">
        <f t="shared" si="81"/>
        <v>96.216666666674428</v>
      </c>
      <c r="H130" s="1">
        <f t="shared" si="81"/>
        <v>120.18333333340706</v>
      </c>
      <c r="I130" s="1">
        <f t="shared" si="81"/>
        <v>144.08333333325572</v>
      </c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t="s">
        <v>175</v>
      </c>
      <c r="B131" s="1">
        <f t="shared" ref="B131:J131" si="82">B85*24</f>
        <v>20.133333333302289</v>
      </c>
      <c r="C131" s="1">
        <f t="shared" si="82"/>
        <v>27.216666666674428</v>
      </c>
      <c r="D131" s="1">
        <f t="shared" si="82"/>
        <v>27.533333333325572</v>
      </c>
      <c r="E131" s="1">
        <f t="shared" si="82"/>
        <v>39.366666666639503</v>
      </c>
      <c r="F131" s="1">
        <f t="shared" si="82"/>
        <v>49.099999999918509</v>
      </c>
      <c r="G131" s="1">
        <f t="shared" si="82"/>
        <v>72.299999999930151</v>
      </c>
      <c r="H131" s="1">
        <f t="shared" si="82"/>
        <v>96.566666666592937</v>
      </c>
      <c r="I131" s="1">
        <f t="shared" si="82"/>
        <v>120.04999999998836</v>
      </c>
      <c r="J131" s="1">
        <f t="shared" si="82"/>
        <v>144.18333333340706</v>
      </c>
      <c r="K131" s="1"/>
      <c r="L131" s="1"/>
      <c r="M131" s="1"/>
      <c r="N131" s="1"/>
      <c r="O131" s="1"/>
      <c r="P131" s="1"/>
      <c r="Q131" s="1"/>
    </row>
    <row r="132" spans="1:17" x14ac:dyDescent="0.25">
      <c r="A132" t="s">
        <v>176</v>
      </c>
      <c r="B132" s="1">
        <f t="shared" ref="B132:F132" si="83">B86*24</f>
        <v>13.833333333372138</v>
      </c>
      <c r="C132" s="1">
        <f t="shared" si="83"/>
        <v>24.733333333279006</v>
      </c>
      <c r="D132" s="1">
        <f t="shared" si="83"/>
        <v>48.149999999965075</v>
      </c>
      <c r="E132" s="1">
        <f t="shared" si="83"/>
        <v>64.166666666627862</v>
      </c>
      <c r="F132" s="1">
        <f t="shared" si="83"/>
        <v>72.183333333407063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t="s">
        <v>177</v>
      </c>
      <c r="B133" s="1">
        <f t="shared" ref="B133:F133" si="84">B87*24</f>
        <v>20.53333333338378</v>
      </c>
      <c r="C133" s="1">
        <f t="shared" si="84"/>
        <v>23.816666666592937</v>
      </c>
      <c r="D133" s="1">
        <f t="shared" si="84"/>
        <v>24.500000000058208</v>
      </c>
      <c r="E133" s="1">
        <f t="shared" si="84"/>
        <v>48.333333333372138</v>
      </c>
      <c r="F133" s="1">
        <f t="shared" si="84"/>
        <v>72.183333333407063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t="s">
        <v>178</v>
      </c>
      <c r="B134" s="1">
        <f t="shared" ref="B134:H134" si="85">B88*24</f>
        <v>21.166666666686069</v>
      </c>
      <c r="C134" s="1">
        <f t="shared" si="85"/>
        <v>24.583333333313931</v>
      </c>
      <c r="D134" s="1">
        <f t="shared" si="85"/>
        <v>39.983333333395422</v>
      </c>
      <c r="E134" s="1">
        <f t="shared" si="85"/>
        <v>48.083333333255723</v>
      </c>
      <c r="F134" s="1">
        <f t="shared" si="85"/>
        <v>72.049999999988358</v>
      </c>
      <c r="G134" s="1">
        <f t="shared" si="85"/>
        <v>96.333333333372138</v>
      </c>
      <c r="H134" s="1">
        <f t="shared" si="85"/>
        <v>120.06666666670935</v>
      </c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t="s">
        <v>179</v>
      </c>
      <c r="B135" s="1">
        <f t="shared" ref="B135:F135" si="86">B89*24</f>
        <v>16.03333333338378</v>
      </c>
      <c r="C135" s="1">
        <f t="shared" si="86"/>
        <v>24.516666666604578</v>
      </c>
      <c r="D135" s="1">
        <f t="shared" si="86"/>
        <v>40.350000000034925</v>
      </c>
      <c r="E135" s="1">
        <f t="shared" si="86"/>
        <v>48.650000000023283</v>
      </c>
      <c r="F135" s="1">
        <f t="shared" si="86"/>
        <v>72.083333333255723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t="s">
        <v>180</v>
      </c>
      <c r="B136" s="1">
        <f t="shared" ref="B136:I136" si="87">B90*24</f>
        <v>14.833333333313931</v>
      </c>
      <c r="C136" s="1">
        <f t="shared" si="87"/>
        <v>21.416666666627862</v>
      </c>
      <c r="D136" s="1">
        <f t="shared" si="87"/>
        <v>24.949999999953434</v>
      </c>
      <c r="E136" s="1">
        <f t="shared" si="87"/>
        <v>48.083333333255723</v>
      </c>
      <c r="F136" s="1">
        <f t="shared" si="87"/>
        <v>66.783333333267365</v>
      </c>
      <c r="G136" s="1">
        <f t="shared" si="87"/>
        <v>72.400000000081491</v>
      </c>
      <c r="H136" s="1">
        <f t="shared" si="87"/>
        <v>96.149999999965075</v>
      </c>
      <c r="I136" s="1">
        <f t="shared" si="87"/>
        <v>120.04999999998836</v>
      </c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t="s">
        <v>181</v>
      </c>
      <c r="B137" s="1">
        <f t="shared" ref="B137:F137" si="88">B91*24</f>
        <v>12.166666666686069</v>
      </c>
      <c r="C137" s="1">
        <f t="shared" si="88"/>
        <v>16.733333333395422</v>
      </c>
      <c r="D137" s="1">
        <f t="shared" si="88"/>
        <v>24.249999999941792</v>
      </c>
      <c r="E137" s="1">
        <f t="shared" si="88"/>
        <v>48.149999999965075</v>
      </c>
      <c r="F137" s="1">
        <f t="shared" si="88"/>
        <v>72.299999999930151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t="s">
        <v>182</v>
      </c>
      <c r="B138" s="1">
        <f t="shared" ref="B138:M138" si="89">B92*24</f>
        <v>12.916666666686069</v>
      </c>
      <c r="C138" s="1">
        <f t="shared" si="89"/>
        <v>30.299999999930151</v>
      </c>
      <c r="D138" s="1">
        <f t="shared" si="89"/>
        <v>48.083333333255723</v>
      </c>
      <c r="E138" s="1">
        <f t="shared" si="89"/>
        <v>78.349999999918509</v>
      </c>
      <c r="F138" s="1">
        <f t="shared" si="89"/>
        <v>83.616666666639503</v>
      </c>
      <c r="G138" s="1">
        <f t="shared" si="89"/>
        <v>101.90000000002328</v>
      </c>
      <c r="H138" s="1">
        <f t="shared" si="89"/>
        <v>120.1333333334187</v>
      </c>
      <c r="I138" s="1">
        <f t="shared" si="89"/>
        <v>150.14999999996508</v>
      </c>
      <c r="J138" s="1">
        <f t="shared" si="89"/>
        <v>168.1333333334187</v>
      </c>
      <c r="K138" s="1">
        <f t="shared" si="89"/>
        <v>185.81666666659294</v>
      </c>
      <c r="L138" s="1">
        <f t="shared" si="89"/>
        <v>197.44999999995343</v>
      </c>
      <c r="M138" s="1">
        <f t="shared" si="89"/>
        <v>216.16666666668607</v>
      </c>
      <c r="N138" s="1"/>
      <c r="O138" s="1"/>
      <c r="P138" s="1"/>
      <c r="Q138" s="1"/>
    </row>
    <row r="139" spans="1:17" s="12" customFormat="1" x14ac:dyDescent="0.25">
      <c r="A139" s="12" t="s">
        <v>183</v>
      </c>
      <c r="B139" s="1">
        <f t="shared" ref="B139:H139" si="90">B93*24</f>
        <v>8.1000000000349246</v>
      </c>
      <c r="C139" s="1">
        <f t="shared" si="90"/>
        <v>24.400000000081491</v>
      </c>
      <c r="D139" s="1">
        <f t="shared" si="90"/>
        <v>64.950000000069849</v>
      </c>
      <c r="E139" s="1">
        <f t="shared" si="90"/>
        <v>77.650000000081491</v>
      </c>
      <c r="F139" s="1">
        <f t="shared" si="90"/>
        <v>101.59999999991851</v>
      </c>
      <c r="G139" s="1">
        <f t="shared" si="90"/>
        <v>121.18333333334886</v>
      </c>
      <c r="H139" s="1">
        <f t="shared" si="90"/>
        <v>144.70000000001164</v>
      </c>
      <c r="I139" s="1"/>
      <c r="J139" s="1"/>
      <c r="K139" s="1"/>
      <c r="L139" s="1"/>
      <c r="M139" s="1"/>
      <c r="N139" s="1"/>
      <c r="O139" s="1"/>
      <c r="P139" s="1"/>
      <c r="Q139" s="1"/>
    </row>
  </sheetData>
  <conditionalFormatting sqref="A95:Q139">
    <cfRule type="expression" dxfId="0" priority="1">
      <formula>AND(ISNUMBER(A95), A95=0)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5CFF-C8D1-44A0-BB31-1A83C82D1538}">
  <dimension ref="A1:AI510"/>
  <sheetViews>
    <sheetView zoomScale="70" zoomScaleNormal="70" workbookViewId="0">
      <selection activeCell="B8" sqref="B8:M8"/>
    </sheetView>
  </sheetViews>
  <sheetFormatPr defaultRowHeight="15" x14ac:dyDescent="0.25"/>
  <cols>
    <col min="1" max="1" width="6.5703125" customWidth="1"/>
    <col min="2" max="2" width="8.85546875" customWidth="1"/>
    <col min="6" max="6" width="9.140625" customWidth="1"/>
    <col min="8" max="8" width="10.7109375" bestFit="1" customWidth="1"/>
    <col min="9" max="9" width="9.28515625" customWidth="1"/>
    <col min="11" max="11" width="8.7109375" customWidth="1"/>
    <col min="12" max="12" width="10.5703125" customWidth="1"/>
    <col min="13" max="13" width="9.42578125" customWidth="1"/>
    <col min="14" max="14" width="9.7109375" customWidth="1"/>
    <col min="15" max="15" width="9.5703125" customWidth="1"/>
    <col min="16" max="16" width="9.7109375" customWidth="1"/>
    <col min="17" max="17" width="20.140625" customWidth="1"/>
    <col min="18" max="18" width="20" customWidth="1"/>
    <col min="19" max="19" width="17.85546875" customWidth="1"/>
    <col min="20" max="20" width="30.42578125" customWidth="1"/>
    <col min="21" max="21" width="28.7109375" customWidth="1"/>
    <col min="22" max="22" width="30.140625" customWidth="1"/>
    <col min="23" max="23" width="29.85546875" customWidth="1"/>
    <col min="24" max="24" width="34.42578125" customWidth="1"/>
    <col min="25" max="25" width="25.42578125" customWidth="1"/>
    <col min="26" max="26" width="24" customWidth="1"/>
    <col min="27" max="27" width="25.28515625" customWidth="1"/>
    <col min="28" max="28" width="24.7109375" customWidth="1"/>
    <col min="29" max="29" width="25.85546875" customWidth="1"/>
    <col min="30" max="30" width="31" customWidth="1"/>
    <col min="31" max="31" width="23.42578125" customWidth="1"/>
    <col min="32" max="32" width="44.42578125" customWidth="1"/>
    <col min="33" max="33" width="24.7109375" customWidth="1"/>
    <col min="34" max="34" width="25.7109375" style="32" customWidth="1"/>
    <col min="35" max="35" width="23.85546875" customWidth="1"/>
  </cols>
  <sheetData>
    <row r="1" spans="1:16" x14ac:dyDescent="0.25">
      <c r="A1" t="s">
        <v>62</v>
      </c>
    </row>
    <row r="2" spans="1:16" x14ac:dyDescent="0.25">
      <c r="A2" t="s">
        <v>816</v>
      </c>
      <c r="B2">
        <v>1.1140000000000001</v>
      </c>
      <c r="C2">
        <v>2.9350000000000001</v>
      </c>
      <c r="D2">
        <v>3.26</v>
      </c>
      <c r="E2">
        <v>2.2690000000000001</v>
      </c>
      <c r="F2">
        <v>1.9430000000000001</v>
      </c>
      <c r="G2" s="12">
        <v>1.0569999999999999</v>
      </c>
    </row>
    <row r="3" spans="1:16" x14ac:dyDescent="0.25">
      <c r="A3" t="s">
        <v>817</v>
      </c>
      <c r="B3">
        <v>0.159</v>
      </c>
      <c r="C3">
        <v>10.68</v>
      </c>
      <c r="D3">
        <v>3.57</v>
      </c>
      <c r="E3">
        <v>2.1</v>
      </c>
      <c r="F3">
        <v>1.62</v>
      </c>
      <c r="G3">
        <v>1.73</v>
      </c>
      <c r="H3" s="12">
        <v>1.19</v>
      </c>
    </row>
    <row r="4" spans="1:16" x14ac:dyDescent="0.25">
      <c r="A4" t="s">
        <v>818</v>
      </c>
      <c r="B4">
        <v>7.4999999999999997E-2</v>
      </c>
      <c r="C4">
        <v>0.188</v>
      </c>
      <c r="D4">
        <v>0.14599999999999999</v>
      </c>
      <c r="E4">
        <v>0.18099999999999999</v>
      </c>
      <c r="F4">
        <v>0.18099999999999999</v>
      </c>
      <c r="G4" s="12">
        <v>0.14599999999999999</v>
      </c>
    </row>
    <row r="5" spans="1:16" x14ac:dyDescent="0.25">
      <c r="A5" t="s">
        <v>819</v>
      </c>
      <c r="B5">
        <v>3.6</v>
      </c>
      <c r="C5">
        <v>7.33</v>
      </c>
      <c r="D5">
        <v>6.12</v>
      </c>
      <c r="E5">
        <v>4.84</v>
      </c>
      <c r="F5">
        <v>3.02</v>
      </c>
      <c r="G5">
        <v>2.42</v>
      </c>
      <c r="H5">
        <v>2.38</v>
      </c>
      <c r="I5">
        <v>1.62</v>
      </c>
      <c r="J5">
        <v>0.9</v>
      </c>
      <c r="K5">
        <v>0.77500000000000002</v>
      </c>
      <c r="L5" s="12">
        <v>0.48</v>
      </c>
    </row>
    <row r="6" spans="1:16" x14ac:dyDescent="0.25">
      <c r="A6" t="s">
        <v>820</v>
      </c>
      <c r="B6">
        <v>0.20169999999999999</v>
      </c>
      <c r="C6">
        <v>0.1749</v>
      </c>
      <c r="D6">
        <v>0.191</v>
      </c>
      <c r="E6">
        <v>0.15809999999999999</v>
      </c>
      <c r="F6">
        <v>7.5700000000000003E-2</v>
      </c>
      <c r="G6">
        <v>4.36E-2</v>
      </c>
      <c r="H6" s="12">
        <v>2.6699999999999998E-2</v>
      </c>
    </row>
    <row r="7" spans="1:16" x14ac:dyDescent="0.25">
      <c r="A7" t="s">
        <v>821</v>
      </c>
      <c r="B7">
        <v>5.04</v>
      </c>
      <c r="C7">
        <v>8.4280000000000008</v>
      </c>
      <c r="D7">
        <v>9.2690000000000001</v>
      </c>
      <c r="E7">
        <v>6.0010000000000003</v>
      </c>
      <c r="F7">
        <v>4.4989999999999997</v>
      </c>
      <c r="G7">
        <v>4.2069999999999999</v>
      </c>
      <c r="H7">
        <v>3.7469999999999999</v>
      </c>
      <c r="I7">
        <v>2.9620000000000002</v>
      </c>
      <c r="J7">
        <v>1.92</v>
      </c>
      <c r="K7">
        <v>1.2509999999999999</v>
      </c>
      <c r="L7" s="12">
        <v>0.85389999999999999</v>
      </c>
    </row>
    <row r="8" spans="1:16" x14ac:dyDescent="0.25">
      <c r="A8" t="s">
        <v>822</v>
      </c>
      <c r="B8">
        <v>1.1259999999999999</v>
      </c>
      <c r="C8">
        <v>2.2269999999999999</v>
      </c>
      <c r="D8">
        <v>1.323</v>
      </c>
      <c r="E8">
        <v>0.83279999999999998</v>
      </c>
      <c r="F8">
        <v>0.87220000000000009</v>
      </c>
      <c r="G8">
        <v>1.075</v>
      </c>
      <c r="H8">
        <v>0.64770000000000005</v>
      </c>
      <c r="I8">
        <v>0.33989999999999998</v>
      </c>
      <c r="J8">
        <v>0.15390000000000001</v>
      </c>
      <c r="K8">
        <v>0.1188</v>
      </c>
      <c r="L8">
        <v>9.6799999999999997E-2</v>
      </c>
      <c r="M8" s="12">
        <v>5.8299999999999998E-2</v>
      </c>
    </row>
    <row r="9" spans="1:16" x14ac:dyDescent="0.25">
      <c r="A9" t="s">
        <v>823</v>
      </c>
      <c r="B9">
        <v>6.57</v>
      </c>
      <c r="C9">
        <v>9.1</v>
      </c>
      <c r="D9">
        <v>8.85</v>
      </c>
      <c r="E9">
        <v>9.86</v>
      </c>
      <c r="F9">
        <v>6.1</v>
      </c>
      <c r="G9">
        <v>5.6</v>
      </c>
      <c r="H9">
        <v>4.99</v>
      </c>
      <c r="I9" s="12">
        <v>3.06</v>
      </c>
    </row>
    <row r="10" spans="1:16" x14ac:dyDescent="0.25">
      <c r="A10" t="s">
        <v>824</v>
      </c>
      <c r="B10">
        <v>16.63</v>
      </c>
      <c r="C10">
        <v>21.43</v>
      </c>
      <c r="D10">
        <v>13.57</v>
      </c>
      <c r="E10">
        <v>8.8000000000000007</v>
      </c>
      <c r="F10">
        <v>7.91</v>
      </c>
      <c r="G10">
        <v>7.22</v>
      </c>
      <c r="H10">
        <v>6.78</v>
      </c>
      <c r="I10">
        <v>5.47</v>
      </c>
      <c r="J10">
        <v>4.72</v>
      </c>
      <c r="K10">
        <v>3.83</v>
      </c>
      <c r="L10">
        <v>3.02</v>
      </c>
      <c r="M10">
        <v>2.35</v>
      </c>
      <c r="N10">
        <v>1.52</v>
      </c>
      <c r="O10">
        <v>1.1200000000000001</v>
      </c>
      <c r="P10" s="12">
        <v>0.86399999999999999</v>
      </c>
    </row>
    <row r="11" spans="1:16" x14ac:dyDescent="0.25">
      <c r="A11" t="s">
        <v>825</v>
      </c>
      <c r="B11">
        <v>0.42599999999999999</v>
      </c>
      <c r="C11">
        <v>2.38</v>
      </c>
      <c r="D11">
        <v>1.88</v>
      </c>
      <c r="E11">
        <v>2.37</v>
      </c>
      <c r="F11">
        <v>2.4500000000000002</v>
      </c>
      <c r="G11">
        <v>1.69</v>
      </c>
      <c r="H11">
        <v>0.71</v>
      </c>
      <c r="I11">
        <v>0.27300000000000002</v>
      </c>
      <c r="J11">
        <v>0.14699999999999999</v>
      </c>
      <c r="K11" s="12">
        <v>4.7E-2</v>
      </c>
    </row>
    <row r="12" spans="1:16" x14ac:dyDescent="0.25">
      <c r="A12" t="s">
        <v>826</v>
      </c>
      <c r="B12">
        <v>0.65200000000000002</v>
      </c>
      <c r="C12">
        <v>1.42</v>
      </c>
      <c r="D12">
        <v>0.58799999999999997</v>
      </c>
      <c r="E12">
        <v>0.56299999999999994</v>
      </c>
      <c r="F12">
        <v>0.61399999999999999</v>
      </c>
      <c r="G12" s="12">
        <v>0.36499999999999999</v>
      </c>
    </row>
    <row r="13" spans="1:16" x14ac:dyDescent="0.25">
      <c r="A13" t="s">
        <v>827</v>
      </c>
      <c r="B13">
        <v>0.64400000000000002</v>
      </c>
      <c r="C13">
        <v>2.5499999999999998</v>
      </c>
      <c r="D13">
        <v>2.16</v>
      </c>
      <c r="E13">
        <v>1.38</v>
      </c>
      <c r="F13">
        <v>1.54</v>
      </c>
      <c r="G13">
        <v>1.1100000000000001</v>
      </c>
      <c r="H13">
        <v>0.52700000000000002</v>
      </c>
      <c r="I13">
        <v>0.74</v>
      </c>
      <c r="J13" s="12">
        <v>0.443</v>
      </c>
    </row>
    <row r="14" spans="1:16" x14ac:dyDescent="0.25">
      <c r="A14" t="s">
        <v>828</v>
      </c>
      <c r="B14">
        <v>0.14099999999999999</v>
      </c>
      <c r="C14">
        <v>0.30399999999999999</v>
      </c>
      <c r="D14">
        <v>0.23699999999999999</v>
      </c>
      <c r="E14">
        <v>0.19700000000000001</v>
      </c>
      <c r="F14">
        <v>0.16800000000000001</v>
      </c>
      <c r="G14">
        <v>0.16200000000000001</v>
      </c>
      <c r="H14" s="12">
        <v>0.157</v>
      </c>
    </row>
    <row r="15" spans="1:16" x14ac:dyDescent="0.25">
      <c r="A15" t="s">
        <v>829</v>
      </c>
      <c r="B15">
        <v>6.07</v>
      </c>
      <c r="C15">
        <v>13.87</v>
      </c>
      <c r="D15">
        <v>6.21</v>
      </c>
      <c r="E15">
        <v>3.84</v>
      </c>
      <c r="F15">
        <v>4.84</v>
      </c>
      <c r="G15">
        <v>4.72</v>
      </c>
      <c r="H15">
        <v>3.57</v>
      </c>
      <c r="I15" s="12">
        <v>2.29</v>
      </c>
    </row>
    <row r="16" spans="1:16" x14ac:dyDescent="0.25">
      <c r="A16" t="s">
        <v>830</v>
      </c>
      <c r="B16">
        <v>4.016</v>
      </c>
      <c r="C16">
        <v>9.6969999999999992</v>
      </c>
      <c r="D16">
        <v>7.5279999999999996</v>
      </c>
      <c r="E16">
        <v>3.415</v>
      </c>
      <c r="F16">
        <v>2.7730000000000001</v>
      </c>
      <c r="G16">
        <v>2.5649999999999999</v>
      </c>
      <c r="H16">
        <v>2.7549999999999999</v>
      </c>
      <c r="I16" s="12">
        <v>2.032</v>
      </c>
    </row>
    <row r="17" spans="1:24" x14ac:dyDescent="0.25">
      <c r="A17" t="s">
        <v>831</v>
      </c>
      <c r="B17">
        <v>0.93470000000000009</v>
      </c>
      <c r="C17">
        <v>2.552</v>
      </c>
      <c r="D17">
        <v>1.661</v>
      </c>
      <c r="E17">
        <v>0.80970000000000009</v>
      </c>
      <c r="F17">
        <v>1.1950000000000001</v>
      </c>
      <c r="G17" s="12">
        <v>0.93689999999999996</v>
      </c>
    </row>
    <row r="18" spans="1:24" x14ac:dyDescent="0.25">
      <c r="A18" t="s">
        <v>832</v>
      </c>
      <c r="B18">
        <v>0.50649999999999995</v>
      </c>
      <c r="C18">
        <v>1.165</v>
      </c>
      <c r="D18">
        <v>0.72310000000000008</v>
      </c>
      <c r="E18">
        <v>1.1930000000000001</v>
      </c>
      <c r="F18">
        <v>0.98799999999999999</v>
      </c>
      <c r="G18">
        <v>0.52139999999999997</v>
      </c>
      <c r="H18">
        <v>0.47749999999999998</v>
      </c>
      <c r="I18" s="12">
        <v>0.41220000000000001</v>
      </c>
    </row>
    <row r="19" spans="1:24" x14ac:dyDescent="0.25">
      <c r="A19" t="s">
        <v>833</v>
      </c>
      <c r="B19">
        <v>8.5289999999999999</v>
      </c>
      <c r="C19">
        <v>21.414999999999999</v>
      </c>
      <c r="D19">
        <v>9.2899999999999991</v>
      </c>
      <c r="E19">
        <v>6.7140000000000004</v>
      </c>
      <c r="F19">
        <v>9.9260000000000002</v>
      </c>
      <c r="G19">
        <v>8.2070000000000007</v>
      </c>
      <c r="H19">
        <v>6.7830000000000004</v>
      </c>
      <c r="I19">
        <v>4.2359999999999998</v>
      </c>
      <c r="J19">
        <v>2.2229999999999999</v>
      </c>
      <c r="K19">
        <v>1.1539999999999999</v>
      </c>
      <c r="L19" s="12">
        <v>0.57779999999999998</v>
      </c>
    </row>
    <row r="20" spans="1:24" x14ac:dyDescent="0.25">
      <c r="A20" t="s">
        <v>834</v>
      </c>
      <c r="B20">
        <v>3.3580000000000001</v>
      </c>
      <c r="C20">
        <v>3.8610000000000002</v>
      </c>
      <c r="D20">
        <v>2.665</v>
      </c>
      <c r="E20">
        <v>1.913</v>
      </c>
      <c r="F20">
        <v>1.319</v>
      </c>
      <c r="G20">
        <v>0.84410000000000007</v>
      </c>
      <c r="H20">
        <v>0.44739999999999996</v>
      </c>
      <c r="I20" s="12">
        <v>0.25800000000000001</v>
      </c>
    </row>
    <row r="21" spans="1:24" x14ac:dyDescent="0.25">
      <c r="A21" t="s">
        <v>835</v>
      </c>
      <c r="B21">
        <v>0.27300000000000002</v>
      </c>
      <c r="C21">
        <v>1.03</v>
      </c>
      <c r="D21">
        <v>2.4900000000000002</v>
      </c>
      <c r="E21">
        <v>1.0900000000000001</v>
      </c>
      <c r="F21">
        <v>0.995</v>
      </c>
      <c r="G21">
        <v>1.22</v>
      </c>
      <c r="H21">
        <v>1.1299999999999999</v>
      </c>
      <c r="I21">
        <v>1.47</v>
      </c>
      <c r="J21">
        <v>0.91800000000000004</v>
      </c>
      <c r="K21">
        <v>0.504</v>
      </c>
      <c r="L21">
        <v>0.34200000000000003</v>
      </c>
      <c r="M21">
        <v>7.0000000000000001E-3</v>
      </c>
      <c r="N21" s="12">
        <v>8.0000000000000002E-3</v>
      </c>
    </row>
    <row r="22" spans="1:24" x14ac:dyDescent="0.25">
      <c r="A22" t="s">
        <v>836</v>
      </c>
      <c r="B22">
        <v>0.52360000000000007</v>
      </c>
      <c r="C22">
        <v>0.83160000000000001</v>
      </c>
      <c r="D22">
        <v>0.69479999999999997</v>
      </c>
      <c r="E22">
        <v>0.58340000000000003</v>
      </c>
      <c r="F22">
        <v>0.62370000000000003</v>
      </c>
      <c r="G22">
        <v>0.46689999999999998</v>
      </c>
      <c r="H22">
        <v>0.28570000000000001</v>
      </c>
      <c r="I22">
        <v>5.8200000000000002E-2</v>
      </c>
      <c r="J22">
        <v>3.15E-2</v>
      </c>
      <c r="K22">
        <v>3.1399999999999997E-2</v>
      </c>
      <c r="L22" s="12">
        <v>3.15E-2</v>
      </c>
    </row>
    <row r="23" spans="1:24" x14ac:dyDescent="0.25">
      <c r="A23" t="s">
        <v>837</v>
      </c>
      <c r="B23">
        <v>0.59599999999999997</v>
      </c>
      <c r="C23">
        <v>5.22</v>
      </c>
      <c r="D23">
        <v>11.77</v>
      </c>
      <c r="E23">
        <v>9.26</v>
      </c>
      <c r="F23">
        <v>7.76</v>
      </c>
      <c r="G23">
        <v>6.64</v>
      </c>
      <c r="H23">
        <v>4.0199999999999996</v>
      </c>
      <c r="I23">
        <v>1.1599999999999999</v>
      </c>
      <c r="J23">
        <v>0.56899999999999995</v>
      </c>
      <c r="K23">
        <v>0.32500000000000001</v>
      </c>
      <c r="L23" s="12">
        <v>0.14299999999999999</v>
      </c>
    </row>
    <row r="24" spans="1:24" x14ac:dyDescent="0.25">
      <c r="A24" t="s">
        <v>838</v>
      </c>
      <c r="B24">
        <v>7.6619999999999999</v>
      </c>
      <c r="C24">
        <v>11.834</v>
      </c>
      <c r="D24">
        <v>5.907</v>
      </c>
      <c r="E24">
        <v>3.8010000000000002</v>
      </c>
      <c r="F24">
        <v>3.09</v>
      </c>
      <c r="G24">
        <v>2.7349999999999999</v>
      </c>
      <c r="H24">
        <v>2.105</v>
      </c>
      <c r="I24">
        <v>1.5029999999999999</v>
      </c>
      <c r="J24" s="12">
        <v>1.08</v>
      </c>
    </row>
    <row r="25" spans="1:24" x14ac:dyDescent="0.25">
      <c r="A25" t="s">
        <v>839</v>
      </c>
      <c r="B25">
        <v>5.0490000000000004</v>
      </c>
      <c r="C25">
        <v>18.513000000000002</v>
      </c>
      <c r="D25">
        <v>13.888999999999999</v>
      </c>
      <c r="E25">
        <v>5.8490000000000002</v>
      </c>
      <c r="F25">
        <v>7.09</v>
      </c>
      <c r="G25">
        <v>7.0830000000000002</v>
      </c>
      <c r="H25">
        <v>4.766</v>
      </c>
      <c r="I25">
        <v>2.1429999999999998</v>
      </c>
      <c r="J25">
        <v>1.026</v>
      </c>
      <c r="K25">
        <v>0.50239999999999996</v>
      </c>
      <c r="L25">
        <v>0.44869999999999999</v>
      </c>
      <c r="M25" s="12">
        <v>0.31850000000000001</v>
      </c>
    </row>
    <row r="26" spans="1:24" x14ac:dyDescent="0.25">
      <c r="A26" t="s">
        <v>840</v>
      </c>
      <c r="B26">
        <v>4.9000000000000002E-2</v>
      </c>
      <c r="C26">
        <v>4.6459999999999999</v>
      </c>
      <c r="D26">
        <v>3.8660000000000001</v>
      </c>
      <c r="E26">
        <v>3.7450000000000001</v>
      </c>
      <c r="F26">
        <v>4.24</v>
      </c>
      <c r="G26">
        <v>3.9580000000000002</v>
      </c>
      <c r="H26">
        <v>1.337</v>
      </c>
      <c r="I26">
        <v>0.76279999999999992</v>
      </c>
      <c r="J26">
        <v>0.50670000000000004</v>
      </c>
      <c r="K26" s="12">
        <v>0.30410000000000004</v>
      </c>
    </row>
    <row r="27" spans="1:24" x14ac:dyDescent="0.25">
      <c r="A27" t="s">
        <v>841</v>
      </c>
      <c r="B27">
        <v>0.1113</v>
      </c>
      <c r="C27">
        <v>0.38889999999999997</v>
      </c>
      <c r="D27">
        <v>0.57940000000000003</v>
      </c>
      <c r="E27">
        <v>0.52390000000000003</v>
      </c>
      <c r="F27">
        <v>0.51870000000000005</v>
      </c>
      <c r="G27">
        <v>0.37519999999999998</v>
      </c>
      <c r="H27">
        <v>0.19490000000000002</v>
      </c>
      <c r="I27">
        <v>8.7800000000000003E-2</v>
      </c>
      <c r="J27">
        <v>4.0500000000000001E-2</v>
      </c>
      <c r="K27">
        <v>2.0500000000000001E-2</v>
      </c>
      <c r="L27">
        <v>1.3599999999999999E-2</v>
      </c>
      <c r="M27">
        <v>8.0999999999999996E-3</v>
      </c>
      <c r="N27">
        <v>6.7000000000000002E-3</v>
      </c>
      <c r="O27">
        <v>6.7000000000000002E-3</v>
      </c>
      <c r="P27">
        <v>5.9000000000000007E-3</v>
      </c>
      <c r="Q27">
        <v>5.9000000000000007E-3</v>
      </c>
      <c r="R27" s="12">
        <v>7.1999999999999998E-3</v>
      </c>
    </row>
    <row r="28" spans="1:24" x14ac:dyDescent="0.25">
      <c r="A28" t="s">
        <v>842</v>
      </c>
      <c r="B28">
        <v>1.016</v>
      </c>
      <c r="C28">
        <v>1.111</v>
      </c>
      <c r="D28">
        <v>0.69029999999999991</v>
      </c>
      <c r="E28">
        <v>0.51149999999999995</v>
      </c>
      <c r="F28">
        <v>0.53910000000000002</v>
      </c>
      <c r="G28">
        <v>0.58120000000000005</v>
      </c>
      <c r="H28">
        <v>0.40810000000000002</v>
      </c>
      <c r="I28" s="12">
        <v>0.25209999999999999</v>
      </c>
    </row>
    <row r="29" spans="1:24" x14ac:dyDescent="0.25">
      <c r="A29" t="s">
        <v>843</v>
      </c>
      <c r="B29">
        <v>0.11899999999999999</v>
      </c>
      <c r="C29">
        <v>24.481999999999999</v>
      </c>
      <c r="D29">
        <v>20.134</v>
      </c>
      <c r="E29">
        <v>10.571</v>
      </c>
      <c r="F29">
        <v>3.9540000000000002</v>
      </c>
      <c r="G29">
        <v>3.3519999999999999</v>
      </c>
      <c r="H29">
        <v>3.9950000000000001</v>
      </c>
      <c r="I29">
        <v>3.51</v>
      </c>
      <c r="J29">
        <v>2.7730000000000001</v>
      </c>
      <c r="K29">
        <v>2.2869999999999999</v>
      </c>
      <c r="L29">
        <v>1.4319999999999999</v>
      </c>
      <c r="M29">
        <v>0.96789999999999998</v>
      </c>
      <c r="N29">
        <v>0.55489999999999995</v>
      </c>
      <c r="O29">
        <v>0.34789999999999999</v>
      </c>
      <c r="P29">
        <v>0.20330000000000001</v>
      </c>
      <c r="Q29">
        <v>0.12969999999999998</v>
      </c>
      <c r="R29">
        <v>7.1199999999999999E-2</v>
      </c>
      <c r="S29">
        <v>5.4600000000000003E-2</v>
      </c>
      <c r="T29">
        <v>4.07E-2</v>
      </c>
      <c r="U29">
        <v>3.1699999999999999E-2</v>
      </c>
      <c r="V29">
        <v>2.8899999999999999E-2</v>
      </c>
      <c r="W29">
        <v>2.41E-2</v>
      </c>
      <c r="X29" s="12">
        <v>2.2100000000000002E-2</v>
      </c>
    </row>
    <row r="30" spans="1:24" x14ac:dyDescent="0.25">
      <c r="A30" t="s">
        <v>844</v>
      </c>
      <c r="B30">
        <v>3.3849999999999998</v>
      </c>
      <c r="C30">
        <v>1.736</v>
      </c>
      <c r="D30">
        <v>0.96</v>
      </c>
      <c r="E30">
        <v>0.57989999999999997</v>
      </c>
      <c r="F30">
        <v>0.53979999999999995</v>
      </c>
      <c r="G30">
        <v>0.44110000000000005</v>
      </c>
      <c r="H30">
        <v>0.28079999999999999</v>
      </c>
      <c r="I30">
        <v>0.1681</v>
      </c>
      <c r="J30">
        <v>0.13440000000000002</v>
      </c>
      <c r="K30" s="12">
        <v>0.10290000000000001</v>
      </c>
    </row>
    <row r="31" spans="1:24" x14ac:dyDescent="0.25">
      <c r="A31" t="s">
        <v>845</v>
      </c>
      <c r="B31">
        <v>0.88690000000000002</v>
      </c>
      <c r="C31">
        <v>1.5720000000000001</v>
      </c>
      <c r="D31">
        <v>0.48669999999999997</v>
      </c>
      <c r="E31">
        <v>0.40899999999999997</v>
      </c>
      <c r="F31">
        <v>0.3775</v>
      </c>
      <c r="G31">
        <v>0.29480000000000001</v>
      </c>
      <c r="H31">
        <v>0.19400000000000001</v>
      </c>
      <c r="I31">
        <v>0.15580000000000002</v>
      </c>
      <c r="J31" s="12">
        <v>8.9700000000000002E-2</v>
      </c>
    </row>
    <row r="32" spans="1:24" x14ac:dyDescent="0.25">
      <c r="A32" t="s">
        <v>846</v>
      </c>
      <c r="B32">
        <v>1.3</v>
      </c>
      <c r="C32">
        <v>12.04</v>
      </c>
      <c r="D32">
        <v>11.773</v>
      </c>
      <c r="E32">
        <v>8.2460000000000004</v>
      </c>
      <c r="F32">
        <v>6.476</v>
      </c>
      <c r="G32">
        <v>7.5469999999999997</v>
      </c>
      <c r="H32">
        <v>6.67</v>
      </c>
      <c r="I32">
        <v>4.484</v>
      </c>
      <c r="J32">
        <v>1.7070000000000001</v>
      </c>
      <c r="K32" s="12">
        <v>0.94450000000000001</v>
      </c>
    </row>
    <row r="33" spans="1:19" x14ac:dyDescent="0.25">
      <c r="A33" t="s">
        <v>847</v>
      </c>
      <c r="B33">
        <v>0.52900000000000003</v>
      </c>
      <c r="C33">
        <v>1.94</v>
      </c>
      <c r="D33">
        <v>2.11</v>
      </c>
      <c r="E33">
        <v>1.29</v>
      </c>
      <c r="F33">
        <v>1.1599999999999999</v>
      </c>
      <c r="G33">
        <v>0.78700000000000003</v>
      </c>
      <c r="H33" s="12">
        <v>0.312</v>
      </c>
    </row>
    <row r="34" spans="1:19" x14ac:dyDescent="0.25">
      <c r="A34" t="s">
        <v>848</v>
      </c>
      <c r="B34">
        <v>2.09</v>
      </c>
      <c r="C34">
        <v>6.96</v>
      </c>
      <c r="D34">
        <v>5.99</v>
      </c>
      <c r="E34">
        <v>7.67</v>
      </c>
      <c r="F34">
        <v>9.27</v>
      </c>
      <c r="G34">
        <v>7.56</v>
      </c>
      <c r="H34">
        <v>3.29</v>
      </c>
      <c r="I34">
        <v>1.71</v>
      </c>
      <c r="J34" s="12">
        <v>0.65700000000000003</v>
      </c>
    </row>
    <row r="35" spans="1:19" x14ac:dyDescent="0.25">
      <c r="A35" t="s">
        <v>849</v>
      </c>
      <c r="B35">
        <v>2.536</v>
      </c>
      <c r="C35">
        <v>4.4800000000000004</v>
      </c>
      <c r="D35">
        <v>3.879</v>
      </c>
      <c r="E35">
        <v>2.552</v>
      </c>
      <c r="F35">
        <v>3.5009999999999999</v>
      </c>
      <c r="G35">
        <v>4.6900000000000004</v>
      </c>
      <c r="H35">
        <v>4.72</v>
      </c>
      <c r="I35">
        <v>3.1459999999999999</v>
      </c>
      <c r="J35">
        <v>1.7649999999999999</v>
      </c>
      <c r="K35">
        <v>0.90539999999999998</v>
      </c>
      <c r="L35">
        <v>0.48380000000000001</v>
      </c>
      <c r="M35">
        <v>0.25939999999999996</v>
      </c>
      <c r="N35">
        <v>0.13119999999999998</v>
      </c>
      <c r="O35">
        <v>7.2900000000000006E-2</v>
      </c>
      <c r="P35">
        <v>4.2299999999999997E-2</v>
      </c>
      <c r="Q35">
        <v>2.9399999999999999E-2</v>
      </c>
      <c r="R35">
        <v>2.1700000000000001E-2</v>
      </c>
      <c r="S35" s="12">
        <v>1.8200000000000001E-2</v>
      </c>
    </row>
    <row r="36" spans="1:19" x14ac:dyDescent="0.25">
      <c r="A36" t="s">
        <v>850</v>
      </c>
      <c r="B36">
        <v>0.23769999999999999</v>
      </c>
      <c r="C36">
        <v>0.18619999999999998</v>
      </c>
      <c r="D36">
        <v>0.109</v>
      </c>
      <c r="E36">
        <v>7.17E-2</v>
      </c>
      <c r="F36">
        <v>5.9200000000000003E-2</v>
      </c>
      <c r="G36">
        <v>4.1599999999999998E-2</v>
      </c>
      <c r="H36">
        <v>2.1899999999999999E-2</v>
      </c>
      <c r="I36">
        <v>9.4000000000000004E-3</v>
      </c>
      <c r="J36" s="12">
        <v>7.4000000000000003E-3</v>
      </c>
    </row>
    <row r="37" spans="1:19" x14ac:dyDescent="0.25">
      <c r="A37" t="s">
        <v>851</v>
      </c>
      <c r="B37">
        <v>0.31030000000000002</v>
      </c>
      <c r="C37">
        <v>1.752</v>
      </c>
      <c r="D37">
        <v>1.4690000000000001</v>
      </c>
      <c r="E37">
        <v>2.0379999999999998</v>
      </c>
      <c r="F37">
        <v>2.2010000000000001</v>
      </c>
      <c r="G37">
        <v>2.9630000000000001</v>
      </c>
      <c r="H37">
        <v>2.72</v>
      </c>
      <c r="I37">
        <v>2.0430000000000001</v>
      </c>
      <c r="J37">
        <v>1.3420000000000001</v>
      </c>
      <c r="K37">
        <v>0.38650000000000001</v>
      </c>
      <c r="L37" s="12">
        <v>9.9099999999999994E-2</v>
      </c>
    </row>
    <row r="38" spans="1:19" x14ac:dyDescent="0.25">
      <c r="A38" t="s">
        <v>852</v>
      </c>
      <c r="B38">
        <v>4.5919999999999996</v>
      </c>
      <c r="C38">
        <v>7.5940000000000003</v>
      </c>
      <c r="D38">
        <v>3.8119999999999998</v>
      </c>
      <c r="E38">
        <v>3.5190000000000001</v>
      </c>
      <c r="F38">
        <v>4.0780000000000003</v>
      </c>
      <c r="G38">
        <v>2.7240000000000002</v>
      </c>
      <c r="H38">
        <v>1.635</v>
      </c>
      <c r="I38">
        <v>0.86170000000000002</v>
      </c>
      <c r="J38">
        <v>0.52370000000000005</v>
      </c>
      <c r="K38">
        <v>0.50349999999999995</v>
      </c>
      <c r="L38">
        <v>0.6762999999999999</v>
      </c>
      <c r="M38" s="12">
        <v>0.4093</v>
      </c>
    </row>
    <row r="39" spans="1:19" x14ac:dyDescent="0.25">
      <c r="A39" t="s">
        <v>853</v>
      </c>
      <c r="B39">
        <v>1.1060000000000001</v>
      </c>
      <c r="C39">
        <v>1.861</v>
      </c>
      <c r="D39">
        <v>2.766</v>
      </c>
      <c r="E39">
        <v>0.94320000000000004</v>
      </c>
      <c r="F39">
        <v>0.89249999999999996</v>
      </c>
      <c r="G39">
        <v>0.97089999999999999</v>
      </c>
      <c r="H39">
        <v>0.73970000000000002</v>
      </c>
      <c r="I39" s="12">
        <v>0.43819999999999998</v>
      </c>
    </row>
    <row r="40" spans="1:19" x14ac:dyDescent="0.25">
      <c r="A40" t="s">
        <v>854</v>
      </c>
      <c r="B40">
        <v>0.2339</v>
      </c>
      <c r="C40">
        <v>0.53060000000000007</v>
      </c>
      <c r="D40">
        <v>2.2069999999999999</v>
      </c>
      <c r="E40">
        <v>1.4239999999999999</v>
      </c>
      <c r="F40">
        <v>1.111</v>
      </c>
      <c r="G40">
        <v>1.294</v>
      </c>
      <c r="H40">
        <v>1.516</v>
      </c>
      <c r="I40" s="12">
        <v>1.1579999999999999</v>
      </c>
    </row>
    <row r="41" spans="1:19" x14ac:dyDescent="0.25">
      <c r="A41" t="s">
        <v>855</v>
      </c>
      <c r="B41">
        <v>0.13009999999999999</v>
      </c>
      <c r="C41">
        <v>0.16700000000000001</v>
      </c>
      <c r="D41">
        <v>0.25080000000000002</v>
      </c>
      <c r="E41">
        <v>0.19590000000000002</v>
      </c>
      <c r="F41">
        <v>0.21049999999999999</v>
      </c>
      <c r="G41">
        <v>0.223</v>
      </c>
      <c r="H41">
        <v>0.1666</v>
      </c>
      <c r="I41" s="12">
        <v>9.240000000000001E-2</v>
      </c>
    </row>
    <row r="42" spans="1:19" x14ac:dyDescent="0.25">
      <c r="A42" t="s">
        <v>856</v>
      </c>
      <c r="B42">
        <v>1.155</v>
      </c>
      <c r="C42">
        <v>2.4510000000000001</v>
      </c>
      <c r="D42">
        <v>1.7949999999999999</v>
      </c>
      <c r="E42">
        <v>1.101</v>
      </c>
      <c r="F42">
        <v>0.8627999999999999</v>
      </c>
      <c r="G42">
        <v>0.63149999999999995</v>
      </c>
      <c r="H42">
        <v>0.44930000000000003</v>
      </c>
      <c r="I42" s="12">
        <v>0.2802</v>
      </c>
    </row>
    <row r="43" spans="1:19" x14ac:dyDescent="0.25">
      <c r="A43" t="s">
        <v>857</v>
      </c>
      <c r="B43">
        <v>1.54</v>
      </c>
      <c r="C43">
        <v>3.16</v>
      </c>
      <c r="D43">
        <v>2.41</v>
      </c>
      <c r="E43">
        <v>3.38</v>
      </c>
      <c r="F43">
        <v>3.09</v>
      </c>
      <c r="G43">
        <v>2</v>
      </c>
      <c r="H43">
        <v>0.63700000000000001</v>
      </c>
      <c r="I43">
        <v>0.22500000000000001</v>
      </c>
      <c r="J43">
        <v>0.115</v>
      </c>
      <c r="K43">
        <v>7.0999999999999994E-2</v>
      </c>
      <c r="L43">
        <v>5.0999999999999997E-2</v>
      </c>
      <c r="M43" s="12">
        <v>3.6999999999999998E-2</v>
      </c>
    </row>
    <row r="44" spans="1:19" x14ac:dyDescent="0.25">
      <c r="A44" t="s">
        <v>858</v>
      </c>
      <c r="B44">
        <v>0.28399999999999997</v>
      </c>
      <c r="C44">
        <v>0.76400000000000001</v>
      </c>
      <c r="D44">
        <v>0.73899999999999999</v>
      </c>
      <c r="E44">
        <v>0.495</v>
      </c>
      <c r="F44">
        <v>0.48899999999999999</v>
      </c>
      <c r="G44">
        <v>0.46700000000000003</v>
      </c>
      <c r="H44" s="12">
        <v>0.183</v>
      </c>
    </row>
    <row r="45" spans="1:19" x14ac:dyDescent="0.25">
      <c r="A45" t="s">
        <v>859</v>
      </c>
      <c r="B45">
        <v>0.26300000000000001</v>
      </c>
      <c r="C45">
        <v>0.36599999999999999</v>
      </c>
      <c r="D45">
        <v>0.93</v>
      </c>
      <c r="E45">
        <v>1.28</v>
      </c>
      <c r="F45">
        <v>1.01</v>
      </c>
      <c r="G45">
        <v>0.78400000000000003</v>
      </c>
      <c r="H45">
        <v>0.41299999999999998</v>
      </c>
      <c r="I45">
        <v>0.23699999999999999</v>
      </c>
      <c r="J45">
        <v>0.18099999999999999</v>
      </c>
      <c r="K45" s="12">
        <v>0.13900000000000001</v>
      </c>
    </row>
    <row r="46" spans="1:19" x14ac:dyDescent="0.25">
      <c r="A46" t="s">
        <v>860</v>
      </c>
      <c r="B46">
        <v>0.21199999999999999</v>
      </c>
      <c r="C46">
        <v>0.27600000000000002</v>
      </c>
      <c r="D46">
        <v>0.61199999999999999</v>
      </c>
      <c r="E46">
        <v>0.75700000000000001</v>
      </c>
      <c r="F46">
        <v>0.47899999999999998</v>
      </c>
      <c r="G46">
        <v>0.43</v>
      </c>
      <c r="H46">
        <v>0.39400000000000002</v>
      </c>
      <c r="I46">
        <v>0.22800000000000001</v>
      </c>
      <c r="J46" s="12">
        <v>0.125</v>
      </c>
    </row>
    <row r="47" spans="1:19" x14ac:dyDescent="0.25">
      <c r="A47" t="s">
        <v>861</v>
      </c>
      <c r="B47">
        <v>3.6</v>
      </c>
      <c r="C47">
        <v>14.44</v>
      </c>
      <c r="D47">
        <v>6.84</v>
      </c>
      <c r="E47">
        <v>7.14</v>
      </c>
      <c r="F47">
        <v>6.84</v>
      </c>
      <c r="G47">
        <v>5.49</v>
      </c>
      <c r="H47">
        <v>3.87</v>
      </c>
      <c r="I47">
        <v>2.2999999999999998</v>
      </c>
      <c r="J47">
        <v>1.54</v>
      </c>
      <c r="K47">
        <v>1.1499999999999999</v>
      </c>
      <c r="L47">
        <v>0.72699999999999998</v>
      </c>
      <c r="M47">
        <v>0.48199999999999998</v>
      </c>
      <c r="N47">
        <v>0.36399999999999999</v>
      </c>
      <c r="O47">
        <v>0.26700000000000002</v>
      </c>
      <c r="P47">
        <v>0.217</v>
      </c>
      <c r="Q47">
        <v>0.16</v>
      </c>
      <c r="R47">
        <v>0.14699999999999999</v>
      </c>
      <c r="S47">
        <v>0.14299999999999999</v>
      </c>
    </row>
    <row r="49" spans="1:35" x14ac:dyDescent="0.25">
      <c r="A49" t="s">
        <v>184</v>
      </c>
      <c r="B49" t="s">
        <v>185</v>
      </c>
      <c r="C49" t="s">
        <v>186</v>
      </c>
    </row>
    <row r="50" spans="1:35" x14ac:dyDescent="0.25">
      <c r="A50" s="3" t="s">
        <v>862</v>
      </c>
      <c r="B50" s="2">
        <v>0.78472222222222221</v>
      </c>
      <c r="C50">
        <v>1.1140000000000001</v>
      </c>
      <c r="F50" s="30" t="str">
        <f>TEXT(A50,"yyyy/mm/dd") &amp; " " &amp; TEXT(B50,"hh:mm:ss")</f>
        <v>2019/11/16 18:50:00</v>
      </c>
      <c r="G50" s="30" t="s">
        <v>1164</v>
      </c>
      <c r="H50" s="30"/>
      <c r="I50" s="29"/>
      <c r="J50" s="32" t="s">
        <v>816</v>
      </c>
      <c r="K50" s="33">
        <f>DATE(YEAR(L50), MONTH(L50), DAY(L50))</f>
        <v>43785</v>
      </c>
      <c r="L50" s="33" t="s">
        <v>1164</v>
      </c>
      <c r="M50" s="32" t="s">
        <v>1163</v>
      </c>
      <c r="N50" s="32" t="s">
        <v>1162</v>
      </c>
      <c r="O50" s="32" t="s">
        <v>1161</v>
      </c>
      <c r="P50" s="32" t="s">
        <v>1160</v>
      </c>
      <c r="Q50" s="32" t="s">
        <v>1159</v>
      </c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</row>
    <row r="51" spans="1:35" x14ac:dyDescent="0.25">
      <c r="A51" s="3" t="s">
        <v>862</v>
      </c>
      <c r="B51" s="2">
        <v>0.97013888888888899</v>
      </c>
      <c r="C51">
        <v>2.9350000000000001</v>
      </c>
      <c r="F51" t="str">
        <f t="shared" ref="F51:F114" si="0">TEXT(A51,"yyyy/mm/dd") &amp; " " &amp; TEXT(B51,"hh:mm:ss")</f>
        <v>2019/11/16 23:17:00</v>
      </c>
      <c r="G51" t="s">
        <v>1163</v>
      </c>
      <c r="J51" t="s">
        <v>817</v>
      </c>
      <c r="K51" s="33">
        <f t="shared" ref="K51:K95" si="1">DATE(YEAR(L51), MONTH(L51), DAY(L51))</f>
        <v>43496</v>
      </c>
      <c r="L51" t="s">
        <v>1165</v>
      </c>
      <c r="M51" t="s">
        <v>1166</v>
      </c>
      <c r="N51" t="s">
        <v>1167</v>
      </c>
      <c r="O51" t="s">
        <v>1168</v>
      </c>
      <c r="P51" t="s">
        <v>1169</v>
      </c>
      <c r="Q51" t="s">
        <v>1170</v>
      </c>
      <c r="R51" s="12" t="s">
        <v>1171</v>
      </c>
    </row>
    <row r="52" spans="1:35" x14ac:dyDescent="0.25">
      <c r="A52" s="3" t="s">
        <v>863</v>
      </c>
      <c r="B52" s="2">
        <v>2.8472222222222222E-2</v>
      </c>
      <c r="C52">
        <v>3.26</v>
      </c>
      <c r="F52" t="str">
        <f t="shared" si="0"/>
        <v>2019/11/17 00:41:00</v>
      </c>
      <c r="G52" t="s">
        <v>1162</v>
      </c>
      <c r="J52" t="s">
        <v>818</v>
      </c>
      <c r="K52" s="33">
        <f t="shared" si="1"/>
        <v>43467</v>
      </c>
      <c r="L52" t="s">
        <v>1172</v>
      </c>
      <c r="M52" t="s">
        <v>1173</v>
      </c>
      <c r="N52" t="s">
        <v>1174</v>
      </c>
      <c r="O52" t="s">
        <v>1175</v>
      </c>
      <c r="P52" t="s">
        <v>1176</v>
      </c>
      <c r="Q52" s="12" t="s">
        <v>1177</v>
      </c>
    </row>
    <row r="53" spans="1:35" x14ac:dyDescent="0.25">
      <c r="A53" s="3" t="s">
        <v>864</v>
      </c>
      <c r="B53" s="2">
        <v>2.2222222222222223E-2</v>
      </c>
      <c r="C53">
        <v>2.2690000000000001</v>
      </c>
      <c r="F53" t="str">
        <f t="shared" si="0"/>
        <v>2019/11/18 00:32:00</v>
      </c>
      <c r="G53" t="s">
        <v>1161</v>
      </c>
      <c r="J53" t="s">
        <v>819</v>
      </c>
      <c r="K53" s="33">
        <f t="shared" si="1"/>
        <v>43520</v>
      </c>
      <c r="L53" t="s">
        <v>1178</v>
      </c>
      <c r="M53" t="s">
        <v>1179</v>
      </c>
      <c r="N53" t="s">
        <v>1180</v>
      </c>
      <c r="O53" t="s">
        <v>497</v>
      </c>
      <c r="P53" t="s">
        <v>499</v>
      </c>
      <c r="Q53" t="s">
        <v>500</v>
      </c>
      <c r="R53" t="s">
        <v>502</v>
      </c>
      <c r="S53" t="s">
        <v>1181</v>
      </c>
      <c r="T53" t="s">
        <v>504</v>
      </c>
      <c r="U53" t="s">
        <v>505</v>
      </c>
      <c r="V53" s="12" t="s">
        <v>1182</v>
      </c>
    </row>
    <row r="54" spans="1:35" x14ac:dyDescent="0.25">
      <c r="A54" s="3" t="s">
        <v>865</v>
      </c>
      <c r="B54" s="2">
        <v>1.9444444444444445E-2</v>
      </c>
      <c r="C54">
        <v>1.9430000000000001</v>
      </c>
      <c r="F54" t="str">
        <f t="shared" si="0"/>
        <v>2019/11/20 00:28:00</v>
      </c>
      <c r="G54" t="s">
        <v>1160</v>
      </c>
      <c r="J54" t="s">
        <v>820</v>
      </c>
      <c r="K54" s="33">
        <f t="shared" si="1"/>
        <v>43723</v>
      </c>
      <c r="L54" t="s">
        <v>1183</v>
      </c>
      <c r="M54" t="s">
        <v>1184</v>
      </c>
      <c r="N54" t="s">
        <v>1185</v>
      </c>
      <c r="O54" t="s">
        <v>1186</v>
      </c>
      <c r="P54" t="s">
        <v>1187</v>
      </c>
      <c r="Q54" t="s">
        <v>1188</v>
      </c>
      <c r="R54" s="12" t="s">
        <v>1189</v>
      </c>
    </row>
    <row r="55" spans="1:35" s="12" customFormat="1" x14ac:dyDescent="0.25">
      <c r="A55" s="10" t="s">
        <v>866</v>
      </c>
      <c r="B55" s="28">
        <v>1.3888888888888889E-3</v>
      </c>
      <c r="C55" s="12">
        <v>1.0569999999999999</v>
      </c>
      <c r="F55" t="str">
        <f t="shared" si="0"/>
        <v>2019/11/21 00:02:00</v>
      </c>
      <c r="G55" s="12" t="s">
        <v>1159</v>
      </c>
      <c r="J55" t="s">
        <v>821</v>
      </c>
      <c r="K55" s="33">
        <f t="shared" si="1"/>
        <v>43821</v>
      </c>
      <c r="L55" t="s">
        <v>1190</v>
      </c>
      <c r="M55" t="s">
        <v>1191</v>
      </c>
      <c r="N55" t="s">
        <v>1192</v>
      </c>
      <c r="O55" t="s">
        <v>1193</v>
      </c>
      <c r="P55" t="s">
        <v>1194</v>
      </c>
      <c r="Q55" t="s">
        <v>1195</v>
      </c>
      <c r="R55" t="s">
        <v>1196</v>
      </c>
      <c r="S55" t="s">
        <v>1197</v>
      </c>
      <c r="T55" t="s">
        <v>1198</v>
      </c>
      <c r="U55" t="s">
        <v>1199</v>
      </c>
      <c r="V55" s="12" t="s">
        <v>1200</v>
      </c>
      <c r="AH55" s="32"/>
      <c r="AI55"/>
    </row>
    <row r="56" spans="1:35" x14ac:dyDescent="0.25">
      <c r="A56" s="3" t="s">
        <v>867</v>
      </c>
      <c r="B56" s="2">
        <v>0.85486111111111107</v>
      </c>
      <c r="C56">
        <v>0.159</v>
      </c>
      <c r="F56" t="str">
        <f t="shared" si="0"/>
        <v>2019/01/31 20:31:00</v>
      </c>
      <c r="G56" t="s">
        <v>1165</v>
      </c>
      <c r="J56" t="s">
        <v>822</v>
      </c>
      <c r="K56" s="33">
        <f t="shared" si="1"/>
        <v>43704</v>
      </c>
      <c r="L56" t="s">
        <v>1201</v>
      </c>
      <c r="M56" t="s">
        <v>1202</v>
      </c>
      <c r="N56" t="s">
        <v>1203</v>
      </c>
      <c r="O56" t="s">
        <v>1204</v>
      </c>
      <c r="P56" t="s">
        <v>1205</v>
      </c>
      <c r="Q56" t="s">
        <v>1206</v>
      </c>
      <c r="R56" t="s">
        <v>1207</v>
      </c>
      <c r="S56" t="s">
        <v>1208</v>
      </c>
      <c r="T56" t="s">
        <v>1209</v>
      </c>
      <c r="U56" t="s">
        <v>1210</v>
      </c>
      <c r="V56" t="s">
        <v>1211</v>
      </c>
      <c r="W56" s="12" t="s">
        <v>1212</v>
      </c>
    </row>
    <row r="57" spans="1:35" x14ac:dyDescent="0.25">
      <c r="A57" s="3" t="s">
        <v>867</v>
      </c>
      <c r="B57" s="2">
        <v>0.99722222222222223</v>
      </c>
      <c r="C57">
        <v>10.68</v>
      </c>
      <c r="F57" t="str">
        <f t="shared" si="0"/>
        <v>2019/01/31 23:56:00</v>
      </c>
      <c r="G57" t="s">
        <v>1166</v>
      </c>
      <c r="J57" t="s">
        <v>823</v>
      </c>
      <c r="K57" s="33">
        <f t="shared" si="1"/>
        <v>43263</v>
      </c>
      <c r="L57" t="s">
        <v>1213</v>
      </c>
      <c r="M57" t="s">
        <v>1214</v>
      </c>
      <c r="N57" t="s">
        <v>1215</v>
      </c>
      <c r="O57" t="s">
        <v>1216</v>
      </c>
      <c r="P57" t="s">
        <v>1217</v>
      </c>
      <c r="Q57" t="s">
        <v>1218</v>
      </c>
      <c r="R57" t="s">
        <v>530</v>
      </c>
      <c r="S57" s="12" t="s">
        <v>1219</v>
      </c>
    </row>
    <row r="58" spans="1:35" x14ac:dyDescent="0.25">
      <c r="A58" s="3" t="s">
        <v>868</v>
      </c>
      <c r="B58" s="2">
        <v>1.1111111111111112E-2</v>
      </c>
      <c r="C58">
        <v>3.57</v>
      </c>
      <c r="F58" t="str">
        <f t="shared" si="0"/>
        <v>2019/02/01 00:16:00</v>
      </c>
      <c r="G58" t="s">
        <v>1167</v>
      </c>
      <c r="J58" t="s">
        <v>824</v>
      </c>
      <c r="K58" s="33">
        <f t="shared" si="1"/>
        <v>42357</v>
      </c>
      <c r="L58" t="s">
        <v>1220</v>
      </c>
      <c r="M58" t="s">
        <v>1221</v>
      </c>
      <c r="N58" t="s">
        <v>1222</v>
      </c>
      <c r="O58" t="s">
        <v>1223</v>
      </c>
      <c r="P58" t="s">
        <v>1224</v>
      </c>
      <c r="Q58" t="s">
        <v>1225</v>
      </c>
      <c r="R58" t="s">
        <v>1226</v>
      </c>
      <c r="S58" t="s">
        <v>1227</v>
      </c>
      <c r="T58" t="s">
        <v>1228</v>
      </c>
      <c r="U58" t="s">
        <v>1229</v>
      </c>
      <c r="V58" t="s">
        <v>1230</v>
      </c>
      <c r="W58" t="s">
        <v>1231</v>
      </c>
      <c r="X58" t="s">
        <v>1232</v>
      </c>
      <c r="Y58" t="s">
        <v>1233</v>
      </c>
      <c r="Z58" s="12" t="s">
        <v>1234</v>
      </c>
    </row>
    <row r="59" spans="1:35" x14ac:dyDescent="0.25">
      <c r="A59" s="3" t="s">
        <v>869</v>
      </c>
      <c r="B59" s="2">
        <v>8.3333333333333332E-3</v>
      </c>
      <c r="C59">
        <v>2.1</v>
      </c>
      <c r="F59" t="str">
        <f t="shared" si="0"/>
        <v>2019/02/02 00:12:00</v>
      </c>
      <c r="G59" t="s">
        <v>1168</v>
      </c>
      <c r="J59" t="s">
        <v>825</v>
      </c>
      <c r="K59" s="33">
        <f t="shared" si="1"/>
        <v>43442</v>
      </c>
      <c r="L59" t="s">
        <v>1235</v>
      </c>
      <c r="M59" t="s">
        <v>1236</v>
      </c>
      <c r="N59" t="s">
        <v>1237</v>
      </c>
      <c r="O59" t="s">
        <v>1238</v>
      </c>
      <c r="P59" t="s">
        <v>1239</v>
      </c>
      <c r="Q59" t="s">
        <v>1240</v>
      </c>
      <c r="R59" t="s">
        <v>1241</v>
      </c>
      <c r="S59" t="s">
        <v>1242</v>
      </c>
      <c r="T59" t="s">
        <v>1243</v>
      </c>
      <c r="U59" s="12" t="s">
        <v>1244</v>
      </c>
    </row>
    <row r="60" spans="1:35" x14ac:dyDescent="0.25">
      <c r="A60" s="3" t="s">
        <v>870</v>
      </c>
      <c r="B60" s="2">
        <v>6.2499999999999995E-3</v>
      </c>
      <c r="C60">
        <v>1.62</v>
      </c>
      <c r="F60" t="str">
        <f t="shared" si="0"/>
        <v>2019/02/03 00:09:00</v>
      </c>
      <c r="G60" t="s">
        <v>1169</v>
      </c>
      <c r="J60" t="s">
        <v>826</v>
      </c>
      <c r="K60" s="33">
        <f t="shared" si="1"/>
        <v>43481</v>
      </c>
      <c r="L60" t="s">
        <v>1245</v>
      </c>
      <c r="M60" t="s">
        <v>1246</v>
      </c>
      <c r="N60" t="s">
        <v>1247</v>
      </c>
      <c r="O60" t="s">
        <v>1248</v>
      </c>
      <c r="P60" t="s">
        <v>1249</v>
      </c>
      <c r="Q60" s="12" t="s">
        <v>1250</v>
      </c>
    </row>
    <row r="61" spans="1:35" x14ac:dyDescent="0.25">
      <c r="A61" s="3" t="s">
        <v>871</v>
      </c>
      <c r="B61" s="2">
        <v>6.9444444444444447E-4</v>
      </c>
      <c r="C61">
        <v>1.73</v>
      </c>
      <c r="F61" t="str">
        <f t="shared" si="0"/>
        <v>2019/02/04 00:01:00</v>
      </c>
      <c r="G61" t="s">
        <v>1170</v>
      </c>
      <c r="J61" t="s">
        <v>827</v>
      </c>
      <c r="K61" s="33">
        <f t="shared" si="1"/>
        <v>43159</v>
      </c>
      <c r="L61" t="s">
        <v>1251</v>
      </c>
      <c r="M61" t="s">
        <v>1252</v>
      </c>
      <c r="N61" t="s">
        <v>1253</v>
      </c>
      <c r="O61" t="s">
        <v>1254</v>
      </c>
      <c r="P61" t="s">
        <v>524</v>
      </c>
      <c r="Q61" t="s">
        <v>525</v>
      </c>
      <c r="R61" t="s">
        <v>1255</v>
      </c>
      <c r="S61" t="s">
        <v>1256</v>
      </c>
      <c r="T61" s="12" t="s">
        <v>1257</v>
      </c>
    </row>
    <row r="62" spans="1:35" s="12" customFormat="1" x14ac:dyDescent="0.25">
      <c r="A62" s="10" t="s">
        <v>872</v>
      </c>
      <c r="B62" s="9">
        <v>2.0833333333333333E-3</v>
      </c>
      <c r="C62" s="12">
        <v>1.19</v>
      </c>
      <c r="F62" t="str">
        <f t="shared" si="0"/>
        <v>2019/02/05 00:03:00</v>
      </c>
      <c r="G62" s="12" t="s">
        <v>1171</v>
      </c>
      <c r="J62" t="s">
        <v>828</v>
      </c>
      <c r="K62" s="33">
        <f t="shared" si="1"/>
        <v>43225</v>
      </c>
      <c r="L62" t="s">
        <v>1258</v>
      </c>
      <c r="M62" t="s">
        <v>1259</v>
      </c>
      <c r="N62" t="s">
        <v>1260</v>
      </c>
      <c r="O62" t="s">
        <v>1261</v>
      </c>
      <c r="P62" t="s">
        <v>1262</v>
      </c>
      <c r="Q62" t="s">
        <v>1263</v>
      </c>
      <c r="R62" s="12" t="s">
        <v>1264</v>
      </c>
      <c r="AH62" s="32"/>
      <c r="AI62"/>
    </row>
    <row r="63" spans="1:35" x14ac:dyDescent="0.25">
      <c r="A63" s="3" t="s">
        <v>873</v>
      </c>
      <c r="B63" s="2">
        <v>0.32222222222222224</v>
      </c>
      <c r="C63">
        <v>7.4999999999999997E-2</v>
      </c>
      <c r="F63" t="str">
        <f t="shared" si="0"/>
        <v>2019/01/02 07:44:00</v>
      </c>
      <c r="G63" t="s">
        <v>1172</v>
      </c>
      <c r="J63" t="s">
        <v>829</v>
      </c>
      <c r="K63" s="33">
        <f t="shared" si="1"/>
        <v>43239</v>
      </c>
      <c r="L63" t="s">
        <v>1265</v>
      </c>
      <c r="M63" t="s">
        <v>1266</v>
      </c>
      <c r="N63" t="s">
        <v>1267</v>
      </c>
      <c r="O63" t="s">
        <v>1268</v>
      </c>
      <c r="P63" t="s">
        <v>1269</v>
      </c>
      <c r="Q63" t="s">
        <v>1270</v>
      </c>
      <c r="R63" t="s">
        <v>1271</v>
      </c>
      <c r="S63" s="12" t="s">
        <v>702</v>
      </c>
    </row>
    <row r="64" spans="1:35" x14ac:dyDescent="0.25">
      <c r="A64" s="3" t="s">
        <v>873</v>
      </c>
      <c r="B64" s="2">
        <v>0.75277777777777777</v>
      </c>
      <c r="C64">
        <v>0.188</v>
      </c>
      <c r="F64" t="str">
        <f t="shared" si="0"/>
        <v>2019/01/02 18:04:00</v>
      </c>
      <c r="G64" t="s">
        <v>1173</v>
      </c>
      <c r="J64" t="s">
        <v>830</v>
      </c>
      <c r="K64" s="33">
        <f t="shared" si="1"/>
        <v>45068</v>
      </c>
      <c r="L64" t="s">
        <v>1272</v>
      </c>
      <c r="M64" t="s">
        <v>1273</v>
      </c>
      <c r="N64" t="s">
        <v>1274</v>
      </c>
      <c r="O64" t="s">
        <v>1275</v>
      </c>
      <c r="P64" t="s">
        <v>1276</v>
      </c>
      <c r="Q64" t="s">
        <v>1277</v>
      </c>
      <c r="R64" t="s">
        <v>1278</v>
      </c>
      <c r="S64" s="12" t="s">
        <v>1279</v>
      </c>
    </row>
    <row r="65" spans="1:35" x14ac:dyDescent="0.25">
      <c r="A65" s="3" t="s">
        <v>874</v>
      </c>
      <c r="B65" s="2">
        <v>2.361111111111111E-2</v>
      </c>
      <c r="C65">
        <v>0.14599999999999999</v>
      </c>
      <c r="F65" t="str">
        <f t="shared" si="0"/>
        <v>2019/01/03 00:34:00</v>
      </c>
      <c r="G65" t="s">
        <v>1174</v>
      </c>
      <c r="J65" t="s">
        <v>831</v>
      </c>
      <c r="K65" s="33">
        <f t="shared" si="1"/>
        <v>44990</v>
      </c>
      <c r="L65" t="s">
        <v>1280</v>
      </c>
      <c r="M65" t="s">
        <v>1281</v>
      </c>
      <c r="N65" t="s">
        <v>1282</v>
      </c>
      <c r="O65" t="s">
        <v>1283</v>
      </c>
      <c r="P65" t="s">
        <v>1284</v>
      </c>
      <c r="Q65" s="12" t="s">
        <v>1285</v>
      </c>
    </row>
    <row r="66" spans="1:35" x14ac:dyDescent="0.25">
      <c r="A66" s="3" t="s">
        <v>875</v>
      </c>
      <c r="B66" s="2">
        <v>0.23402777777777781</v>
      </c>
      <c r="C66">
        <v>0.18099999999999999</v>
      </c>
      <c r="F66" t="str">
        <f t="shared" si="0"/>
        <v>2019/01/04 05:37:00</v>
      </c>
      <c r="G66" t="s">
        <v>1175</v>
      </c>
      <c r="J66" t="s">
        <v>832</v>
      </c>
      <c r="K66" s="33">
        <f t="shared" si="1"/>
        <v>44945</v>
      </c>
      <c r="L66" t="s">
        <v>1286</v>
      </c>
      <c r="M66" t="s">
        <v>1287</v>
      </c>
      <c r="N66" t="s">
        <v>1288</v>
      </c>
      <c r="O66" t="s">
        <v>1289</v>
      </c>
      <c r="P66" t="s">
        <v>1290</v>
      </c>
      <c r="Q66" t="s">
        <v>1291</v>
      </c>
      <c r="R66" t="s">
        <v>1292</v>
      </c>
      <c r="S66" s="12" t="s">
        <v>1293</v>
      </c>
    </row>
    <row r="67" spans="1:35" x14ac:dyDescent="0.25">
      <c r="A67" s="3" t="s">
        <v>876</v>
      </c>
      <c r="B67" s="2">
        <v>2.0833333333333333E-3</v>
      </c>
      <c r="C67">
        <v>0.18099999999999999</v>
      </c>
      <c r="F67" t="str">
        <f t="shared" si="0"/>
        <v>2019/01/05 00:03:00</v>
      </c>
      <c r="G67" t="s">
        <v>1176</v>
      </c>
      <c r="J67" t="s">
        <v>833</v>
      </c>
      <c r="K67" s="33">
        <f t="shared" si="1"/>
        <v>44500</v>
      </c>
      <c r="L67" t="s">
        <v>1294</v>
      </c>
      <c r="M67" t="s">
        <v>1295</v>
      </c>
      <c r="N67" t="s">
        <v>1296</v>
      </c>
      <c r="O67" t="s">
        <v>1297</v>
      </c>
      <c r="P67" t="s">
        <v>1298</v>
      </c>
      <c r="Q67" t="s">
        <v>1299</v>
      </c>
      <c r="R67" t="s">
        <v>1300</v>
      </c>
      <c r="S67" t="s">
        <v>1301</v>
      </c>
      <c r="T67" t="s">
        <v>1302</v>
      </c>
      <c r="U67" t="s">
        <v>1303</v>
      </c>
      <c r="V67" s="12" t="s">
        <v>1304</v>
      </c>
    </row>
    <row r="68" spans="1:35" s="12" customFormat="1" x14ac:dyDescent="0.25">
      <c r="A68" s="10" t="s">
        <v>877</v>
      </c>
      <c r="B68" s="9">
        <v>7.6388888888888886E-3</v>
      </c>
      <c r="C68" s="12">
        <v>0.14599999999999999</v>
      </c>
      <c r="F68" t="str">
        <f t="shared" si="0"/>
        <v>2019/01/06 00:11:00</v>
      </c>
      <c r="G68" s="12" t="s">
        <v>1177</v>
      </c>
      <c r="J68" t="s">
        <v>834</v>
      </c>
      <c r="K68" s="33">
        <f t="shared" si="1"/>
        <v>44348</v>
      </c>
      <c r="L68" t="s">
        <v>1305</v>
      </c>
      <c r="M68" t="s">
        <v>1306</v>
      </c>
      <c r="N68" t="s">
        <v>1307</v>
      </c>
      <c r="O68" t="s">
        <v>1308</v>
      </c>
      <c r="P68" t="s">
        <v>1309</v>
      </c>
      <c r="Q68" t="s">
        <v>1310</v>
      </c>
      <c r="R68" t="s">
        <v>1311</v>
      </c>
      <c r="S68" s="12" t="s">
        <v>1312</v>
      </c>
      <c r="AH68" s="32"/>
      <c r="AI68"/>
    </row>
    <row r="69" spans="1:35" x14ac:dyDescent="0.25">
      <c r="A69" s="3" t="s">
        <v>243</v>
      </c>
      <c r="B69" s="2">
        <v>0.43958333333333338</v>
      </c>
      <c r="C69">
        <v>3.6</v>
      </c>
      <c r="F69" t="str">
        <f t="shared" si="0"/>
        <v>2019/02/24 10:33:00</v>
      </c>
      <c r="G69" t="s">
        <v>1178</v>
      </c>
      <c r="J69" t="s">
        <v>835</v>
      </c>
      <c r="K69" s="33">
        <f t="shared" si="1"/>
        <v>42849</v>
      </c>
      <c r="L69" t="s">
        <v>1313</v>
      </c>
      <c r="M69" t="s">
        <v>1314</v>
      </c>
      <c r="N69" t="s">
        <v>1315</v>
      </c>
      <c r="O69" t="s">
        <v>1316</v>
      </c>
      <c r="P69" t="s">
        <v>1317</v>
      </c>
      <c r="Q69" t="s">
        <v>1318</v>
      </c>
      <c r="R69" t="s">
        <v>1319</v>
      </c>
      <c r="S69" t="s">
        <v>1320</v>
      </c>
      <c r="T69" t="s">
        <v>1321</v>
      </c>
      <c r="U69" t="s">
        <v>1322</v>
      </c>
      <c r="V69" t="s">
        <v>1323</v>
      </c>
      <c r="W69" t="s">
        <v>1324</v>
      </c>
      <c r="X69" s="12" t="s">
        <v>1325</v>
      </c>
    </row>
    <row r="70" spans="1:35" x14ac:dyDescent="0.25">
      <c r="A70" s="3" t="s">
        <v>243</v>
      </c>
      <c r="B70" s="2">
        <v>0.65208333333333335</v>
      </c>
      <c r="C70">
        <v>7.33</v>
      </c>
      <c r="F70" t="str">
        <f t="shared" si="0"/>
        <v>2019/02/24 15:39:00</v>
      </c>
      <c r="G70" t="s">
        <v>1179</v>
      </c>
      <c r="J70" t="s">
        <v>836</v>
      </c>
      <c r="K70" s="33">
        <f t="shared" si="1"/>
        <v>44893</v>
      </c>
      <c r="L70" t="s">
        <v>1326</v>
      </c>
      <c r="M70" t="s">
        <v>1327</v>
      </c>
      <c r="N70" t="s">
        <v>1328</v>
      </c>
      <c r="O70" t="s">
        <v>1329</v>
      </c>
      <c r="P70" t="s">
        <v>1330</v>
      </c>
      <c r="Q70" t="s">
        <v>1331</v>
      </c>
      <c r="R70" t="s">
        <v>1332</v>
      </c>
      <c r="S70" t="s">
        <v>1333</v>
      </c>
      <c r="T70" t="s">
        <v>1334</v>
      </c>
      <c r="U70" t="s">
        <v>1335</v>
      </c>
      <c r="V70" s="12" t="s">
        <v>1336</v>
      </c>
    </row>
    <row r="71" spans="1:35" x14ac:dyDescent="0.25">
      <c r="A71" s="3" t="s">
        <v>243</v>
      </c>
      <c r="B71" s="2">
        <v>0.98402777777777783</v>
      </c>
      <c r="C71">
        <v>6.12</v>
      </c>
      <c r="F71" t="str">
        <f t="shared" si="0"/>
        <v>2019/02/24 23:37:00</v>
      </c>
      <c r="G71" t="s">
        <v>1180</v>
      </c>
      <c r="J71" t="s">
        <v>837</v>
      </c>
      <c r="K71" s="33">
        <f t="shared" si="1"/>
        <v>42179</v>
      </c>
      <c r="L71" t="s">
        <v>1337</v>
      </c>
      <c r="M71" t="s">
        <v>1338</v>
      </c>
      <c r="N71" t="s">
        <v>1339</v>
      </c>
      <c r="O71" t="s">
        <v>1340</v>
      </c>
      <c r="P71" t="s">
        <v>1341</v>
      </c>
      <c r="Q71" t="s">
        <v>1342</v>
      </c>
      <c r="R71" t="s">
        <v>1343</v>
      </c>
      <c r="S71" t="s">
        <v>1344</v>
      </c>
      <c r="T71" t="s">
        <v>1345</v>
      </c>
      <c r="U71" t="s">
        <v>1346</v>
      </c>
      <c r="V71" s="12" t="s">
        <v>1347</v>
      </c>
    </row>
    <row r="72" spans="1:35" x14ac:dyDescent="0.25">
      <c r="A72" s="3" t="s">
        <v>244</v>
      </c>
      <c r="B72" s="2">
        <v>1.5972222222222224E-2</v>
      </c>
      <c r="C72">
        <v>4.84</v>
      </c>
      <c r="F72" t="str">
        <f t="shared" si="0"/>
        <v>2019/02/25 00:23:00</v>
      </c>
      <c r="G72" t="s">
        <v>497</v>
      </c>
      <c r="J72" t="s">
        <v>838</v>
      </c>
      <c r="K72" s="33">
        <f t="shared" si="1"/>
        <v>44286</v>
      </c>
      <c r="L72" t="s">
        <v>1348</v>
      </c>
      <c r="M72" t="s">
        <v>1349</v>
      </c>
      <c r="N72" t="s">
        <v>1350</v>
      </c>
      <c r="O72" t="s">
        <v>1351</v>
      </c>
      <c r="P72" t="s">
        <v>1352</v>
      </c>
      <c r="Q72" t="s">
        <v>1353</v>
      </c>
      <c r="R72" t="s">
        <v>1354</v>
      </c>
      <c r="S72" t="s">
        <v>1355</v>
      </c>
      <c r="T72" s="12" t="s">
        <v>1356</v>
      </c>
    </row>
    <row r="73" spans="1:35" x14ac:dyDescent="0.25">
      <c r="A73" s="3" t="s">
        <v>245</v>
      </c>
      <c r="B73" s="2">
        <v>1.1111111111111112E-2</v>
      </c>
      <c r="C73">
        <v>3.02</v>
      </c>
      <c r="F73" t="str">
        <f t="shared" si="0"/>
        <v>2019/02/26 00:16:00</v>
      </c>
      <c r="G73" t="s">
        <v>499</v>
      </c>
      <c r="J73" t="s">
        <v>839</v>
      </c>
      <c r="K73" s="33">
        <f t="shared" si="1"/>
        <v>44318</v>
      </c>
      <c r="L73" t="s">
        <v>1357</v>
      </c>
      <c r="M73" t="s">
        <v>1358</v>
      </c>
      <c r="N73" t="s">
        <v>1359</v>
      </c>
      <c r="O73" t="s">
        <v>1360</v>
      </c>
      <c r="P73" t="s">
        <v>1361</v>
      </c>
      <c r="Q73" t="s">
        <v>1362</v>
      </c>
      <c r="R73" t="s">
        <v>1363</v>
      </c>
      <c r="S73" t="s">
        <v>1364</v>
      </c>
      <c r="T73" t="s">
        <v>1365</v>
      </c>
      <c r="U73" t="s">
        <v>1366</v>
      </c>
      <c r="V73" t="s">
        <v>1367</v>
      </c>
      <c r="W73" s="12" t="s">
        <v>1368</v>
      </c>
    </row>
    <row r="74" spans="1:35" x14ac:dyDescent="0.25">
      <c r="A74" s="3" t="s">
        <v>246</v>
      </c>
      <c r="B74" s="2">
        <v>9.0277777777777787E-3</v>
      </c>
      <c r="C74">
        <v>2.42</v>
      </c>
      <c r="F74" t="str">
        <f t="shared" si="0"/>
        <v>2019/02/27 00:13:00</v>
      </c>
      <c r="G74" t="s">
        <v>500</v>
      </c>
      <c r="J74" t="s">
        <v>840</v>
      </c>
      <c r="K74" s="33">
        <f t="shared" si="1"/>
        <v>44377</v>
      </c>
      <c r="L74" t="s">
        <v>1369</v>
      </c>
      <c r="M74" s="12" t="s">
        <v>1370</v>
      </c>
      <c r="N74" t="s">
        <v>1371</v>
      </c>
      <c r="O74" t="s">
        <v>1372</v>
      </c>
      <c r="P74" t="s">
        <v>1373</v>
      </c>
      <c r="Q74" t="s">
        <v>1374</v>
      </c>
      <c r="R74" t="s">
        <v>1375</v>
      </c>
      <c r="S74" t="s">
        <v>1376</v>
      </c>
      <c r="T74" t="s">
        <v>1377</v>
      </c>
      <c r="U74" s="12" t="s">
        <v>1378</v>
      </c>
      <c r="AG74" s="32"/>
      <c r="AH74"/>
    </row>
    <row r="75" spans="1:35" x14ac:dyDescent="0.25">
      <c r="A75" s="3" t="s">
        <v>247</v>
      </c>
      <c r="B75" s="2">
        <v>3.472222222222222E-3</v>
      </c>
      <c r="C75">
        <v>2.38</v>
      </c>
      <c r="F75" t="str">
        <f t="shared" si="0"/>
        <v>2019/02/28 00:05:00</v>
      </c>
      <c r="G75" t="s">
        <v>502</v>
      </c>
      <c r="J75" t="s">
        <v>841</v>
      </c>
      <c r="K75" s="33">
        <f t="shared" si="1"/>
        <v>44430</v>
      </c>
      <c r="L75" t="s">
        <v>1379</v>
      </c>
      <c r="M75" t="s">
        <v>1380</v>
      </c>
      <c r="N75" t="s">
        <v>1381</v>
      </c>
      <c r="O75" t="s">
        <v>668</v>
      </c>
      <c r="P75" t="s">
        <v>669</v>
      </c>
      <c r="Q75" t="s">
        <v>1382</v>
      </c>
      <c r="R75" t="s">
        <v>1383</v>
      </c>
      <c r="S75" t="s">
        <v>1384</v>
      </c>
      <c r="T75" t="s">
        <v>1385</v>
      </c>
      <c r="U75" t="s">
        <v>1386</v>
      </c>
      <c r="V75" t="s">
        <v>1387</v>
      </c>
      <c r="W75" t="s">
        <v>1388</v>
      </c>
      <c r="X75" t="s">
        <v>1389</v>
      </c>
      <c r="Y75" t="s">
        <v>1390</v>
      </c>
      <c r="Z75" t="s">
        <v>1391</v>
      </c>
      <c r="AA75" t="s">
        <v>1392</v>
      </c>
      <c r="AB75" s="12" t="s">
        <v>1393</v>
      </c>
    </row>
    <row r="76" spans="1:35" x14ac:dyDescent="0.25">
      <c r="A76" s="3" t="s">
        <v>248</v>
      </c>
      <c r="B76" s="2">
        <v>3.4027777777777775E-2</v>
      </c>
      <c r="C76">
        <v>1.62</v>
      </c>
      <c r="F76" t="str">
        <f t="shared" si="0"/>
        <v>2019/03/01 00:49:00</v>
      </c>
      <c r="G76" t="s">
        <v>1181</v>
      </c>
      <c r="J76" t="s">
        <v>842</v>
      </c>
      <c r="K76" s="33">
        <f t="shared" si="1"/>
        <v>44328</v>
      </c>
      <c r="L76" t="s">
        <v>1394</v>
      </c>
      <c r="M76" t="s">
        <v>1395</v>
      </c>
      <c r="N76" t="s">
        <v>1396</v>
      </c>
      <c r="O76" t="s">
        <v>677</v>
      </c>
      <c r="P76" t="s">
        <v>678</v>
      </c>
      <c r="Q76" t="s">
        <v>679</v>
      </c>
      <c r="R76" t="s">
        <v>680</v>
      </c>
      <c r="S76" s="12" t="s">
        <v>1397</v>
      </c>
    </row>
    <row r="77" spans="1:35" x14ac:dyDescent="0.25">
      <c r="A77" s="3" t="s">
        <v>96</v>
      </c>
      <c r="B77" s="5">
        <v>2.0833333333333333E-3</v>
      </c>
      <c r="C77">
        <v>0.9</v>
      </c>
      <c r="F77" t="str">
        <f t="shared" si="0"/>
        <v>2019/03/02 00:03:00</v>
      </c>
      <c r="G77" t="s">
        <v>504</v>
      </c>
      <c r="J77" t="s">
        <v>843</v>
      </c>
      <c r="K77" s="33">
        <f t="shared" si="1"/>
        <v>44404</v>
      </c>
      <c r="L77" t="s">
        <v>1398</v>
      </c>
      <c r="M77" t="s">
        <v>1399</v>
      </c>
      <c r="N77" t="s">
        <v>1400</v>
      </c>
      <c r="O77" t="s">
        <v>1401</v>
      </c>
      <c r="P77" t="s">
        <v>1402</v>
      </c>
      <c r="Q77" t="s">
        <v>1403</v>
      </c>
      <c r="R77" t="s">
        <v>1404</v>
      </c>
      <c r="S77" t="s">
        <v>1405</v>
      </c>
      <c r="T77" t="s">
        <v>1406</v>
      </c>
      <c r="U77" t="s">
        <v>1407</v>
      </c>
      <c r="V77" t="s">
        <v>1408</v>
      </c>
      <c r="W77" t="s">
        <v>1409</v>
      </c>
      <c r="X77" t="s">
        <v>1410</v>
      </c>
      <c r="Y77" t="s">
        <v>1411</v>
      </c>
      <c r="Z77" t="s">
        <v>1412</v>
      </c>
      <c r="AA77" t="s">
        <v>1413</v>
      </c>
      <c r="AB77" t="s">
        <v>1414</v>
      </c>
      <c r="AC77" t="s">
        <v>1415</v>
      </c>
      <c r="AD77" t="s">
        <v>1416</v>
      </c>
      <c r="AE77" t="s">
        <v>1417</v>
      </c>
      <c r="AF77" t="s">
        <v>1418</v>
      </c>
      <c r="AG77" t="s">
        <v>1419</v>
      </c>
      <c r="AH77" s="32" t="s">
        <v>1420</v>
      </c>
    </row>
    <row r="78" spans="1:35" x14ac:dyDescent="0.25">
      <c r="A78" s="3" t="s">
        <v>206</v>
      </c>
      <c r="B78" s="2">
        <v>2.7083333333333334E-2</v>
      </c>
      <c r="C78">
        <v>0.77500000000000002</v>
      </c>
      <c r="F78" t="str">
        <f t="shared" si="0"/>
        <v>2019/03/03 00:39:00</v>
      </c>
      <c r="G78" t="s">
        <v>505</v>
      </c>
      <c r="J78" t="s">
        <v>844</v>
      </c>
      <c r="K78" s="33">
        <f t="shared" si="1"/>
        <v>44292</v>
      </c>
      <c r="L78" t="s">
        <v>1421</v>
      </c>
      <c r="M78" t="s">
        <v>1422</v>
      </c>
      <c r="N78" t="s">
        <v>1423</v>
      </c>
      <c r="O78" t="s">
        <v>1424</v>
      </c>
      <c r="P78" t="s">
        <v>1425</v>
      </c>
      <c r="Q78" t="s">
        <v>1426</v>
      </c>
      <c r="R78" t="s">
        <v>1427</v>
      </c>
      <c r="S78" t="s">
        <v>1428</v>
      </c>
      <c r="T78" t="s">
        <v>1429</v>
      </c>
      <c r="U78" s="12" t="s">
        <v>1430</v>
      </c>
    </row>
    <row r="79" spans="1:35" s="12" customFormat="1" x14ac:dyDescent="0.25">
      <c r="A79" s="10" t="s">
        <v>207</v>
      </c>
      <c r="B79" s="9">
        <v>0.23750000000000002</v>
      </c>
      <c r="C79" s="12">
        <v>0.48</v>
      </c>
      <c r="F79" t="str">
        <f t="shared" si="0"/>
        <v>2019/03/04 05:42:00</v>
      </c>
      <c r="G79" s="12" t="s">
        <v>1182</v>
      </c>
      <c r="J79" t="s">
        <v>845</v>
      </c>
      <c r="K79" s="33">
        <f t="shared" si="1"/>
        <v>44384</v>
      </c>
      <c r="L79" t="s">
        <v>1431</v>
      </c>
      <c r="M79" t="s">
        <v>1432</v>
      </c>
      <c r="N79" t="s">
        <v>1433</v>
      </c>
      <c r="O79" t="s">
        <v>1434</v>
      </c>
      <c r="P79" t="s">
        <v>1435</v>
      </c>
      <c r="Q79" t="s">
        <v>1436</v>
      </c>
      <c r="R79" t="s">
        <v>1437</v>
      </c>
      <c r="S79" t="s">
        <v>1438</v>
      </c>
      <c r="T79" s="12" t="s">
        <v>1439</v>
      </c>
      <c r="AH79" s="32"/>
      <c r="AI79"/>
    </row>
    <row r="80" spans="1:35" x14ac:dyDescent="0.25">
      <c r="A80" s="3" t="s">
        <v>878</v>
      </c>
      <c r="B80" s="2">
        <v>0.32708333333333334</v>
      </c>
      <c r="C80">
        <v>0.20169999999999999</v>
      </c>
      <c r="F80" t="str">
        <f t="shared" si="0"/>
        <v>2019/09/15 07:51:00</v>
      </c>
      <c r="G80" t="s">
        <v>1183</v>
      </c>
      <c r="J80" t="s">
        <v>846</v>
      </c>
      <c r="K80" s="33">
        <f t="shared" si="1"/>
        <v>44389</v>
      </c>
      <c r="L80" t="s">
        <v>1440</v>
      </c>
      <c r="M80" t="s">
        <v>1437</v>
      </c>
      <c r="N80" t="s">
        <v>1441</v>
      </c>
      <c r="O80" t="s">
        <v>1442</v>
      </c>
      <c r="P80" t="s">
        <v>1438</v>
      </c>
      <c r="Q80" t="s">
        <v>1443</v>
      </c>
      <c r="R80" t="s">
        <v>1444</v>
      </c>
      <c r="S80" t="s">
        <v>1445</v>
      </c>
      <c r="T80" t="s">
        <v>1446</v>
      </c>
      <c r="U80" s="12" t="s">
        <v>1447</v>
      </c>
    </row>
    <row r="81" spans="1:35" x14ac:dyDescent="0.25">
      <c r="A81" s="3" t="s">
        <v>878</v>
      </c>
      <c r="B81" s="2">
        <v>0.69097222222222221</v>
      </c>
      <c r="C81">
        <v>0.1749</v>
      </c>
      <c r="F81" t="str">
        <f t="shared" si="0"/>
        <v>2019/09/15 16:35:00</v>
      </c>
      <c r="G81" t="s">
        <v>1184</v>
      </c>
      <c r="J81" t="s">
        <v>847</v>
      </c>
      <c r="K81" s="33">
        <f t="shared" si="1"/>
        <v>43196</v>
      </c>
      <c r="L81" t="s">
        <v>1448</v>
      </c>
      <c r="M81" t="s">
        <v>1449</v>
      </c>
      <c r="N81" t="s">
        <v>1450</v>
      </c>
      <c r="O81" t="s">
        <v>1451</v>
      </c>
      <c r="P81" t="s">
        <v>1452</v>
      </c>
      <c r="Q81" t="s">
        <v>1453</v>
      </c>
      <c r="R81" s="12" t="s">
        <v>568</v>
      </c>
    </row>
    <row r="82" spans="1:35" x14ac:dyDescent="0.25">
      <c r="A82" s="3" t="s">
        <v>879</v>
      </c>
      <c r="B82" s="2">
        <v>1.5972222222222224E-2</v>
      </c>
      <c r="C82">
        <v>0.191</v>
      </c>
      <c r="F82" t="str">
        <f t="shared" si="0"/>
        <v>2019/09/16 00:23:00</v>
      </c>
      <c r="G82" t="s">
        <v>1185</v>
      </c>
      <c r="J82" t="s">
        <v>848</v>
      </c>
      <c r="K82" s="33">
        <f t="shared" si="1"/>
        <v>43515</v>
      </c>
      <c r="L82" t="s">
        <v>1454</v>
      </c>
      <c r="M82" t="s">
        <v>1455</v>
      </c>
      <c r="N82" t="s">
        <v>1456</v>
      </c>
      <c r="O82" t="s">
        <v>1457</v>
      </c>
      <c r="P82" t="s">
        <v>1458</v>
      </c>
      <c r="Q82" t="s">
        <v>1459</v>
      </c>
      <c r="R82" t="s">
        <v>1460</v>
      </c>
      <c r="S82" t="s">
        <v>497</v>
      </c>
      <c r="T82" s="12" t="s">
        <v>1461</v>
      </c>
    </row>
    <row r="83" spans="1:35" x14ac:dyDescent="0.25">
      <c r="A83" s="3" t="s">
        <v>880</v>
      </c>
      <c r="B83" s="2">
        <v>7.6388888888888886E-3</v>
      </c>
      <c r="C83">
        <v>0.15809999999999999</v>
      </c>
      <c r="F83" t="str">
        <f t="shared" si="0"/>
        <v>2019/09/17 00:11:00</v>
      </c>
      <c r="G83" t="s">
        <v>1186</v>
      </c>
      <c r="J83" t="s">
        <v>849</v>
      </c>
      <c r="K83" s="33">
        <f t="shared" si="1"/>
        <v>43769</v>
      </c>
      <c r="L83" t="s">
        <v>1462</v>
      </c>
      <c r="M83" t="s">
        <v>1463</v>
      </c>
      <c r="N83" t="s">
        <v>1464</v>
      </c>
      <c r="O83" t="s">
        <v>1465</v>
      </c>
      <c r="P83" t="s">
        <v>1466</v>
      </c>
      <c r="Q83" t="s">
        <v>1467</v>
      </c>
      <c r="R83" t="s">
        <v>1468</v>
      </c>
      <c r="S83" t="s">
        <v>1469</v>
      </c>
      <c r="T83" t="s">
        <v>1470</v>
      </c>
      <c r="U83" t="s">
        <v>1471</v>
      </c>
      <c r="V83" t="s">
        <v>1472</v>
      </c>
      <c r="W83" t="s">
        <v>1473</v>
      </c>
      <c r="X83" t="s">
        <v>1474</v>
      </c>
      <c r="Y83" t="s">
        <v>1475</v>
      </c>
      <c r="Z83" t="s">
        <v>1476</v>
      </c>
      <c r="AA83" t="s">
        <v>1477</v>
      </c>
      <c r="AB83" t="s">
        <v>1478</v>
      </c>
      <c r="AC83" s="12" t="s">
        <v>1479</v>
      </c>
    </row>
    <row r="84" spans="1:35" x14ac:dyDescent="0.25">
      <c r="A84" s="3" t="s">
        <v>881</v>
      </c>
      <c r="B84" s="2">
        <v>6.2499999999999995E-3</v>
      </c>
      <c r="C84">
        <v>7.5700000000000003E-2</v>
      </c>
      <c r="F84" t="str">
        <f t="shared" si="0"/>
        <v>2019/09/18 00:09:00</v>
      </c>
      <c r="G84" t="s">
        <v>1187</v>
      </c>
      <c r="J84" t="s">
        <v>850</v>
      </c>
      <c r="K84" s="33">
        <f t="shared" si="1"/>
        <v>43794</v>
      </c>
      <c r="L84" t="s">
        <v>1480</v>
      </c>
      <c r="M84" t="s">
        <v>1481</v>
      </c>
      <c r="N84" t="s">
        <v>1482</v>
      </c>
      <c r="O84" t="s">
        <v>1483</v>
      </c>
      <c r="P84" t="s">
        <v>1484</v>
      </c>
      <c r="Q84" t="s">
        <v>1485</v>
      </c>
      <c r="R84" t="s">
        <v>1486</v>
      </c>
      <c r="S84" t="s">
        <v>1487</v>
      </c>
      <c r="T84" s="12" t="s">
        <v>1488</v>
      </c>
    </row>
    <row r="85" spans="1:35" x14ac:dyDescent="0.25">
      <c r="A85" s="3" t="s">
        <v>882</v>
      </c>
      <c r="B85" s="2">
        <v>3.7499999999999999E-2</v>
      </c>
      <c r="C85">
        <v>4.36E-2</v>
      </c>
      <c r="F85" t="str">
        <f t="shared" si="0"/>
        <v>2019/09/19 00:54:00</v>
      </c>
      <c r="G85" t="s">
        <v>1188</v>
      </c>
      <c r="J85" t="s">
        <v>851</v>
      </c>
      <c r="K85" s="33">
        <f t="shared" si="1"/>
        <v>43790</v>
      </c>
      <c r="L85" t="s">
        <v>1489</v>
      </c>
      <c r="M85" t="s">
        <v>1490</v>
      </c>
      <c r="N85" t="s">
        <v>1491</v>
      </c>
      <c r="O85" t="s">
        <v>1492</v>
      </c>
      <c r="P85" t="s">
        <v>1493</v>
      </c>
      <c r="Q85" t="s">
        <v>1494</v>
      </c>
      <c r="R85" t="s">
        <v>1495</v>
      </c>
      <c r="S85" t="s">
        <v>1496</v>
      </c>
      <c r="T85" t="s">
        <v>1482</v>
      </c>
      <c r="U85" t="s">
        <v>1497</v>
      </c>
      <c r="V85" s="12" t="s">
        <v>1484</v>
      </c>
    </row>
    <row r="86" spans="1:35" s="12" customFormat="1" x14ac:dyDescent="0.25">
      <c r="A86" s="10" t="s">
        <v>883</v>
      </c>
      <c r="B86" s="9">
        <v>2.0833333333333333E-3</v>
      </c>
      <c r="C86" s="12">
        <v>2.6699999999999998E-2</v>
      </c>
      <c r="F86" t="str">
        <f t="shared" si="0"/>
        <v>2019/09/20 00:03:00</v>
      </c>
      <c r="G86" s="12" t="s">
        <v>1189</v>
      </c>
      <c r="J86" t="s">
        <v>852</v>
      </c>
      <c r="K86" s="33">
        <f t="shared" si="1"/>
        <v>43819</v>
      </c>
      <c r="L86" t="s">
        <v>1498</v>
      </c>
      <c r="M86" t="s">
        <v>1499</v>
      </c>
      <c r="N86" t="s">
        <v>1500</v>
      </c>
      <c r="O86" t="s">
        <v>1501</v>
      </c>
      <c r="P86" t="s">
        <v>1193</v>
      </c>
      <c r="Q86" t="s">
        <v>1194</v>
      </c>
      <c r="R86" t="s">
        <v>1195</v>
      </c>
      <c r="S86" t="s">
        <v>1196</v>
      </c>
      <c r="T86" t="s">
        <v>1502</v>
      </c>
      <c r="U86" t="s">
        <v>1503</v>
      </c>
      <c r="V86" t="s">
        <v>1504</v>
      </c>
      <c r="W86" s="12" t="s">
        <v>1200</v>
      </c>
      <c r="AH86" s="32"/>
      <c r="AI86"/>
    </row>
    <row r="87" spans="1:35" x14ac:dyDescent="0.25">
      <c r="A87" s="3" t="s">
        <v>884</v>
      </c>
      <c r="B87" s="2">
        <v>0.11319444444444444</v>
      </c>
      <c r="C87">
        <v>5.04</v>
      </c>
      <c r="F87" t="str">
        <f t="shared" si="0"/>
        <v>2019/12/22 02:43:00</v>
      </c>
      <c r="G87" t="s">
        <v>1190</v>
      </c>
      <c r="J87" t="s">
        <v>853</v>
      </c>
      <c r="K87" s="33">
        <f t="shared" si="1"/>
        <v>44007</v>
      </c>
      <c r="L87" t="s">
        <v>1505</v>
      </c>
      <c r="M87" t="s">
        <v>1506</v>
      </c>
      <c r="N87" t="s">
        <v>1507</v>
      </c>
      <c r="O87" t="s">
        <v>1508</v>
      </c>
      <c r="P87" t="s">
        <v>1509</v>
      </c>
      <c r="Q87" t="s">
        <v>1510</v>
      </c>
      <c r="R87" t="s">
        <v>1511</v>
      </c>
      <c r="S87" s="12" t="s">
        <v>1512</v>
      </c>
    </row>
    <row r="88" spans="1:35" x14ac:dyDescent="0.25">
      <c r="A88" s="3" t="s">
        <v>884</v>
      </c>
      <c r="B88" s="2">
        <v>0.36944444444444446</v>
      </c>
      <c r="C88">
        <v>8.4280000000000008</v>
      </c>
      <c r="F88" t="str">
        <f t="shared" si="0"/>
        <v>2019/12/22 08:52:00</v>
      </c>
      <c r="G88" t="s">
        <v>1191</v>
      </c>
      <c r="J88" t="s">
        <v>854</v>
      </c>
      <c r="K88" s="33">
        <f t="shared" si="1"/>
        <v>44384</v>
      </c>
      <c r="L88" t="s">
        <v>1513</v>
      </c>
      <c r="M88" t="s">
        <v>1514</v>
      </c>
      <c r="N88" t="s">
        <v>1432</v>
      </c>
      <c r="O88" t="s">
        <v>1433</v>
      </c>
      <c r="P88" t="s">
        <v>1515</v>
      </c>
      <c r="Q88" t="s">
        <v>1434</v>
      </c>
      <c r="R88" t="s">
        <v>1435</v>
      </c>
      <c r="S88" s="12" t="s">
        <v>1516</v>
      </c>
    </row>
    <row r="89" spans="1:35" x14ac:dyDescent="0.25">
      <c r="A89" s="3" t="s">
        <v>884</v>
      </c>
      <c r="B89" s="2">
        <v>0.65347222222222223</v>
      </c>
      <c r="C89">
        <v>9.2690000000000001</v>
      </c>
      <c r="F89" t="str">
        <f t="shared" si="0"/>
        <v>2019/12/22 15:41:00</v>
      </c>
      <c r="G89" t="s">
        <v>1192</v>
      </c>
      <c r="J89" t="s">
        <v>855</v>
      </c>
      <c r="K89" s="33">
        <f t="shared" si="1"/>
        <v>44384</v>
      </c>
      <c r="L89" t="s">
        <v>1517</v>
      </c>
      <c r="M89" t="s">
        <v>1518</v>
      </c>
      <c r="N89" t="s">
        <v>1432</v>
      </c>
      <c r="O89" t="s">
        <v>1433</v>
      </c>
      <c r="P89" t="s">
        <v>1434</v>
      </c>
      <c r="Q89" t="s">
        <v>1435</v>
      </c>
      <c r="R89" t="s">
        <v>1436</v>
      </c>
      <c r="S89" s="12" t="s">
        <v>1519</v>
      </c>
    </row>
    <row r="90" spans="1:35" x14ac:dyDescent="0.25">
      <c r="A90" s="3" t="s">
        <v>885</v>
      </c>
      <c r="B90" s="2">
        <v>3.472222222222222E-3</v>
      </c>
      <c r="C90">
        <v>6.0010000000000003</v>
      </c>
      <c r="F90" t="str">
        <f t="shared" si="0"/>
        <v>2019/12/23 00:05:00</v>
      </c>
      <c r="G90" t="s">
        <v>1193</v>
      </c>
      <c r="J90" t="s">
        <v>856</v>
      </c>
      <c r="K90" s="33">
        <f t="shared" si="1"/>
        <v>44249</v>
      </c>
      <c r="L90" t="s">
        <v>1520</v>
      </c>
      <c r="M90" t="s">
        <v>1521</v>
      </c>
      <c r="N90" t="s">
        <v>1522</v>
      </c>
      <c r="O90" t="s">
        <v>1523</v>
      </c>
      <c r="P90" t="s">
        <v>1524</v>
      </c>
      <c r="Q90" t="s">
        <v>1525</v>
      </c>
      <c r="R90" t="s">
        <v>1526</v>
      </c>
      <c r="S90" s="12" t="s">
        <v>1527</v>
      </c>
    </row>
    <row r="91" spans="1:35" x14ac:dyDescent="0.25">
      <c r="A91" s="3" t="s">
        <v>886</v>
      </c>
      <c r="B91" s="2">
        <v>4.8611111111111112E-3</v>
      </c>
      <c r="C91">
        <v>4.4989999999999997</v>
      </c>
      <c r="F91" t="str">
        <f t="shared" si="0"/>
        <v>2019/12/24 00:07:00</v>
      </c>
      <c r="G91" t="s">
        <v>1194</v>
      </c>
      <c r="J91" t="s">
        <v>857</v>
      </c>
      <c r="K91" s="33">
        <f t="shared" si="1"/>
        <v>42830</v>
      </c>
      <c r="L91" t="s">
        <v>1528</v>
      </c>
      <c r="M91" t="s">
        <v>1529</v>
      </c>
      <c r="N91" t="s">
        <v>1530</v>
      </c>
      <c r="O91" t="s">
        <v>1531</v>
      </c>
      <c r="P91" t="s">
        <v>1532</v>
      </c>
      <c r="Q91" t="s">
        <v>1533</v>
      </c>
      <c r="R91" t="s">
        <v>1534</v>
      </c>
      <c r="S91" t="s">
        <v>1535</v>
      </c>
      <c r="T91" t="s">
        <v>1536</v>
      </c>
      <c r="U91" t="s">
        <v>1537</v>
      </c>
      <c r="V91" t="s">
        <v>1538</v>
      </c>
      <c r="W91" s="12" t="s">
        <v>1539</v>
      </c>
    </row>
    <row r="92" spans="1:35" x14ac:dyDescent="0.25">
      <c r="A92" s="3" t="s">
        <v>887</v>
      </c>
      <c r="B92" s="2">
        <v>1.4583333333333332E-2</v>
      </c>
      <c r="C92">
        <v>4.2069999999999999</v>
      </c>
      <c r="F92" t="str">
        <f t="shared" si="0"/>
        <v>2019/12/25 00:21:00</v>
      </c>
      <c r="G92" t="s">
        <v>1195</v>
      </c>
      <c r="J92" t="s">
        <v>858</v>
      </c>
      <c r="K92" s="33">
        <f t="shared" si="1"/>
        <v>43104</v>
      </c>
      <c r="L92" t="s">
        <v>1540</v>
      </c>
      <c r="M92" t="s">
        <v>1541</v>
      </c>
      <c r="N92" t="s">
        <v>1542</v>
      </c>
      <c r="O92" t="s">
        <v>465</v>
      </c>
      <c r="P92" t="s">
        <v>1543</v>
      </c>
      <c r="Q92" t="s">
        <v>467</v>
      </c>
      <c r="R92" s="12" t="s">
        <v>468</v>
      </c>
    </row>
    <row r="93" spans="1:35" x14ac:dyDescent="0.25">
      <c r="A93" s="3" t="s">
        <v>888</v>
      </c>
      <c r="B93" s="2">
        <v>1.8749999999999999E-2</v>
      </c>
      <c r="C93">
        <v>3.7469999999999999</v>
      </c>
      <c r="F93" t="str">
        <f t="shared" si="0"/>
        <v>2019/12/26 00:27:00</v>
      </c>
      <c r="G93" t="s">
        <v>1196</v>
      </c>
      <c r="J93" t="s">
        <v>859</v>
      </c>
      <c r="K93" s="33">
        <f t="shared" si="1"/>
        <v>43017</v>
      </c>
      <c r="L93" t="s">
        <v>1544</v>
      </c>
      <c r="M93" t="s">
        <v>1545</v>
      </c>
      <c r="N93" t="s">
        <v>1546</v>
      </c>
      <c r="O93" t="s">
        <v>1547</v>
      </c>
      <c r="P93" t="s">
        <v>1548</v>
      </c>
      <c r="Q93" t="s">
        <v>1549</v>
      </c>
      <c r="R93" t="s">
        <v>1550</v>
      </c>
      <c r="S93" t="s">
        <v>1551</v>
      </c>
      <c r="T93" t="s">
        <v>1552</v>
      </c>
      <c r="U93" s="12" t="s">
        <v>1553</v>
      </c>
    </row>
    <row r="94" spans="1:35" x14ac:dyDescent="0.25">
      <c r="A94" s="3" t="s">
        <v>889</v>
      </c>
      <c r="B94" s="2">
        <v>2.7777777777777779E-3</v>
      </c>
      <c r="C94">
        <v>2.9620000000000002</v>
      </c>
      <c r="F94" t="str">
        <f t="shared" si="0"/>
        <v>2019/12/27 00:04:00</v>
      </c>
      <c r="G94" t="s">
        <v>1197</v>
      </c>
      <c r="J94" t="s">
        <v>860</v>
      </c>
      <c r="K94" s="33">
        <f t="shared" si="1"/>
        <v>42898</v>
      </c>
      <c r="L94" t="s">
        <v>1554</v>
      </c>
      <c r="M94" t="s">
        <v>1555</v>
      </c>
      <c r="N94" t="s">
        <v>1556</v>
      </c>
      <c r="O94" t="s">
        <v>1557</v>
      </c>
      <c r="P94" t="s">
        <v>1558</v>
      </c>
      <c r="Q94" t="s">
        <v>1559</v>
      </c>
      <c r="R94" t="s">
        <v>1560</v>
      </c>
      <c r="S94" t="s">
        <v>1561</v>
      </c>
      <c r="T94" s="12" t="s">
        <v>1562</v>
      </c>
    </row>
    <row r="95" spans="1:35" x14ac:dyDescent="0.25">
      <c r="A95" s="3" t="s">
        <v>890</v>
      </c>
      <c r="B95" s="2">
        <v>1.8055555555555557E-2</v>
      </c>
      <c r="C95">
        <v>1.92</v>
      </c>
      <c r="F95" t="str">
        <f t="shared" si="0"/>
        <v>2019/12/28 00:26:00</v>
      </c>
      <c r="G95" t="s">
        <v>1198</v>
      </c>
      <c r="J95" t="s">
        <v>861</v>
      </c>
      <c r="K95" s="33">
        <f t="shared" si="1"/>
        <v>43591</v>
      </c>
      <c r="L95" t="s">
        <v>1563</v>
      </c>
      <c r="M95" t="s">
        <v>1564</v>
      </c>
      <c r="N95" t="s">
        <v>1565</v>
      </c>
      <c r="O95" t="s">
        <v>1566</v>
      </c>
      <c r="P95" t="s">
        <v>1567</v>
      </c>
      <c r="Q95" t="s">
        <v>1568</v>
      </c>
      <c r="R95" t="s">
        <v>1569</v>
      </c>
      <c r="S95" t="s">
        <v>1570</v>
      </c>
      <c r="T95" t="s">
        <v>1571</v>
      </c>
      <c r="U95" t="s">
        <v>1572</v>
      </c>
      <c r="V95" t="s">
        <v>1573</v>
      </c>
      <c r="W95" t="s">
        <v>1574</v>
      </c>
      <c r="X95" t="s">
        <v>1575</v>
      </c>
      <c r="Y95" t="s">
        <v>562</v>
      </c>
      <c r="Z95" t="s">
        <v>563</v>
      </c>
      <c r="AA95" t="s">
        <v>564</v>
      </c>
      <c r="AB95" t="s">
        <v>1576</v>
      </c>
      <c r="AC95" t="s">
        <v>1577</v>
      </c>
    </row>
    <row r="96" spans="1:35" x14ac:dyDescent="0.25">
      <c r="A96" s="3" t="s">
        <v>891</v>
      </c>
      <c r="B96" s="2">
        <v>0.25486111111111109</v>
      </c>
      <c r="C96">
        <v>1.2509999999999999</v>
      </c>
      <c r="F96" t="str">
        <f t="shared" si="0"/>
        <v>2019/12/29 06:07:00</v>
      </c>
      <c r="G96" t="s">
        <v>1199</v>
      </c>
    </row>
    <row r="97" spans="1:35" s="12" customFormat="1" x14ac:dyDescent="0.25">
      <c r="A97" s="10" t="s">
        <v>892</v>
      </c>
      <c r="B97" s="9">
        <v>0.25833333333333336</v>
      </c>
      <c r="C97" s="12">
        <v>0.85389999999999999</v>
      </c>
      <c r="F97" t="str">
        <f t="shared" si="0"/>
        <v>2019/12/30 06:12:00</v>
      </c>
      <c r="G97" s="12" t="s">
        <v>1200</v>
      </c>
      <c r="K97" s="34"/>
      <c r="AH97" s="32"/>
      <c r="AI97"/>
    </row>
    <row r="98" spans="1:35" x14ac:dyDescent="0.25">
      <c r="A98" s="3" t="s">
        <v>893</v>
      </c>
      <c r="B98" s="2">
        <v>0.30069444444444443</v>
      </c>
      <c r="C98">
        <v>1.1259999999999999</v>
      </c>
      <c r="F98" t="str">
        <f t="shared" si="0"/>
        <v>2019/08/27 07:13:00</v>
      </c>
      <c r="G98" t="s">
        <v>1201</v>
      </c>
      <c r="J98" s="32" t="s">
        <v>816</v>
      </c>
      <c r="K98" s="7">
        <f>L50-$K50</f>
        <v>0.78472222221898846</v>
      </c>
      <c r="L98" s="7">
        <f t="shared" ref="L98:P98" si="2">M50-$K50</f>
        <v>0.97013888888614019</v>
      </c>
      <c r="M98" s="7">
        <f t="shared" si="2"/>
        <v>1.0284722222204437</v>
      </c>
      <c r="N98" s="7">
        <f t="shared" si="2"/>
        <v>2.0222222222218988</v>
      </c>
      <c r="O98" s="7">
        <f t="shared" si="2"/>
        <v>4.0194444444423425</v>
      </c>
      <c r="P98" s="7">
        <f t="shared" si="2"/>
        <v>5.0013888888861402</v>
      </c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35"/>
      <c r="AI98" s="7"/>
    </row>
    <row r="99" spans="1:35" x14ac:dyDescent="0.25">
      <c r="A99" s="3" t="s">
        <v>893</v>
      </c>
      <c r="B99" s="2">
        <v>0.52083333333333337</v>
      </c>
      <c r="C99">
        <v>2.2269999999999999</v>
      </c>
      <c r="F99" t="str">
        <f t="shared" si="0"/>
        <v>2019/08/27 12:30:00</v>
      </c>
      <c r="G99" t="s">
        <v>1202</v>
      </c>
      <c r="J99" s="32" t="s">
        <v>817</v>
      </c>
      <c r="K99" s="7">
        <f t="shared" ref="K99:Q99" si="3">L51-$K51</f>
        <v>0.85486111111094942</v>
      </c>
      <c r="L99" s="7">
        <f t="shared" si="3"/>
        <v>0.99722222222044365</v>
      </c>
      <c r="M99" s="7">
        <f t="shared" si="3"/>
        <v>1.0111111111109494</v>
      </c>
      <c r="N99" s="7">
        <f t="shared" si="3"/>
        <v>2.0083333333313931</v>
      </c>
      <c r="O99" s="7">
        <f t="shared" si="3"/>
        <v>3.0062499999985448</v>
      </c>
      <c r="P99" s="7">
        <f t="shared" si="3"/>
        <v>4.0006944444467081</v>
      </c>
      <c r="Q99" s="7">
        <f t="shared" si="3"/>
        <v>5.0020833333328483</v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35"/>
      <c r="AI99" s="7"/>
    </row>
    <row r="100" spans="1:35" x14ac:dyDescent="0.25">
      <c r="A100" s="3" t="s">
        <v>893</v>
      </c>
      <c r="B100" s="2">
        <v>0.7416666666666667</v>
      </c>
      <c r="C100">
        <v>1.323</v>
      </c>
      <c r="F100" t="str">
        <f t="shared" si="0"/>
        <v>2019/08/27 17:48:00</v>
      </c>
      <c r="G100" t="s">
        <v>1203</v>
      </c>
      <c r="J100" s="32" t="s">
        <v>818</v>
      </c>
      <c r="K100" s="7">
        <f t="shared" ref="K100:P100" si="4">L52-$K52</f>
        <v>0.32222222222480923</v>
      </c>
      <c r="L100" s="7">
        <f t="shared" si="4"/>
        <v>0.75277777777955635</v>
      </c>
      <c r="M100" s="7">
        <f t="shared" si="4"/>
        <v>1.023611111108039</v>
      </c>
      <c r="N100" s="7">
        <f t="shared" si="4"/>
        <v>2.234027777776646</v>
      </c>
      <c r="O100" s="7">
        <f t="shared" si="4"/>
        <v>3.0020833333328483</v>
      </c>
      <c r="P100" s="7">
        <f t="shared" si="4"/>
        <v>4.007638888891961</v>
      </c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35"/>
      <c r="AI100" s="7"/>
    </row>
    <row r="101" spans="1:35" x14ac:dyDescent="0.25">
      <c r="A101" s="3" t="s">
        <v>894</v>
      </c>
      <c r="B101" s="2">
        <v>4.8611111111111112E-3</v>
      </c>
      <c r="C101">
        <v>0.83279999999999998</v>
      </c>
      <c r="F101" t="str">
        <f t="shared" si="0"/>
        <v>2019/08/28 00:07:00</v>
      </c>
      <c r="G101" t="s">
        <v>1204</v>
      </c>
      <c r="J101" s="32" t="s">
        <v>819</v>
      </c>
      <c r="K101" s="7">
        <f t="shared" ref="K101:U101" si="5">L53-$K53</f>
        <v>0.43958333333284827</v>
      </c>
      <c r="L101" s="7">
        <f t="shared" si="5"/>
        <v>0.65208333333430346</v>
      </c>
      <c r="M101" s="7">
        <f t="shared" si="5"/>
        <v>0.98402777777664596</v>
      </c>
      <c r="N101" s="7">
        <f t="shared" si="5"/>
        <v>1.015972222223354</v>
      </c>
      <c r="O101" s="7">
        <f t="shared" si="5"/>
        <v>2.0111111111109494</v>
      </c>
      <c r="P101" s="7">
        <f t="shared" si="5"/>
        <v>3.0090277777781012</v>
      </c>
      <c r="Q101" s="7">
        <f t="shared" si="5"/>
        <v>4.0034722222189885</v>
      </c>
      <c r="R101" s="7">
        <f t="shared" si="5"/>
        <v>5.0340277777795563</v>
      </c>
      <c r="S101" s="7">
        <f t="shared" si="5"/>
        <v>6.0020833333328483</v>
      </c>
      <c r="T101" s="7">
        <f t="shared" si="5"/>
        <v>7.0270833333343035</v>
      </c>
      <c r="U101" s="7">
        <f t="shared" si="5"/>
        <v>8.2375000000029104</v>
      </c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35"/>
      <c r="AI101" s="7"/>
    </row>
    <row r="102" spans="1:35" x14ac:dyDescent="0.25">
      <c r="A102" s="3" t="s">
        <v>895</v>
      </c>
      <c r="B102" s="2">
        <v>2.4305555555555556E-2</v>
      </c>
      <c r="C102">
        <v>0.87220000000000009</v>
      </c>
      <c r="F102" t="str">
        <f t="shared" si="0"/>
        <v>2019/08/29 00:35:00</v>
      </c>
      <c r="G102" t="s">
        <v>1205</v>
      </c>
      <c r="J102" s="32" t="s">
        <v>820</v>
      </c>
      <c r="K102" s="7">
        <f t="shared" ref="K102:Q102" si="6">L54-$K54</f>
        <v>0.32708333332993789</v>
      </c>
      <c r="L102" s="7">
        <f t="shared" si="6"/>
        <v>0.69097222221898846</v>
      </c>
      <c r="M102" s="7">
        <f t="shared" si="6"/>
        <v>1.015972222223354</v>
      </c>
      <c r="N102" s="7">
        <f t="shared" si="6"/>
        <v>2.007638888891961</v>
      </c>
      <c r="O102" s="7">
        <f t="shared" si="6"/>
        <v>3.0062499999985448</v>
      </c>
      <c r="P102" s="7">
        <f t="shared" si="6"/>
        <v>4.0374999999985448</v>
      </c>
      <c r="Q102" s="7">
        <f t="shared" si="6"/>
        <v>5.0020833333328483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35"/>
      <c r="AI102" s="7"/>
    </row>
    <row r="103" spans="1:35" x14ac:dyDescent="0.25">
      <c r="A103" s="3" t="s">
        <v>896</v>
      </c>
      <c r="B103" s="2">
        <v>3.472222222222222E-3</v>
      </c>
      <c r="C103">
        <v>1.075</v>
      </c>
      <c r="F103" t="str">
        <f t="shared" si="0"/>
        <v>2019/08/30 00:05:00</v>
      </c>
      <c r="G103" t="s">
        <v>1206</v>
      </c>
      <c r="J103" s="32" t="s">
        <v>821</v>
      </c>
      <c r="K103" s="7">
        <f t="shared" ref="K103:U103" si="7">L55-$K55</f>
        <v>0.1131944444423425</v>
      </c>
      <c r="L103" s="7">
        <f t="shared" si="7"/>
        <v>0.36944444444088731</v>
      </c>
      <c r="M103" s="7">
        <f t="shared" si="7"/>
        <v>0.65347222222044365</v>
      </c>
      <c r="N103" s="7">
        <f t="shared" si="7"/>
        <v>1.0034722222189885</v>
      </c>
      <c r="O103" s="7">
        <f t="shared" si="7"/>
        <v>2.0048611111124046</v>
      </c>
      <c r="P103" s="7">
        <f t="shared" si="7"/>
        <v>3.0145833333299379</v>
      </c>
      <c r="Q103" s="7">
        <f t="shared" si="7"/>
        <v>4.0187500000029104</v>
      </c>
      <c r="R103" s="7">
        <f t="shared" si="7"/>
        <v>5.0027777777795563</v>
      </c>
      <c r="S103" s="7">
        <f t="shared" si="7"/>
        <v>6.0180555555562023</v>
      </c>
      <c r="T103" s="7">
        <f t="shared" si="7"/>
        <v>7.2548611111124046</v>
      </c>
      <c r="U103" s="7">
        <f t="shared" si="7"/>
        <v>8.2583333333313931</v>
      </c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35"/>
      <c r="AI103" s="7"/>
    </row>
    <row r="104" spans="1:35" x14ac:dyDescent="0.25">
      <c r="A104" s="3" t="s">
        <v>897</v>
      </c>
      <c r="B104" s="2">
        <v>6.9444444444444441E-3</v>
      </c>
      <c r="C104">
        <v>0.64770000000000005</v>
      </c>
      <c r="F104" t="str">
        <f t="shared" si="0"/>
        <v>2019/08/31 00:10:00</v>
      </c>
      <c r="G104" t="s">
        <v>1207</v>
      </c>
      <c r="J104" s="32" t="s">
        <v>822</v>
      </c>
      <c r="K104" s="7">
        <f t="shared" ref="K104:V104" si="8">L56-$K56</f>
        <v>0.3006944444423425</v>
      </c>
      <c r="L104" s="7">
        <f t="shared" si="8"/>
        <v>0.52083333333575865</v>
      </c>
      <c r="M104" s="7">
        <f t="shared" si="8"/>
        <v>0.74166666666860692</v>
      </c>
      <c r="N104" s="7">
        <f t="shared" si="8"/>
        <v>1.0048611111124046</v>
      </c>
      <c r="O104" s="7">
        <f t="shared" si="8"/>
        <v>2.0243055555547471</v>
      </c>
      <c r="P104" s="7">
        <f t="shared" si="8"/>
        <v>3.0034722222189885</v>
      </c>
      <c r="Q104" s="7">
        <f t="shared" si="8"/>
        <v>4.0069444444452529</v>
      </c>
      <c r="R104" s="7">
        <f t="shared" si="8"/>
        <v>5.2486111111138598</v>
      </c>
      <c r="S104" s="7">
        <f t="shared" si="8"/>
        <v>6.0027777777795563</v>
      </c>
      <c r="T104" s="7">
        <f t="shared" si="8"/>
        <v>6.7312499999970896</v>
      </c>
      <c r="U104" s="7">
        <f t="shared" si="8"/>
        <v>7.0020833333328483</v>
      </c>
      <c r="V104" s="7">
        <f t="shared" si="8"/>
        <v>8.0034722222189885</v>
      </c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35"/>
      <c r="AI104" s="7"/>
    </row>
    <row r="105" spans="1:35" x14ac:dyDescent="0.25">
      <c r="A105" s="3" t="s">
        <v>898</v>
      </c>
      <c r="B105" s="2">
        <v>0.24861111111111112</v>
      </c>
      <c r="C105">
        <v>0.33989999999999998</v>
      </c>
      <c r="F105" t="str">
        <f t="shared" si="0"/>
        <v>2019/09/01 05:58:00</v>
      </c>
      <c r="G105" t="s">
        <v>1208</v>
      </c>
      <c r="J105" s="32" t="s">
        <v>823</v>
      </c>
      <c r="K105" s="7">
        <f t="shared" ref="K105:R105" si="9">L57-$K57</f>
        <v>9.4444444446708076E-2</v>
      </c>
      <c r="L105" s="7">
        <f t="shared" si="9"/>
        <v>0.10416666666424135</v>
      </c>
      <c r="M105" s="7">
        <f t="shared" si="9"/>
        <v>0.35833333332993789</v>
      </c>
      <c r="N105" s="7">
        <f t="shared" si="9"/>
        <v>0.67500000000291038</v>
      </c>
      <c r="O105" s="7">
        <f t="shared" si="9"/>
        <v>1.023611111108039</v>
      </c>
      <c r="P105" s="7">
        <f t="shared" si="9"/>
        <v>2.0138888888905058</v>
      </c>
      <c r="Q105" s="7">
        <f t="shared" si="9"/>
        <v>3.0131944444437977</v>
      </c>
      <c r="R105" s="7">
        <f t="shared" si="9"/>
        <v>4.0020833333328483</v>
      </c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35"/>
      <c r="AI105" s="7"/>
    </row>
    <row r="106" spans="1:35" x14ac:dyDescent="0.25">
      <c r="A106" s="3" t="s">
        <v>899</v>
      </c>
      <c r="B106" s="2">
        <v>2.7777777777777779E-3</v>
      </c>
      <c r="C106">
        <v>0.15390000000000001</v>
      </c>
      <c r="F106" t="str">
        <f t="shared" si="0"/>
        <v>2019/09/02 00:04:00</v>
      </c>
      <c r="G106" t="s">
        <v>1209</v>
      </c>
      <c r="J106" s="32" t="s">
        <v>824</v>
      </c>
      <c r="K106" s="7">
        <f t="shared" ref="K106:Y106" si="10">L58-$K58</f>
        <v>0.12222222222044365</v>
      </c>
      <c r="L106" s="7">
        <f t="shared" si="10"/>
        <v>0.13472222222480923</v>
      </c>
      <c r="M106" s="7">
        <f t="shared" si="10"/>
        <v>0.70347222222335404</v>
      </c>
      <c r="N106" s="7">
        <f t="shared" si="10"/>
        <v>1.0138888888905058</v>
      </c>
      <c r="O106" s="7">
        <f t="shared" si="10"/>
        <v>2.0006944444467081</v>
      </c>
      <c r="P106" s="7">
        <f t="shared" si="10"/>
        <v>3.0069444444452529</v>
      </c>
      <c r="Q106" s="7">
        <f t="shared" si="10"/>
        <v>3.6923611111124046</v>
      </c>
      <c r="R106" s="7">
        <f t="shared" si="10"/>
        <v>4.0034722222189885</v>
      </c>
      <c r="S106" s="7">
        <f t="shared" si="10"/>
        <v>5.0027777777795563</v>
      </c>
      <c r="T106" s="7">
        <f t="shared" si="10"/>
        <v>6.0111111111109494</v>
      </c>
      <c r="U106" s="7">
        <f t="shared" si="10"/>
        <v>7.242361111108039</v>
      </c>
      <c r="V106" s="7">
        <f t="shared" si="10"/>
        <v>8.0201388888890506</v>
      </c>
      <c r="W106" s="7">
        <f t="shared" si="10"/>
        <v>9.0027777777795563</v>
      </c>
      <c r="X106" s="7">
        <f t="shared" si="10"/>
        <v>10.240277777775191</v>
      </c>
      <c r="Y106" s="7">
        <f t="shared" si="10"/>
        <v>11.243750000001455</v>
      </c>
      <c r="Z106" s="7"/>
      <c r="AA106" s="7"/>
      <c r="AB106" s="7"/>
      <c r="AC106" s="7"/>
      <c r="AD106" s="7"/>
      <c r="AE106" s="7"/>
      <c r="AF106" s="7"/>
      <c r="AG106" s="7"/>
      <c r="AH106" s="35"/>
      <c r="AI106" s="7"/>
    </row>
    <row r="107" spans="1:35" x14ac:dyDescent="0.25">
      <c r="A107" s="3" t="s">
        <v>899</v>
      </c>
      <c r="B107" s="2">
        <v>0.73125000000000007</v>
      </c>
      <c r="C107">
        <v>0.1188</v>
      </c>
      <c r="F107" t="str">
        <f t="shared" si="0"/>
        <v>2019/09/02 17:33:00</v>
      </c>
      <c r="G107" t="s">
        <v>1210</v>
      </c>
      <c r="J107" s="32" t="s">
        <v>825</v>
      </c>
      <c r="K107" s="7">
        <f t="shared" ref="K107:T107" si="11">L59-$K59</f>
        <v>0.46180555555474712</v>
      </c>
      <c r="L107" s="7">
        <f t="shared" si="11"/>
        <v>0.70416666667006211</v>
      </c>
      <c r="M107" s="7">
        <f t="shared" si="11"/>
        <v>1.0215277777751908</v>
      </c>
      <c r="N107" s="7">
        <f t="shared" si="11"/>
        <v>2.0062499999985448</v>
      </c>
      <c r="O107" s="7">
        <f t="shared" si="11"/>
        <v>3.0041666666656965</v>
      </c>
      <c r="P107" s="7">
        <f t="shared" si="11"/>
        <v>4.007638888891961</v>
      </c>
      <c r="Q107" s="7">
        <f t="shared" si="11"/>
        <v>5.0062499999985448</v>
      </c>
      <c r="R107" s="7">
        <f t="shared" si="11"/>
        <v>6.0020833333328483</v>
      </c>
      <c r="S107" s="7">
        <f t="shared" si="11"/>
        <v>7.2361111111094942</v>
      </c>
      <c r="T107" s="7">
        <f t="shared" si="11"/>
        <v>9.0041666666656965</v>
      </c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35"/>
      <c r="AI107" s="7"/>
    </row>
    <row r="108" spans="1:35" x14ac:dyDescent="0.25">
      <c r="A108" s="3" t="s">
        <v>900</v>
      </c>
      <c r="B108" s="2">
        <v>2.0833333333333333E-3</v>
      </c>
      <c r="C108">
        <v>9.6799999999999997E-2</v>
      </c>
      <c r="F108" t="str">
        <f t="shared" si="0"/>
        <v>2019/09/03 00:03:00</v>
      </c>
      <c r="G108" t="s">
        <v>1211</v>
      </c>
      <c r="J108" s="32" t="s">
        <v>826</v>
      </c>
      <c r="K108" s="7">
        <f t="shared" ref="K108:P108" si="12">L60-$K60</f>
        <v>0.48263888889050577</v>
      </c>
      <c r="L108" s="7">
        <f t="shared" si="12"/>
        <v>0.68402777778101154</v>
      </c>
      <c r="M108" s="7">
        <f t="shared" si="12"/>
        <v>1.0166666666700621</v>
      </c>
      <c r="N108" s="7">
        <f t="shared" si="12"/>
        <v>2.0097222222248092</v>
      </c>
      <c r="O108" s="7">
        <f t="shared" si="12"/>
        <v>3.0027777777795563</v>
      </c>
      <c r="P108" s="7">
        <f t="shared" si="12"/>
        <v>4.0006944444467081</v>
      </c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35"/>
      <c r="AI108" s="7"/>
    </row>
    <row r="109" spans="1:35" s="12" customFormat="1" x14ac:dyDescent="0.25">
      <c r="A109" s="10" t="s">
        <v>901</v>
      </c>
      <c r="B109" s="9">
        <v>3.472222222222222E-3</v>
      </c>
      <c r="C109" s="12">
        <v>5.8299999999999998E-2</v>
      </c>
      <c r="F109" t="str">
        <f t="shared" si="0"/>
        <v>2019/09/04 00:05:00</v>
      </c>
      <c r="G109" s="12" t="s">
        <v>1212</v>
      </c>
      <c r="J109" s="32" t="s">
        <v>827</v>
      </c>
      <c r="K109" s="7">
        <f t="shared" ref="K109:S109" si="13">L61-$K61</f>
        <v>0.5743055555576575</v>
      </c>
      <c r="L109" s="7">
        <f t="shared" si="13"/>
        <v>0.78749999999854481</v>
      </c>
      <c r="M109" s="7">
        <f t="shared" si="13"/>
        <v>1.015277777776646</v>
      </c>
      <c r="N109" s="7">
        <f t="shared" si="13"/>
        <v>2.0180555555562023</v>
      </c>
      <c r="O109" s="7">
        <f t="shared" si="13"/>
        <v>3.0229166666686069</v>
      </c>
      <c r="P109" s="7">
        <f t="shared" si="13"/>
        <v>4.0104166666642413</v>
      </c>
      <c r="Q109" s="7">
        <f t="shared" si="13"/>
        <v>5.015277777776646</v>
      </c>
      <c r="R109" s="7">
        <f t="shared" si="13"/>
        <v>6.0013888888861402</v>
      </c>
      <c r="S109" s="7">
        <f t="shared" si="13"/>
        <v>7.0020833333328483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35"/>
      <c r="AI109" s="7"/>
    </row>
    <row r="110" spans="1:35" x14ac:dyDescent="0.25">
      <c r="A110" s="3" t="s">
        <v>902</v>
      </c>
      <c r="B110" s="2">
        <v>9.4444444444444442E-2</v>
      </c>
      <c r="C110">
        <v>6.57</v>
      </c>
      <c r="F110" t="str">
        <f t="shared" si="0"/>
        <v>2018/06/12 02:16:00</v>
      </c>
      <c r="G110" t="s">
        <v>1213</v>
      </c>
      <c r="J110" s="32" t="s">
        <v>828</v>
      </c>
      <c r="K110" s="7">
        <f t="shared" ref="K110:Q110" si="14">L62-$K62</f>
        <v>0.46805555555329192</v>
      </c>
      <c r="L110" s="7">
        <f t="shared" si="14"/>
        <v>0.73402777777664596</v>
      </c>
      <c r="M110" s="7">
        <f t="shared" si="14"/>
        <v>1.0048611111124046</v>
      </c>
      <c r="N110" s="7">
        <f t="shared" si="14"/>
        <v>1.6506944444408873</v>
      </c>
      <c r="O110" s="7">
        <f t="shared" si="14"/>
        <v>2.0020833333328483</v>
      </c>
      <c r="P110" s="7">
        <f t="shared" si="14"/>
        <v>3.0097222222248092</v>
      </c>
      <c r="Q110" s="7">
        <f t="shared" si="14"/>
        <v>4.2402777777751908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35"/>
      <c r="AI110" s="7"/>
    </row>
    <row r="111" spans="1:35" x14ac:dyDescent="0.25">
      <c r="A111" s="3" t="s">
        <v>902</v>
      </c>
      <c r="B111" s="2">
        <v>0.10416666666666667</v>
      </c>
      <c r="C111">
        <v>9.1</v>
      </c>
      <c r="F111" t="str">
        <f t="shared" si="0"/>
        <v>2018/06/12 02:30:00</v>
      </c>
      <c r="G111" t="s">
        <v>1214</v>
      </c>
      <c r="J111" s="32" t="s">
        <v>829</v>
      </c>
      <c r="K111" s="7">
        <f t="shared" ref="K111:R111" si="15">L63-$K63</f>
        <v>0.47638888889196096</v>
      </c>
      <c r="L111" s="7">
        <f t="shared" si="15"/>
        <v>0.7069444444423425</v>
      </c>
      <c r="M111" s="7">
        <f t="shared" si="15"/>
        <v>1.0111111111109494</v>
      </c>
      <c r="N111" s="7">
        <f t="shared" si="15"/>
        <v>2.0083333333313931</v>
      </c>
      <c r="O111" s="7">
        <f t="shared" si="15"/>
        <v>3.023611111108039</v>
      </c>
      <c r="P111" s="7">
        <f t="shared" si="15"/>
        <v>4.0069444444452529</v>
      </c>
      <c r="Q111" s="7">
        <f t="shared" si="15"/>
        <v>5.2284722222248092</v>
      </c>
      <c r="R111" s="7">
        <f t="shared" si="15"/>
        <v>6.007638888891961</v>
      </c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35"/>
      <c r="AI111" s="7"/>
    </row>
    <row r="112" spans="1:35" x14ac:dyDescent="0.25">
      <c r="A112" s="3" t="s">
        <v>902</v>
      </c>
      <c r="B112" s="2">
        <v>0.35833333333333334</v>
      </c>
      <c r="C112">
        <v>8.85</v>
      </c>
      <c r="F112" t="str">
        <f t="shared" si="0"/>
        <v>2018/06/12 08:36:00</v>
      </c>
      <c r="G112" t="s">
        <v>1215</v>
      </c>
      <c r="J112" s="32" t="s">
        <v>830</v>
      </c>
      <c r="K112" s="7">
        <f t="shared" ref="K112:R112" si="16">L64-$K64</f>
        <v>0.62777777777955635</v>
      </c>
      <c r="L112" s="7">
        <f t="shared" si="16"/>
        <v>0.78125</v>
      </c>
      <c r="M112" s="7">
        <f t="shared" si="16"/>
        <v>1</v>
      </c>
      <c r="N112" s="7">
        <f t="shared" si="16"/>
        <v>2.0055555555591127</v>
      </c>
      <c r="O112" s="7">
        <f t="shared" si="16"/>
        <v>3.0395833333313931</v>
      </c>
      <c r="P112" s="7">
        <f t="shared" si="16"/>
        <v>3.6374999999970896</v>
      </c>
      <c r="Q112" s="7">
        <f t="shared" si="16"/>
        <v>4.2395833333357587</v>
      </c>
      <c r="R112" s="7">
        <f t="shared" si="16"/>
        <v>5.2430555555547471</v>
      </c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35"/>
      <c r="AI112" s="7"/>
    </row>
    <row r="113" spans="1:35" x14ac:dyDescent="0.25">
      <c r="A113" s="3" t="s">
        <v>902</v>
      </c>
      <c r="B113" s="2">
        <v>0.67499999999999993</v>
      </c>
      <c r="C113">
        <v>9.86</v>
      </c>
      <c r="F113" t="str">
        <f t="shared" si="0"/>
        <v>2018/06/12 16:12:00</v>
      </c>
      <c r="G113" t="s">
        <v>1216</v>
      </c>
      <c r="J113" s="32" t="s">
        <v>831</v>
      </c>
      <c r="K113" s="7">
        <f t="shared" ref="K113:P113" si="17">L65-$K65</f>
        <v>0.77430555555474712</v>
      </c>
      <c r="L113" s="7">
        <f t="shared" si="17"/>
        <v>0.97291666666569654</v>
      </c>
      <c r="M113" s="7">
        <f t="shared" si="17"/>
        <v>1.0041666666656965</v>
      </c>
      <c r="N113" s="7">
        <f t="shared" si="17"/>
        <v>2.0145833333299379</v>
      </c>
      <c r="O113" s="7">
        <f t="shared" si="17"/>
        <v>3.007638888891961</v>
      </c>
      <c r="P113" s="7">
        <f t="shared" si="17"/>
        <v>4.2430555555547471</v>
      </c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35"/>
      <c r="AI113" s="7"/>
    </row>
    <row r="114" spans="1:35" x14ac:dyDescent="0.25">
      <c r="A114" s="3" t="s">
        <v>903</v>
      </c>
      <c r="B114" s="2">
        <v>2.361111111111111E-2</v>
      </c>
      <c r="C114">
        <v>6.1</v>
      </c>
      <c r="F114" t="str">
        <f t="shared" si="0"/>
        <v>2018/06/13 00:34:00</v>
      </c>
      <c r="G114" t="s">
        <v>1217</v>
      </c>
      <c r="J114" s="32" t="s">
        <v>832</v>
      </c>
      <c r="K114" s="7">
        <f t="shared" ref="K114:R114" si="18">L66-$K66</f>
        <v>0.82708333332993789</v>
      </c>
      <c r="L114" s="7">
        <f t="shared" si="18"/>
        <v>1.0013888888861402</v>
      </c>
      <c r="M114" s="7">
        <f t="shared" si="18"/>
        <v>1.0138888888905058</v>
      </c>
      <c r="N114" s="7">
        <f t="shared" si="18"/>
        <v>1.663888888891961</v>
      </c>
      <c r="O114" s="7">
        <f t="shared" si="18"/>
        <v>2.2631944444437977</v>
      </c>
      <c r="P114" s="7">
        <f t="shared" si="18"/>
        <v>3.0062499999985448</v>
      </c>
      <c r="Q114" s="7">
        <f t="shared" si="18"/>
        <v>4.0090277777781012</v>
      </c>
      <c r="R114" s="7">
        <f t="shared" si="18"/>
        <v>5.0048611111124046</v>
      </c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35"/>
      <c r="AI114" s="7"/>
    </row>
    <row r="115" spans="1:35" x14ac:dyDescent="0.25">
      <c r="A115" s="11" t="s">
        <v>262</v>
      </c>
      <c r="B115" s="2">
        <v>1.3888888888888888E-2</v>
      </c>
      <c r="C115">
        <v>5.6</v>
      </c>
      <c r="F115" t="str">
        <f t="shared" ref="F115:F178" si="19">TEXT(A115,"yyyy/mm/dd") &amp; " " &amp; TEXT(B115,"hh:mm:ss")</f>
        <v>2018/06/14 00:20:00</v>
      </c>
      <c r="G115" t="s">
        <v>1218</v>
      </c>
      <c r="J115" s="32" t="s">
        <v>833</v>
      </c>
      <c r="K115" s="7">
        <f t="shared" ref="K115:U115" si="20">L67-$K67</f>
        <v>0.72291666666569654</v>
      </c>
      <c r="L115" s="7">
        <f t="shared" si="20"/>
        <v>0.97499999999854481</v>
      </c>
      <c r="M115" s="7">
        <f t="shared" si="20"/>
        <v>1.0194444444423425</v>
      </c>
      <c r="N115" s="7">
        <f t="shared" si="20"/>
        <v>1.702777777776646</v>
      </c>
      <c r="O115" s="7">
        <f t="shared" si="20"/>
        <v>2.023611111108039</v>
      </c>
      <c r="P115" s="7">
        <f t="shared" si="20"/>
        <v>3.0020833333328483</v>
      </c>
      <c r="Q115" s="7">
        <f t="shared" si="20"/>
        <v>4.0118055555576575</v>
      </c>
      <c r="R115" s="7">
        <f t="shared" si="20"/>
        <v>5.0097222222248092</v>
      </c>
      <c r="S115" s="7">
        <f t="shared" si="20"/>
        <v>6.0006944444467081</v>
      </c>
      <c r="T115" s="7">
        <f t="shared" si="20"/>
        <v>7.0006944444467081</v>
      </c>
      <c r="U115" s="7">
        <f t="shared" si="20"/>
        <v>8.0041666666656965</v>
      </c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35"/>
      <c r="AI115" s="7"/>
    </row>
    <row r="116" spans="1:35" x14ac:dyDescent="0.25">
      <c r="A116" s="3" t="s">
        <v>263</v>
      </c>
      <c r="B116" s="2">
        <v>1.3194444444444444E-2</v>
      </c>
      <c r="C116">
        <v>4.99</v>
      </c>
      <c r="F116" t="str">
        <f t="shared" si="19"/>
        <v>2018/06/15 00:19:00</v>
      </c>
      <c r="G116" t="s">
        <v>530</v>
      </c>
      <c r="J116" s="32" t="s">
        <v>834</v>
      </c>
      <c r="K116" s="7">
        <f t="shared" ref="K116:R116" si="21">L68-$K68</f>
        <v>0.75208333333284827</v>
      </c>
      <c r="L116" s="7">
        <f t="shared" si="21"/>
        <v>0.96388888888759539</v>
      </c>
      <c r="M116" s="7">
        <f t="shared" si="21"/>
        <v>1.007638888891961</v>
      </c>
      <c r="N116" s="7">
        <f t="shared" si="21"/>
        <v>2.0250000000014552</v>
      </c>
      <c r="O116" s="7">
        <f t="shared" si="21"/>
        <v>3.038888888891961</v>
      </c>
      <c r="P116" s="7">
        <f t="shared" si="21"/>
        <v>4.0118055555576575</v>
      </c>
      <c r="Q116" s="7">
        <f t="shared" si="21"/>
        <v>5.0020833333328483</v>
      </c>
      <c r="R116" s="7">
        <f t="shared" si="21"/>
        <v>6.2395833333357587</v>
      </c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35"/>
      <c r="AI116" s="7"/>
    </row>
    <row r="117" spans="1:35" s="12" customFormat="1" x14ac:dyDescent="0.25">
      <c r="A117" s="10" t="s">
        <v>264</v>
      </c>
      <c r="B117" s="9">
        <v>2.0833333333333333E-3</v>
      </c>
      <c r="C117" s="12">
        <v>3.06</v>
      </c>
      <c r="F117" t="str">
        <f t="shared" si="19"/>
        <v>2018/06/16 00:03:00</v>
      </c>
      <c r="G117" s="12" t="s">
        <v>1219</v>
      </c>
      <c r="J117" s="32" t="s">
        <v>835</v>
      </c>
      <c r="K117" s="7">
        <f t="shared" ref="K117:W117" si="22">L69-$K69</f>
        <v>0.84791666666569654</v>
      </c>
      <c r="L117" s="7">
        <f t="shared" si="22"/>
        <v>0.89722222222189885</v>
      </c>
      <c r="M117" s="7">
        <f t="shared" si="22"/>
        <v>1.0118055555576575</v>
      </c>
      <c r="N117" s="7">
        <f t="shared" si="22"/>
        <v>2.0215277777751908</v>
      </c>
      <c r="O117" s="7">
        <f t="shared" si="22"/>
        <v>3.0055555555591127</v>
      </c>
      <c r="P117" s="7">
        <f t="shared" si="22"/>
        <v>4.0277777777810115</v>
      </c>
      <c r="Q117" s="7">
        <f t="shared" si="22"/>
        <v>4.7861111111124046</v>
      </c>
      <c r="R117" s="7">
        <f t="shared" si="22"/>
        <v>5.0118055555576575</v>
      </c>
      <c r="S117" s="7">
        <f t="shared" si="22"/>
        <v>6.0173611111094942</v>
      </c>
      <c r="T117" s="7">
        <f t="shared" si="22"/>
        <v>7.0124999999970896</v>
      </c>
      <c r="U117" s="7">
        <f t="shared" si="22"/>
        <v>8.0215277777751908</v>
      </c>
      <c r="V117" s="7">
        <f t="shared" si="22"/>
        <v>38.419444444443798</v>
      </c>
      <c r="W117" s="7">
        <f t="shared" si="22"/>
        <v>38.547222222223354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35"/>
      <c r="AI117" s="7"/>
    </row>
    <row r="118" spans="1:35" x14ac:dyDescent="0.25">
      <c r="A118" s="3" t="s">
        <v>904</v>
      </c>
      <c r="B118" s="2">
        <v>0.12222222222222222</v>
      </c>
      <c r="C118">
        <v>16.63</v>
      </c>
      <c r="F118" t="str">
        <f t="shared" si="19"/>
        <v>2015/12/19 02:56:00</v>
      </c>
      <c r="G118" t="s">
        <v>1220</v>
      </c>
      <c r="J118" s="32" t="s">
        <v>836</v>
      </c>
      <c r="K118" s="7">
        <f t="shared" ref="K118:U118" si="23">L70-$K70</f>
        <v>0.89166666667006211</v>
      </c>
      <c r="L118" s="7">
        <f t="shared" si="23"/>
        <v>1.0416666666642413</v>
      </c>
      <c r="M118" s="7">
        <f t="shared" si="23"/>
        <v>1.7368055555562023</v>
      </c>
      <c r="N118" s="7">
        <f t="shared" si="23"/>
        <v>2.2569444444452529</v>
      </c>
      <c r="O118" s="7">
        <f t="shared" si="23"/>
        <v>3.0020833333328483</v>
      </c>
      <c r="P118" s="7">
        <f t="shared" si="23"/>
        <v>4.2486111111138598</v>
      </c>
      <c r="Q118" s="7">
        <f t="shared" si="23"/>
        <v>5.242361111108039</v>
      </c>
      <c r="R118" s="7">
        <f t="shared" si="23"/>
        <v>7.0027777777795563</v>
      </c>
      <c r="S118" s="7">
        <f t="shared" si="23"/>
        <v>8.0020833333328483</v>
      </c>
      <c r="T118" s="7">
        <f t="shared" si="23"/>
        <v>8.7874999999985448</v>
      </c>
      <c r="U118" s="7">
        <f t="shared" si="23"/>
        <v>9.4430555555591127</v>
      </c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35"/>
      <c r="AI118" s="7"/>
    </row>
    <row r="119" spans="1:35" x14ac:dyDescent="0.25">
      <c r="A119" s="3" t="s">
        <v>904</v>
      </c>
      <c r="B119" s="2">
        <v>0.13472222222222222</v>
      </c>
      <c r="C119">
        <v>21.43</v>
      </c>
      <c r="F119" t="str">
        <f t="shared" si="19"/>
        <v>2015/12/19 03:14:00</v>
      </c>
      <c r="G119" t="s">
        <v>1221</v>
      </c>
      <c r="J119" s="32" t="s">
        <v>837</v>
      </c>
      <c r="K119" s="7">
        <f t="shared" ref="K119:U119" si="24">L71-$K71</f>
        <v>0.10486111111094942</v>
      </c>
      <c r="L119" s="7">
        <f t="shared" si="24"/>
        <v>0.1055555555576575</v>
      </c>
      <c r="M119" s="7">
        <f t="shared" si="24"/>
        <v>0.67638888888905058</v>
      </c>
      <c r="N119" s="7">
        <f t="shared" si="24"/>
        <v>1.0083333333313931</v>
      </c>
      <c r="O119" s="7">
        <f t="shared" si="24"/>
        <v>2.0138888888905058</v>
      </c>
      <c r="P119" s="7">
        <f t="shared" si="24"/>
        <v>3.0034722222189885</v>
      </c>
      <c r="Q119" s="7">
        <f t="shared" si="24"/>
        <v>4.0013888888861402</v>
      </c>
      <c r="R119" s="7">
        <f t="shared" si="24"/>
        <v>5.0041666666656965</v>
      </c>
      <c r="S119" s="7">
        <f t="shared" si="24"/>
        <v>5.859027777776646</v>
      </c>
      <c r="T119" s="7">
        <f t="shared" si="24"/>
        <v>6.0201388888890506</v>
      </c>
      <c r="U119" s="7">
        <f t="shared" si="24"/>
        <v>7.3694444444408873</v>
      </c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35"/>
      <c r="AI119" s="7"/>
    </row>
    <row r="120" spans="1:35" x14ac:dyDescent="0.25">
      <c r="A120" s="3" t="s">
        <v>904</v>
      </c>
      <c r="B120" s="5">
        <v>0.70347222222222228</v>
      </c>
      <c r="C120">
        <v>13.57</v>
      </c>
      <c r="F120" t="str">
        <f t="shared" si="19"/>
        <v>2015/12/19 16:53:00</v>
      </c>
      <c r="G120" t="s">
        <v>1222</v>
      </c>
      <c r="J120" s="32" t="s">
        <v>838</v>
      </c>
      <c r="K120" s="7">
        <f t="shared" ref="K120:S120" si="25">L72-$K72</f>
        <v>0.59791666666569654</v>
      </c>
      <c r="L120" s="7">
        <f t="shared" si="25"/>
        <v>0.81180555555329192</v>
      </c>
      <c r="M120" s="7">
        <f t="shared" si="25"/>
        <v>1.0124999999970896</v>
      </c>
      <c r="N120" s="7">
        <f t="shared" si="25"/>
        <v>2.0423611111109494</v>
      </c>
      <c r="O120" s="7">
        <f t="shared" si="25"/>
        <v>3.0145833333299379</v>
      </c>
      <c r="P120" s="7">
        <f t="shared" si="25"/>
        <v>4.2333333333299379</v>
      </c>
      <c r="Q120" s="7">
        <f t="shared" si="25"/>
        <v>5.0013888888861402</v>
      </c>
      <c r="R120" s="7">
        <f t="shared" si="25"/>
        <v>6.0020833333328483</v>
      </c>
      <c r="S120" s="7">
        <f t="shared" si="25"/>
        <v>7.0013888888861402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35"/>
      <c r="AI120" s="7"/>
    </row>
    <row r="121" spans="1:35" x14ac:dyDescent="0.25">
      <c r="A121" s="3" t="s">
        <v>905</v>
      </c>
      <c r="B121" s="5">
        <v>1.3888888888888888E-2</v>
      </c>
      <c r="C121">
        <v>8.8000000000000007</v>
      </c>
      <c r="F121" t="str">
        <f t="shared" si="19"/>
        <v>2015/12/20 00:20:00</v>
      </c>
      <c r="G121" t="s">
        <v>1223</v>
      </c>
      <c r="J121" s="32" t="s">
        <v>839</v>
      </c>
      <c r="K121" s="7">
        <f t="shared" ref="K121:V121" si="26">L73-$K73</f>
        <v>0.79444444444379769</v>
      </c>
      <c r="L121" s="7">
        <f t="shared" si="26"/>
        <v>0.98680555555620231</v>
      </c>
      <c r="M121" s="7">
        <f t="shared" si="26"/>
        <v>1.0090277777781012</v>
      </c>
      <c r="N121" s="7">
        <f t="shared" si="26"/>
        <v>2.0166666666700621</v>
      </c>
      <c r="O121" s="7">
        <f t="shared" si="26"/>
        <v>3.0013888888861402</v>
      </c>
      <c r="P121" s="7">
        <f t="shared" si="26"/>
        <v>4.0069444444452529</v>
      </c>
      <c r="Q121" s="7">
        <f t="shared" si="26"/>
        <v>5.0048611111124046</v>
      </c>
      <c r="R121" s="7">
        <f t="shared" si="26"/>
        <v>6.2479166666671517</v>
      </c>
      <c r="S121" s="7">
        <f t="shared" si="26"/>
        <v>7.0020833333328483</v>
      </c>
      <c r="T121" s="7">
        <f t="shared" si="26"/>
        <v>8.0027777777795563</v>
      </c>
      <c r="U121" s="7">
        <f t="shared" si="26"/>
        <v>8.7687500000029104</v>
      </c>
      <c r="V121" s="7">
        <f t="shared" si="26"/>
        <v>9.0083333333313931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35"/>
      <c r="AI121" s="7"/>
    </row>
    <row r="122" spans="1:35" x14ac:dyDescent="0.25">
      <c r="A122" s="3" t="s">
        <v>906</v>
      </c>
      <c r="B122" s="5">
        <v>6.9444444444444447E-4</v>
      </c>
      <c r="C122">
        <v>7.91</v>
      </c>
      <c r="F122" t="str">
        <f t="shared" si="19"/>
        <v>2015/12/21 00:01:00</v>
      </c>
      <c r="G122" t="s">
        <v>1224</v>
      </c>
      <c r="J122" s="32" t="s">
        <v>840</v>
      </c>
      <c r="K122" s="7">
        <f t="shared" ref="K122:T122" si="27">L74-$K74</f>
        <v>0.91249999999854481</v>
      </c>
      <c r="L122" s="7">
        <f t="shared" si="27"/>
        <v>1.0208333333357587</v>
      </c>
      <c r="M122" s="7">
        <f t="shared" si="27"/>
        <v>1.7381944444423425</v>
      </c>
      <c r="N122" s="7">
        <f t="shared" si="27"/>
        <v>2.0111111111109494</v>
      </c>
      <c r="O122" s="7">
        <f t="shared" si="27"/>
        <v>3.0250000000014552</v>
      </c>
      <c r="P122" s="7">
        <f t="shared" si="27"/>
        <v>4.0222222222218988</v>
      </c>
      <c r="Q122" s="7">
        <f t="shared" si="27"/>
        <v>5.015972222223354</v>
      </c>
      <c r="R122" s="7">
        <f t="shared" si="27"/>
        <v>5.7597222222248092</v>
      </c>
      <c r="S122" s="7">
        <f t="shared" si="27"/>
        <v>6.0201388888890506</v>
      </c>
      <c r="T122" s="7">
        <f t="shared" si="27"/>
        <v>7.0041666666656965</v>
      </c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35"/>
      <c r="AI122" s="7"/>
    </row>
    <row r="123" spans="1:35" x14ac:dyDescent="0.25">
      <c r="A123" s="3" t="s">
        <v>907</v>
      </c>
      <c r="B123" s="5">
        <v>6.9444444444444441E-3</v>
      </c>
      <c r="C123">
        <v>7.22</v>
      </c>
      <c r="F123" t="str">
        <f t="shared" si="19"/>
        <v>2015/12/22 00:10:00</v>
      </c>
      <c r="G123" t="s">
        <v>1225</v>
      </c>
      <c r="J123" s="32" t="s">
        <v>841</v>
      </c>
      <c r="K123" s="7">
        <f t="shared" ref="K123:AA123" si="28">L75-$K75</f>
        <v>0.35624999999708962</v>
      </c>
      <c r="L123" s="7">
        <f t="shared" si="28"/>
        <v>0.59097222222044365</v>
      </c>
      <c r="M123" s="7">
        <f t="shared" si="28"/>
        <v>1.0166666666700621</v>
      </c>
      <c r="N123" s="7">
        <f t="shared" si="28"/>
        <v>2.0166666666700621</v>
      </c>
      <c r="O123" s="7">
        <f t="shared" si="28"/>
        <v>3.0090277777781012</v>
      </c>
      <c r="P123" s="7">
        <f t="shared" si="28"/>
        <v>4.0118055555576575</v>
      </c>
      <c r="Q123" s="7">
        <f t="shared" si="28"/>
        <v>5.2416666666686069</v>
      </c>
      <c r="R123" s="7">
        <f t="shared" si="28"/>
        <v>6.0013888888861402</v>
      </c>
      <c r="S123" s="7">
        <f t="shared" si="28"/>
        <v>7.0020833333328483</v>
      </c>
      <c r="T123" s="7">
        <f t="shared" si="28"/>
        <v>8.2534722222189885</v>
      </c>
      <c r="U123" s="7">
        <f t="shared" si="28"/>
        <v>9.2375000000029104</v>
      </c>
      <c r="V123" s="7">
        <f t="shared" si="28"/>
        <v>10.243055555554747</v>
      </c>
      <c r="W123" s="7">
        <f t="shared" si="28"/>
        <v>11.00138888888614</v>
      </c>
      <c r="X123" s="7">
        <f t="shared" si="28"/>
        <v>12.002777777779556</v>
      </c>
      <c r="Y123" s="7">
        <f t="shared" si="28"/>
        <v>14.244444444440887</v>
      </c>
      <c r="Z123" s="7">
        <f t="shared" si="28"/>
        <v>15.240277777775191</v>
      </c>
      <c r="AA123" s="7">
        <f t="shared" si="28"/>
        <v>16.003472222218988</v>
      </c>
      <c r="AB123" s="7"/>
      <c r="AC123" s="7"/>
      <c r="AD123" s="7"/>
      <c r="AE123" s="7"/>
      <c r="AF123" s="7"/>
      <c r="AG123" s="7"/>
      <c r="AH123" s="35"/>
      <c r="AI123" s="7"/>
    </row>
    <row r="124" spans="1:35" x14ac:dyDescent="0.25">
      <c r="A124" s="3" t="s">
        <v>907</v>
      </c>
      <c r="B124" s="5">
        <v>0.69236111111111109</v>
      </c>
      <c r="C124">
        <v>6.78</v>
      </c>
      <c r="F124" t="str">
        <f t="shared" si="19"/>
        <v>2015/12/22 16:37:00</v>
      </c>
      <c r="G124" t="s">
        <v>1226</v>
      </c>
      <c r="J124" s="32" t="s">
        <v>842</v>
      </c>
      <c r="K124" s="7">
        <f t="shared" ref="K124:R124" si="29">L76-$K76</f>
        <v>0.52986111111385981</v>
      </c>
      <c r="L124" s="7">
        <f t="shared" si="29"/>
        <v>0.60486111111094942</v>
      </c>
      <c r="M124" s="7">
        <f t="shared" si="29"/>
        <v>1.038888888891961</v>
      </c>
      <c r="N124" s="7">
        <f t="shared" si="29"/>
        <v>2.0097222222248092</v>
      </c>
      <c r="O124" s="7">
        <f t="shared" si="29"/>
        <v>3.0166666666700621</v>
      </c>
      <c r="P124" s="7">
        <f t="shared" si="29"/>
        <v>4</v>
      </c>
      <c r="Q124" s="7">
        <f t="shared" si="29"/>
        <v>5.0013888888861402</v>
      </c>
      <c r="R124" s="7">
        <f t="shared" si="29"/>
        <v>6.2444444444408873</v>
      </c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35"/>
      <c r="AI124" s="7"/>
    </row>
    <row r="125" spans="1:35" x14ac:dyDescent="0.25">
      <c r="A125" s="3" t="s">
        <v>908</v>
      </c>
      <c r="B125" s="5">
        <v>3.472222222222222E-3</v>
      </c>
      <c r="C125">
        <v>5.47</v>
      </c>
      <c r="F125" t="str">
        <f t="shared" si="19"/>
        <v>2015/12/23 00:05:00</v>
      </c>
      <c r="G125" t="s">
        <v>1227</v>
      </c>
      <c r="J125" s="32" t="s">
        <v>843</v>
      </c>
      <c r="K125" s="7">
        <f t="shared" ref="K125:AG125" si="30">L77-$K77</f>
        <v>0.71041666666860692</v>
      </c>
      <c r="L125" s="7">
        <f t="shared" si="30"/>
        <v>0.90347222222044365</v>
      </c>
      <c r="M125" s="7">
        <f t="shared" si="30"/>
        <v>1.0173611111094942</v>
      </c>
      <c r="N125" s="7">
        <f t="shared" si="30"/>
        <v>1.0180555555562023</v>
      </c>
      <c r="O125" s="7">
        <f t="shared" si="30"/>
        <v>2.023611111108039</v>
      </c>
      <c r="P125" s="7">
        <f t="shared" si="30"/>
        <v>3.0208333333357587</v>
      </c>
      <c r="Q125" s="7">
        <f t="shared" si="30"/>
        <v>4.0340277777795563</v>
      </c>
      <c r="R125" s="7">
        <f t="shared" si="30"/>
        <v>5.0069444444452529</v>
      </c>
      <c r="S125" s="7">
        <f t="shared" si="30"/>
        <v>6.0069444444452529</v>
      </c>
      <c r="T125" s="7">
        <f t="shared" si="30"/>
        <v>7.0319444444467081</v>
      </c>
      <c r="U125" s="7">
        <f t="shared" si="30"/>
        <v>8.3493055555591127</v>
      </c>
      <c r="V125" s="7">
        <f t="shared" si="30"/>
        <v>9.0006944444467081</v>
      </c>
      <c r="W125" s="7">
        <f t="shared" si="30"/>
        <v>10.002083333332848</v>
      </c>
      <c r="X125" s="7">
        <f t="shared" si="30"/>
        <v>11.009027777778101</v>
      </c>
      <c r="Y125" s="7">
        <f t="shared" si="30"/>
        <v>12.005555555559113</v>
      </c>
      <c r="Z125" s="7">
        <f t="shared" si="30"/>
        <v>13.004861111112405</v>
      </c>
      <c r="AA125" s="7">
        <f t="shared" si="30"/>
        <v>14.003472222218988</v>
      </c>
      <c r="AB125" s="7">
        <f t="shared" si="30"/>
        <v>15.002083333332848</v>
      </c>
      <c r="AC125" s="7">
        <f t="shared" si="30"/>
        <v>16.239583333335759</v>
      </c>
      <c r="AD125" s="7">
        <f t="shared" si="30"/>
        <v>17.003472222218988</v>
      </c>
      <c r="AE125" s="7">
        <f t="shared" si="30"/>
        <v>18.004166666665697</v>
      </c>
      <c r="AF125" s="7">
        <f t="shared" si="30"/>
        <v>19.253472222218988</v>
      </c>
      <c r="AG125" s="7">
        <f t="shared" si="30"/>
        <v>20.250694444446708</v>
      </c>
      <c r="AH125" s="35"/>
      <c r="AI125" s="7"/>
    </row>
    <row r="126" spans="1:35" x14ac:dyDescent="0.25">
      <c r="A126" s="3" t="s">
        <v>909</v>
      </c>
      <c r="B126" s="5">
        <v>2.7777777777777779E-3</v>
      </c>
      <c r="C126">
        <v>4.72</v>
      </c>
      <c r="F126" t="str">
        <f t="shared" si="19"/>
        <v>2015/12/24 00:04:00</v>
      </c>
      <c r="G126" t="s">
        <v>1228</v>
      </c>
      <c r="J126" s="32" t="s">
        <v>844</v>
      </c>
      <c r="K126" s="7">
        <f t="shared" ref="K126:T126" si="31">L78-$K78</f>
        <v>0.65416666666715173</v>
      </c>
      <c r="L126" s="7">
        <f t="shared" si="31"/>
        <v>0.95069444444379769</v>
      </c>
      <c r="M126" s="7">
        <f t="shared" si="31"/>
        <v>1.0361111111124046</v>
      </c>
      <c r="N126" s="7">
        <f t="shared" si="31"/>
        <v>2.0250000000014552</v>
      </c>
      <c r="O126" s="7">
        <f t="shared" si="31"/>
        <v>3.0118055555576575</v>
      </c>
      <c r="P126" s="7">
        <f t="shared" si="31"/>
        <v>4.0270833333343035</v>
      </c>
      <c r="Q126" s="7">
        <f t="shared" si="31"/>
        <v>5.0006944444467081</v>
      </c>
      <c r="R126" s="7">
        <f t="shared" si="31"/>
        <v>6.0013888888861402</v>
      </c>
      <c r="S126" s="7">
        <f t="shared" si="31"/>
        <v>6.6965277777781012</v>
      </c>
      <c r="T126" s="7">
        <f t="shared" si="31"/>
        <v>7.234027777776646</v>
      </c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35"/>
      <c r="AI126" s="7"/>
    </row>
    <row r="127" spans="1:35" x14ac:dyDescent="0.25">
      <c r="A127" s="3" t="s">
        <v>910</v>
      </c>
      <c r="B127" s="5">
        <v>1.1111111111111112E-2</v>
      </c>
      <c r="C127">
        <v>3.83</v>
      </c>
      <c r="F127" t="str">
        <f t="shared" si="19"/>
        <v>2015/12/25 00:16:00</v>
      </c>
      <c r="G127" t="s">
        <v>1229</v>
      </c>
      <c r="J127" s="32" t="s">
        <v>845</v>
      </c>
      <c r="K127" s="7">
        <f t="shared" ref="K127:S127" si="32">L79-$K79</f>
        <v>0.96041666666860692</v>
      </c>
      <c r="L127" s="7">
        <f t="shared" si="32"/>
        <v>1.0124999999970896</v>
      </c>
      <c r="M127" s="7">
        <f t="shared" si="32"/>
        <v>2.0187500000029104</v>
      </c>
      <c r="N127" s="7">
        <f t="shared" si="32"/>
        <v>3.0180555555562023</v>
      </c>
      <c r="O127" s="7">
        <f t="shared" si="32"/>
        <v>4.0055555555591127</v>
      </c>
      <c r="P127" s="7">
        <f t="shared" si="32"/>
        <v>5.0069444444452529</v>
      </c>
      <c r="Q127" s="7">
        <f t="shared" si="32"/>
        <v>6.023611111108039</v>
      </c>
      <c r="R127" s="7">
        <f t="shared" si="32"/>
        <v>7.0034722222189885</v>
      </c>
      <c r="S127" s="7">
        <f t="shared" si="32"/>
        <v>8.0027777777795563</v>
      </c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35"/>
      <c r="AI127" s="7"/>
    </row>
    <row r="128" spans="1:35" x14ac:dyDescent="0.25">
      <c r="A128" s="3" t="s">
        <v>911</v>
      </c>
      <c r="B128" s="5">
        <v>0.24236111111111111</v>
      </c>
      <c r="C128">
        <v>3.02</v>
      </c>
      <c r="F128" t="str">
        <f t="shared" si="19"/>
        <v>2015/12/26 05:49:00</v>
      </c>
      <c r="G128" t="s">
        <v>1230</v>
      </c>
      <c r="J128" s="32" t="s">
        <v>846</v>
      </c>
      <c r="K128" s="7">
        <f t="shared" ref="K128:T128" si="33">L80-$K80</f>
        <v>0.95763888888905058</v>
      </c>
      <c r="L128" s="7">
        <f t="shared" si="33"/>
        <v>1.023611111108039</v>
      </c>
      <c r="M128" s="7">
        <f t="shared" si="33"/>
        <v>1.0625</v>
      </c>
      <c r="N128" s="7">
        <f t="shared" si="33"/>
        <v>1.7486111111138598</v>
      </c>
      <c r="O128" s="7">
        <f t="shared" si="33"/>
        <v>2.0034722222189885</v>
      </c>
      <c r="P128" s="7">
        <f t="shared" si="33"/>
        <v>3.0145833333299379</v>
      </c>
      <c r="Q128" s="7">
        <f t="shared" si="33"/>
        <v>4.0124999999970896</v>
      </c>
      <c r="R128" s="7">
        <f t="shared" si="33"/>
        <v>5.0027777777795563</v>
      </c>
      <c r="S128" s="7">
        <f t="shared" si="33"/>
        <v>6.0104166666642413</v>
      </c>
      <c r="T128" s="7">
        <f t="shared" si="33"/>
        <v>7.0006944444467081</v>
      </c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35"/>
      <c r="AI128" s="7"/>
    </row>
    <row r="129" spans="1:35" x14ac:dyDescent="0.25">
      <c r="A129" s="3" t="s">
        <v>912</v>
      </c>
      <c r="B129" s="5">
        <v>2.013888888888889E-2</v>
      </c>
      <c r="C129">
        <v>2.35</v>
      </c>
      <c r="F129" t="str">
        <f t="shared" si="19"/>
        <v>2015/12/27 00:29:00</v>
      </c>
      <c r="G129" t="s">
        <v>1231</v>
      </c>
      <c r="J129" s="32" t="s">
        <v>847</v>
      </c>
      <c r="K129" s="7">
        <f t="shared" ref="K129:Q129" si="34">L81-$K81</f>
        <v>0.6680555555576575</v>
      </c>
      <c r="L129" s="7">
        <f t="shared" si="34"/>
        <v>0.90625</v>
      </c>
      <c r="M129" s="7">
        <f t="shared" si="34"/>
        <v>1.0034722222189885</v>
      </c>
      <c r="N129" s="7">
        <f t="shared" si="34"/>
        <v>2.0090277777781012</v>
      </c>
      <c r="O129" s="7">
        <f t="shared" si="34"/>
        <v>3.0180555555562023</v>
      </c>
      <c r="P129" s="7">
        <f t="shared" si="34"/>
        <v>4.0069444444452529</v>
      </c>
      <c r="Q129" s="7">
        <f t="shared" si="34"/>
        <v>5.0055555555591127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35"/>
      <c r="AI129" s="7"/>
    </row>
    <row r="130" spans="1:35" x14ac:dyDescent="0.25">
      <c r="A130" s="3" t="s">
        <v>913</v>
      </c>
      <c r="B130" s="5">
        <v>2.7777777777777779E-3</v>
      </c>
      <c r="C130">
        <v>1.52</v>
      </c>
      <c r="F130" t="str">
        <f t="shared" si="19"/>
        <v>2015/12/28 00:04:00</v>
      </c>
      <c r="G130" t="s">
        <v>1232</v>
      </c>
      <c r="J130" s="32" t="s">
        <v>848</v>
      </c>
      <c r="K130" s="7">
        <f t="shared" ref="K130:S130" si="35">L82-$K82</f>
        <v>0.48750000000291038</v>
      </c>
      <c r="L130" s="7">
        <f t="shared" si="35"/>
        <v>0.72847222222480923</v>
      </c>
      <c r="M130" s="7">
        <f t="shared" si="35"/>
        <v>1.0048611111124046</v>
      </c>
      <c r="N130" s="7">
        <f t="shared" si="35"/>
        <v>2.0118055555576575</v>
      </c>
      <c r="O130" s="7">
        <f t="shared" si="35"/>
        <v>3.0118055555576575</v>
      </c>
      <c r="P130" s="7">
        <f t="shared" si="35"/>
        <v>4.0111111111109494</v>
      </c>
      <c r="Q130" s="7">
        <f t="shared" si="35"/>
        <v>5.4881944444423425</v>
      </c>
      <c r="R130" s="7">
        <f t="shared" si="35"/>
        <v>6.015972222223354</v>
      </c>
      <c r="S130" s="7">
        <f t="shared" si="35"/>
        <v>7.0034722222189885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35"/>
      <c r="AI130" s="7"/>
    </row>
    <row r="131" spans="1:35" x14ac:dyDescent="0.25">
      <c r="A131" s="3" t="s">
        <v>914</v>
      </c>
      <c r="B131" s="5">
        <v>0.24027777777777778</v>
      </c>
      <c r="C131">
        <v>1.1200000000000001</v>
      </c>
      <c r="F131" t="str">
        <f t="shared" si="19"/>
        <v>2015/12/29 05:46:00</v>
      </c>
      <c r="G131" t="s">
        <v>1233</v>
      </c>
      <c r="J131" s="32" t="s">
        <v>849</v>
      </c>
      <c r="K131" s="7">
        <f t="shared" ref="K131:AB131" si="36">L83-$K83</f>
        <v>4.2361111110949423E-2</v>
      </c>
      <c r="L131" s="7">
        <f t="shared" si="36"/>
        <v>5.6250000001455192E-2</v>
      </c>
      <c r="M131" s="7">
        <f t="shared" si="36"/>
        <v>0.65277777778101154</v>
      </c>
      <c r="N131" s="7">
        <f t="shared" si="36"/>
        <v>1.1034722222248092</v>
      </c>
      <c r="O131" s="7">
        <f t="shared" si="36"/>
        <v>2.0201388888890506</v>
      </c>
      <c r="P131" s="7">
        <f t="shared" si="36"/>
        <v>3.0215277777751908</v>
      </c>
      <c r="Q131" s="7">
        <f t="shared" si="36"/>
        <v>4.0027777777795563</v>
      </c>
      <c r="R131" s="7">
        <f t="shared" si="36"/>
        <v>5.0138888888905058</v>
      </c>
      <c r="S131" s="7">
        <f t="shared" si="36"/>
        <v>6.0027777777795563</v>
      </c>
      <c r="T131" s="7">
        <f t="shared" si="36"/>
        <v>7.0034722222189885</v>
      </c>
      <c r="U131" s="7">
        <f t="shared" si="36"/>
        <v>8.0034722222189885</v>
      </c>
      <c r="V131" s="7">
        <f t="shared" si="36"/>
        <v>9.0027777777795563</v>
      </c>
      <c r="W131" s="7">
        <f t="shared" si="36"/>
        <v>10.240972222221899</v>
      </c>
      <c r="X131" s="7">
        <f t="shared" si="36"/>
        <v>11.002083333332848</v>
      </c>
      <c r="Y131" s="7">
        <f t="shared" si="36"/>
        <v>12.002777777779556</v>
      </c>
      <c r="Z131" s="7">
        <f t="shared" si="36"/>
        <v>13.045138888890506</v>
      </c>
      <c r="AA131" s="7">
        <f t="shared" si="36"/>
        <v>14.005555555559113</v>
      </c>
      <c r="AB131" s="7">
        <f t="shared" si="36"/>
        <v>15.009027777778101</v>
      </c>
      <c r="AC131" s="7"/>
      <c r="AD131" s="7"/>
      <c r="AE131" s="7"/>
      <c r="AF131" s="7"/>
      <c r="AG131" s="7"/>
      <c r="AH131" s="35"/>
      <c r="AI131" s="7"/>
    </row>
    <row r="132" spans="1:35" s="12" customFormat="1" x14ac:dyDescent="0.25">
      <c r="A132" s="10" t="s">
        <v>915</v>
      </c>
      <c r="B132" s="28">
        <v>0.24374999999999999</v>
      </c>
      <c r="C132" s="12">
        <v>0.86399999999999999</v>
      </c>
      <c r="F132" t="str">
        <f t="shared" si="19"/>
        <v>2015/12/30 05:51:00</v>
      </c>
      <c r="G132" s="12" t="s">
        <v>1234</v>
      </c>
      <c r="J132" s="32" t="s">
        <v>850</v>
      </c>
      <c r="K132" s="7">
        <f t="shared" ref="K132:S132" si="37">L84-$K84</f>
        <v>0.68263888888759539</v>
      </c>
      <c r="L132" s="7">
        <f t="shared" si="37"/>
        <v>0.89722222222189885</v>
      </c>
      <c r="M132" s="7">
        <f t="shared" si="37"/>
        <v>1.0069444444452529</v>
      </c>
      <c r="N132" s="7">
        <f t="shared" si="37"/>
        <v>2.0194444444423425</v>
      </c>
      <c r="O132" s="7">
        <f t="shared" si="37"/>
        <v>3.0201388888890506</v>
      </c>
      <c r="P132" s="7">
        <f t="shared" si="37"/>
        <v>4.0041666666656965</v>
      </c>
      <c r="Q132" s="7">
        <f t="shared" si="37"/>
        <v>6.0020833333328483</v>
      </c>
      <c r="R132" s="7">
        <f t="shared" si="37"/>
        <v>7.0027777777795563</v>
      </c>
      <c r="S132" s="7">
        <f t="shared" si="37"/>
        <v>8.0048611111124046</v>
      </c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35"/>
      <c r="AI132" s="7"/>
    </row>
    <row r="133" spans="1:35" x14ac:dyDescent="0.25">
      <c r="A133" s="3" t="s">
        <v>916</v>
      </c>
      <c r="B133" s="2">
        <v>0.46180555555555558</v>
      </c>
      <c r="C133">
        <v>0.42599999999999999</v>
      </c>
      <c r="F133" t="str">
        <f t="shared" si="19"/>
        <v>2018/12/08 11:05:00</v>
      </c>
      <c r="G133" t="s">
        <v>1235</v>
      </c>
      <c r="J133" s="32" t="s">
        <v>851</v>
      </c>
      <c r="K133" s="7">
        <f t="shared" ref="K133:U133" si="38">L85-$K85</f>
        <v>0.87708333333284827</v>
      </c>
      <c r="L133" s="7">
        <f t="shared" si="38"/>
        <v>1.0013888888861402</v>
      </c>
      <c r="M133" s="7">
        <f t="shared" si="38"/>
        <v>1.0048611111124046</v>
      </c>
      <c r="N133" s="7">
        <f t="shared" si="38"/>
        <v>1.6944444444452529</v>
      </c>
      <c r="O133" s="7">
        <f t="shared" si="38"/>
        <v>2.0013888888861402</v>
      </c>
      <c r="P133" s="7">
        <f t="shared" si="38"/>
        <v>3.0104166666642413</v>
      </c>
      <c r="Q133" s="7">
        <f t="shared" si="38"/>
        <v>4.0291666666671517</v>
      </c>
      <c r="R133" s="7">
        <f t="shared" si="38"/>
        <v>4.6583333333328483</v>
      </c>
      <c r="S133" s="7">
        <f t="shared" si="38"/>
        <v>5.0069444444452529</v>
      </c>
      <c r="T133" s="7">
        <f t="shared" si="38"/>
        <v>6.0034722222189885</v>
      </c>
      <c r="U133" s="7">
        <f t="shared" si="38"/>
        <v>7.0201388888890506</v>
      </c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35"/>
      <c r="AI133" s="7"/>
    </row>
    <row r="134" spans="1:35" x14ac:dyDescent="0.25">
      <c r="A134" s="3" t="s">
        <v>916</v>
      </c>
      <c r="B134" s="2">
        <v>0.70416666666666672</v>
      </c>
      <c r="C134">
        <v>2.38</v>
      </c>
      <c r="F134" t="str">
        <f t="shared" si="19"/>
        <v>2018/12/08 16:54:00</v>
      </c>
      <c r="G134" t="s">
        <v>1236</v>
      </c>
      <c r="J134" s="32" t="s">
        <v>852</v>
      </c>
      <c r="K134" s="7">
        <f t="shared" ref="K134:V134" si="39">L86-$K86</f>
        <v>0.46666666666715173</v>
      </c>
      <c r="L134" s="7">
        <f t="shared" si="39"/>
        <v>0.72638888889196096</v>
      </c>
      <c r="M134" s="7">
        <f t="shared" si="39"/>
        <v>1.0055555555591127</v>
      </c>
      <c r="N134" s="7">
        <f t="shared" si="39"/>
        <v>2.0062499999985448</v>
      </c>
      <c r="O134" s="7">
        <f t="shared" si="39"/>
        <v>3.0034722222189885</v>
      </c>
      <c r="P134" s="7">
        <f t="shared" si="39"/>
        <v>4.0048611111124046</v>
      </c>
      <c r="Q134" s="7">
        <f t="shared" si="39"/>
        <v>5.0145833333299379</v>
      </c>
      <c r="R134" s="7">
        <f t="shared" si="39"/>
        <v>6.0187500000029104</v>
      </c>
      <c r="S134" s="7">
        <f t="shared" si="39"/>
        <v>7.0111111111109494</v>
      </c>
      <c r="T134" s="7">
        <f t="shared" si="39"/>
        <v>7.9180555555576575</v>
      </c>
      <c r="U134" s="7">
        <f t="shared" si="39"/>
        <v>8.0097222222248092</v>
      </c>
      <c r="V134" s="7">
        <f t="shared" si="39"/>
        <v>10.258333333331393</v>
      </c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35"/>
      <c r="AI134" s="7"/>
    </row>
    <row r="135" spans="1:35" x14ac:dyDescent="0.25">
      <c r="A135" s="3" t="s">
        <v>917</v>
      </c>
      <c r="B135" s="2">
        <v>2.1527777777777778E-2</v>
      </c>
      <c r="C135">
        <v>1.88</v>
      </c>
      <c r="F135" t="str">
        <f t="shared" si="19"/>
        <v>2018/12/09 00:31:00</v>
      </c>
      <c r="G135" t="s">
        <v>1237</v>
      </c>
      <c r="J135" s="32" t="s">
        <v>853</v>
      </c>
      <c r="K135" s="7">
        <f t="shared" ref="K135:R135" si="40">L87-$K87</f>
        <v>0.84791666666569654</v>
      </c>
      <c r="L135" s="7">
        <f t="shared" si="40"/>
        <v>0.96527777778101154</v>
      </c>
      <c r="M135" s="7">
        <f t="shared" si="40"/>
        <v>1.0048611111124046</v>
      </c>
      <c r="N135" s="7">
        <f t="shared" si="40"/>
        <v>2.0124999999970896</v>
      </c>
      <c r="O135" s="7">
        <f t="shared" si="40"/>
        <v>3.0145833333299379</v>
      </c>
      <c r="P135" s="7">
        <f t="shared" si="40"/>
        <v>4.0097222222248092</v>
      </c>
      <c r="Q135" s="7">
        <f t="shared" si="40"/>
        <v>5.0041666666656965</v>
      </c>
      <c r="R135" s="7">
        <f t="shared" si="40"/>
        <v>6.0034722222189885</v>
      </c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35"/>
      <c r="AI135" s="7"/>
    </row>
    <row r="136" spans="1:35" x14ac:dyDescent="0.25">
      <c r="A136" s="3" t="s">
        <v>918</v>
      </c>
      <c r="B136" s="2">
        <v>6.2500000000000003E-3</v>
      </c>
      <c r="C136">
        <v>2.37</v>
      </c>
      <c r="F136" t="str">
        <f t="shared" si="19"/>
        <v>2018/12/10 00:09:00</v>
      </c>
      <c r="G136" t="s">
        <v>1238</v>
      </c>
      <c r="J136" s="32" t="s">
        <v>854</v>
      </c>
      <c r="K136" s="7">
        <f t="shared" ref="K136:R136" si="41">L88-$K88</f>
        <v>0.61458333333575865</v>
      </c>
      <c r="L136" s="7">
        <f t="shared" si="41"/>
        <v>0.79236111111094942</v>
      </c>
      <c r="M136" s="7">
        <f t="shared" si="41"/>
        <v>1.0124999999970896</v>
      </c>
      <c r="N136" s="7">
        <f t="shared" si="41"/>
        <v>2.0187500000029104</v>
      </c>
      <c r="O136" s="7">
        <f t="shared" si="41"/>
        <v>2.7222222222189885</v>
      </c>
      <c r="P136" s="7">
        <f t="shared" si="41"/>
        <v>3.0180555555562023</v>
      </c>
      <c r="Q136" s="7">
        <f t="shared" si="41"/>
        <v>4.0055555555591127</v>
      </c>
      <c r="R136" s="7">
        <f t="shared" si="41"/>
        <v>5.0131944444437977</v>
      </c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35"/>
      <c r="AI136" s="7"/>
    </row>
    <row r="137" spans="1:35" x14ac:dyDescent="0.25">
      <c r="A137" s="3" t="s">
        <v>919</v>
      </c>
      <c r="B137" s="2">
        <v>4.1666666666666666E-3</v>
      </c>
      <c r="C137">
        <v>2.4500000000000002</v>
      </c>
      <c r="F137" t="str">
        <f t="shared" si="19"/>
        <v>2018/12/11 00:06:00</v>
      </c>
      <c r="G137" t="s">
        <v>1239</v>
      </c>
      <c r="J137" s="32" t="s">
        <v>855</v>
      </c>
      <c r="K137" s="7">
        <f t="shared" ref="K137:R137" si="42">L89-$K89</f>
        <v>0.77847222222044365</v>
      </c>
      <c r="L137" s="7">
        <f t="shared" si="42"/>
        <v>0.96111111110803904</v>
      </c>
      <c r="M137" s="7">
        <f t="shared" si="42"/>
        <v>1.0124999999970896</v>
      </c>
      <c r="N137" s="7">
        <f t="shared" si="42"/>
        <v>2.0187500000029104</v>
      </c>
      <c r="O137" s="7">
        <f t="shared" si="42"/>
        <v>3.0180555555562023</v>
      </c>
      <c r="P137" s="7">
        <f t="shared" si="42"/>
        <v>4.0055555555591127</v>
      </c>
      <c r="Q137" s="7">
        <f t="shared" si="42"/>
        <v>5.0069444444452529</v>
      </c>
      <c r="R137" s="7">
        <f t="shared" si="42"/>
        <v>6.0006944444467081</v>
      </c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35"/>
      <c r="AI137" s="7"/>
    </row>
    <row r="138" spans="1:35" x14ac:dyDescent="0.25">
      <c r="A138" s="3" t="s">
        <v>920</v>
      </c>
      <c r="B138" s="2">
        <v>7.6388888888888886E-3</v>
      </c>
      <c r="C138">
        <v>1.69</v>
      </c>
      <c r="F138" t="str">
        <f t="shared" si="19"/>
        <v>2018/12/12 00:11:00</v>
      </c>
      <c r="G138" t="s">
        <v>1240</v>
      </c>
      <c r="J138" s="32" t="s">
        <v>856</v>
      </c>
      <c r="K138" s="7">
        <f t="shared" ref="K138:R138" si="43">L90-$K90</f>
        <v>0.49652777778101154</v>
      </c>
      <c r="L138" s="7">
        <f t="shared" si="43"/>
        <v>0.88472222222480923</v>
      </c>
      <c r="M138" s="7">
        <f t="shared" si="43"/>
        <v>1.0145833333299379</v>
      </c>
      <c r="N138" s="7">
        <f t="shared" si="43"/>
        <v>2.0138888888905058</v>
      </c>
      <c r="O138" s="7">
        <f t="shared" si="43"/>
        <v>3.0104166666642413</v>
      </c>
      <c r="P138" s="7">
        <f t="shared" si="43"/>
        <v>4.0298611111138598</v>
      </c>
      <c r="Q138" s="7">
        <f t="shared" si="43"/>
        <v>5.2375000000029104</v>
      </c>
      <c r="R138" s="7">
        <f t="shared" si="43"/>
        <v>6.0006944444467081</v>
      </c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35"/>
      <c r="AI138" s="7"/>
    </row>
    <row r="139" spans="1:35" x14ac:dyDescent="0.25">
      <c r="A139" s="3" t="s">
        <v>921</v>
      </c>
      <c r="B139" s="2">
        <v>6.2500000000000003E-3</v>
      </c>
      <c r="C139">
        <v>0.71</v>
      </c>
      <c r="F139" t="str">
        <f t="shared" si="19"/>
        <v>2018/12/13 00:09:00</v>
      </c>
      <c r="G139" t="s">
        <v>1241</v>
      </c>
      <c r="J139" s="32" t="s">
        <v>857</v>
      </c>
      <c r="K139" s="7">
        <f t="shared" ref="K139:V139" si="44">L91-$K91</f>
        <v>0.60069444444525288</v>
      </c>
      <c r="L139" s="7">
        <f t="shared" si="44"/>
        <v>0.98124999999708962</v>
      </c>
      <c r="M139" s="7">
        <f t="shared" si="44"/>
        <v>1.0187500000029104</v>
      </c>
      <c r="N139" s="7">
        <f t="shared" si="44"/>
        <v>2.0381944444452529</v>
      </c>
      <c r="O139" s="7">
        <f t="shared" si="44"/>
        <v>3.0173611111094942</v>
      </c>
      <c r="P139" s="7">
        <f t="shared" si="44"/>
        <v>4.0090277777781012</v>
      </c>
      <c r="Q139" s="7">
        <f t="shared" si="44"/>
        <v>5.007638888891961</v>
      </c>
      <c r="R139" s="7">
        <f t="shared" si="44"/>
        <v>6.0215277777751908</v>
      </c>
      <c r="S139" s="7">
        <f t="shared" si="44"/>
        <v>7.2527777777795563</v>
      </c>
      <c r="T139" s="7">
        <f t="shared" si="44"/>
        <v>8.2402777777751908</v>
      </c>
      <c r="U139" s="7">
        <f t="shared" si="44"/>
        <v>9.234722222223354</v>
      </c>
      <c r="V139" s="7">
        <f t="shared" si="44"/>
        <v>10.002777777779556</v>
      </c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35"/>
      <c r="AI139" s="7"/>
    </row>
    <row r="140" spans="1:35" x14ac:dyDescent="0.25">
      <c r="A140" s="3" t="s">
        <v>922</v>
      </c>
      <c r="B140" s="2">
        <v>2.0833333333333333E-3</v>
      </c>
      <c r="C140">
        <v>0.27300000000000002</v>
      </c>
      <c r="F140" t="str">
        <f t="shared" si="19"/>
        <v>2018/12/14 00:03:00</v>
      </c>
      <c r="G140" t="s">
        <v>1242</v>
      </c>
      <c r="J140" s="32" t="s">
        <v>858</v>
      </c>
      <c r="K140" s="7">
        <f t="shared" ref="K140:Q140" si="45">L92-$K92</f>
        <v>0.57986111110949423</v>
      </c>
      <c r="L140" s="7">
        <f t="shared" si="45"/>
        <v>0.75</v>
      </c>
      <c r="M140" s="7">
        <f t="shared" si="45"/>
        <v>1.0145833333299379</v>
      </c>
      <c r="N140" s="7">
        <f t="shared" si="45"/>
        <v>2.0229166666686069</v>
      </c>
      <c r="O140" s="7">
        <f t="shared" si="45"/>
        <v>3.2395833333357587</v>
      </c>
      <c r="P140" s="7">
        <f t="shared" si="45"/>
        <v>4.2375000000029104</v>
      </c>
      <c r="Q140" s="7">
        <f t="shared" si="45"/>
        <v>5.0090277777781012</v>
      </c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35"/>
      <c r="AI140" s="7"/>
    </row>
    <row r="141" spans="1:35" x14ac:dyDescent="0.25">
      <c r="A141" s="3" t="s">
        <v>923</v>
      </c>
      <c r="B141" s="2">
        <v>0.2361111111111111</v>
      </c>
      <c r="C141">
        <v>0.14699999999999999</v>
      </c>
      <c r="F141" t="str">
        <f t="shared" si="19"/>
        <v>2018/12/15 05:40:00</v>
      </c>
      <c r="G141" t="s">
        <v>1243</v>
      </c>
      <c r="J141" s="32" t="s">
        <v>859</v>
      </c>
      <c r="K141" s="7">
        <f t="shared" ref="K141:T141" si="46">L93-$K93</f>
        <v>0.71111111110803904</v>
      </c>
      <c r="L141" s="7">
        <f t="shared" si="46"/>
        <v>0.93888888888614019</v>
      </c>
      <c r="M141" s="7">
        <f t="shared" si="46"/>
        <v>1.0131944444437977</v>
      </c>
      <c r="N141" s="7">
        <f t="shared" si="46"/>
        <v>2.007638888891961</v>
      </c>
      <c r="O141" s="7">
        <f t="shared" si="46"/>
        <v>3.0083333333313931</v>
      </c>
      <c r="P141" s="7">
        <f t="shared" si="46"/>
        <v>4.0034722222189885</v>
      </c>
      <c r="Q141" s="7">
        <f t="shared" si="46"/>
        <v>5.0034722222189885</v>
      </c>
      <c r="R141" s="7">
        <f t="shared" si="46"/>
        <v>6.2312499999970896</v>
      </c>
      <c r="S141" s="7">
        <f t="shared" si="46"/>
        <v>7.0034722222189885</v>
      </c>
      <c r="T141" s="7">
        <f t="shared" si="46"/>
        <v>8.0083333333313931</v>
      </c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35"/>
      <c r="AI141" s="7"/>
    </row>
    <row r="142" spans="1:35" s="12" customFormat="1" x14ac:dyDescent="0.25">
      <c r="A142" s="10" t="s">
        <v>924</v>
      </c>
      <c r="B142" s="9">
        <v>4.1666666666666666E-3</v>
      </c>
      <c r="C142" s="12">
        <v>4.7E-2</v>
      </c>
      <c r="F142" t="str">
        <f t="shared" si="19"/>
        <v>2018/12/17 00:06:00</v>
      </c>
      <c r="G142" s="12" t="s">
        <v>1244</v>
      </c>
      <c r="J142" s="32" t="s">
        <v>860</v>
      </c>
      <c r="K142" s="7">
        <f t="shared" ref="K142:S142" si="47">L94-$K94</f>
        <v>0.83819444444088731</v>
      </c>
      <c r="L142" s="7">
        <f t="shared" si="47"/>
        <v>0.91249999999854481</v>
      </c>
      <c r="M142" s="7">
        <f t="shared" si="47"/>
        <v>1.0118055555576575</v>
      </c>
      <c r="N142" s="7">
        <f t="shared" si="47"/>
        <v>2.0166666666700621</v>
      </c>
      <c r="O142" s="7">
        <f t="shared" si="47"/>
        <v>3.0222222222218988</v>
      </c>
      <c r="P142" s="7">
        <f t="shared" si="47"/>
        <v>4.0194444444423425</v>
      </c>
      <c r="Q142" s="7">
        <f t="shared" si="47"/>
        <v>5.0020833333328483</v>
      </c>
      <c r="R142" s="7">
        <f t="shared" si="47"/>
        <v>6.0006944444467081</v>
      </c>
      <c r="S142" s="7">
        <f t="shared" si="47"/>
        <v>7.0062499999985448</v>
      </c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35"/>
      <c r="AI142" s="7"/>
    </row>
    <row r="143" spans="1:35" x14ac:dyDescent="0.25">
      <c r="A143" s="3" t="s">
        <v>925</v>
      </c>
      <c r="B143" s="2">
        <v>0.4826388888888889</v>
      </c>
      <c r="C143">
        <v>0.65200000000000002</v>
      </c>
      <c r="F143" t="str">
        <f t="shared" si="19"/>
        <v>2019/01/16 11:35:00</v>
      </c>
      <c r="G143" t="s">
        <v>1245</v>
      </c>
      <c r="J143" s="32" t="s">
        <v>861</v>
      </c>
      <c r="K143" s="7">
        <f t="shared" ref="K143:AB143" si="48">L95-$K95</f>
        <v>0.73124999999708962</v>
      </c>
      <c r="L143" s="7">
        <f t="shared" si="48"/>
        <v>0.91736111111094942</v>
      </c>
      <c r="M143" s="7">
        <f t="shared" si="48"/>
        <v>1.0138888888905058</v>
      </c>
      <c r="N143" s="7">
        <f t="shared" si="48"/>
        <v>2.015277777776646</v>
      </c>
      <c r="O143" s="7">
        <f t="shared" si="48"/>
        <v>3.0083333333313931</v>
      </c>
      <c r="P143" s="7">
        <f t="shared" si="48"/>
        <v>4.0187500000029104</v>
      </c>
      <c r="Q143" s="7">
        <f t="shared" si="48"/>
        <v>5.023611111108039</v>
      </c>
      <c r="R143" s="7">
        <f t="shared" si="48"/>
        <v>6.0027777777795563</v>
      </c>
      <c r="S143" s="7">
        <f t="shared" si="48"/>
        <v>7.007638888891961</v>
      </c>
      <c r="T143" s="7">
        <f t="shared" si="48"/>
        <v>8.2354166666700621</v>
      </c>
      <c r="U143" s="7">
        <f t="shared" si="48"/>
        <v>9.0013888888861402</v>
      </c>
      <c r="V143" s="7">
        <f t="shared" si="48"/>
        <v>10.00138888888614</v>
      </c>
      <c r="W143" s="7">
        <f t="shared" si="48"/>
        <v>11.002777777779556</v>
      </c>
      <c r="X143" s="7">
        <f t="shared" si="48"/>
        <v>12.004861111112405</v>
      </c>
      <c r="Y143" s="7">
        <f t="shared" si="48"/>
        <v>13.25</v>
      </c>
      <c r="Z143" s="7">
        <f t="shared" si="48"/>
        <v>14.002083333332848</v>
      </c>
      <c r="AA143" s="7">
        <f t="shared" si="48"/>
        <v>14.652083333334303</v>
      </c>
      <c r="AB143" s="7">
        <f t="shared" si="48"/>
        <v>15.004166666665697</v>
      </c>
      <c r="AC143" s="7"/>
      <c r="AD143" s="7"/>
      <c r="AE143" s="7"/>
      <c r="AF143" s="7"/>
      <c r="AG143" s="7"/>
      <c r="AH143" s="35"/>
      <c r="AI143" s="7"/>
    </row>
    <row r="144" spans="1:35" x14ac:dyDescent="0.25">
      <c r="A144" s="3" t="s">
        <v>925</v>
      </c>
      <c r="B144" s="2">
        <v>0.68402777777777779</v>
      </c>
      <c r="C144">
        <v>1.42</v>
      </c>
      <c r="F144" t="str">
        <f t="shared" si="19"/>
        <v>2019/01/16 16:25:00</v>
      </c>
      <c r="G144" t="s">
        <v>1246</v>
      </c>
    </row>
    <row r="145" spans="1:35" x14ac:dyDescent="0.25">
      <c r="A145" s="3" t="s">
        <v>926</v>
      </c>
      <c r="B145" s="2">
        <v>1.6666666666666666E-2</v>
      </c>
      <c r="C145">
        <v>0.58799999999999997</v>
      </c>
      <c r="F145" t="str">
        <f t="shared" si="19"/>
        <v>2019/01/17 00:24:00</v>
      </c>
      <c r="G145" t="s">
        <v>1247</v>
      </c>
    </row>
    <row r="146" spans="1:35" x14ac:dyDescent="0.25">
      <c r="A146" s="3" t="s">
        <v>927</v>
      </c>
      <c r="B146" s="2">
        <v>9.7222222222222224E-3</v>
      </c>
      <c r="C146">
        <v>0.56299999999999994</v>
      </c>
      <c r="F146" t="str">
        <f t="shared" si="19"/>
        <v>2019/01/18 00:14:00</v>
      </c>
      <c r="G146" t="s">
        <v>1248</v>
      </c>
      <c r="J146" s="32" t="s">
        <v>816</v>
      </c>
      <c r="K146" s="1">
        <f>K98*24</f>
        <v>18.833333333255723</v>
      </c>
      <c r="L146" s="1">
        <f t="shared" ref="L146:P146" si="49">L98*24</f>
        <v>23.283333333267365</v>
      </c>
      <c r="M146" s="1">
        <f t="shared" si="49"/>
        <v>24.683333333290648</v>
      </c>
      <c r="N146" s="1">
        <f t="shared" si="49"/>
        <v>48.533333333325572</v>
      </c>
      <c r="O146" s="1">
        <f t="shared" si="49"/>
        <v>96.46666666661622</v>
      </c>
      <c r="P146" s="1">
        <f t="shared" si="49"/>
        <v>120.03333333326736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36"/>
    </row>
    <row r="147" spans="1:35" x14ac:dyDescent="0.25">
      <c r="A147" s="3" t="s">
        <v>928</v>
      </c>
      <c r="B147" s="2">
        <v>2.7777777777777779E-3</v>
      </c>
      <c r="C147">
        <v>0.61399999999999999</v>
      </c>
      <c r="F147" t="str">
        <f t="shared" si="19"/>
        <v>2019/01/19 00:04:00</v>
      </c>
      <c r="G147" t="s">
        <v>1249</v>
      </c>
      <c r="J147" s="32" t="s">
        <v>817</v>
      </c>
      <c r="K147" s="1">
        <f t="shared" ref="K147:Q147" si="50">K99*24</f>
        <v>20.516666666662786</v>
      </c>
      <c r="L147" s="1">
        <f t="shared" si="50"/>
        <v>23.933333333290648</v>
      </c>
      <c r="M147" s="1">
        <f t="shared" si="50"/>
        <v>24.266666666662786</v>
      </c>
      <c r="N147" s="1">
        <f t="shared" si="50"/>
        <v>48.199999999953434</v>
      </c>
      <c r="O147" s="1">
        <f t="shared" si="50"/>
        <v>72.149999999965075</v>
      </c>
      <c r="P147" s="1">
        <f t="shared" si="50"/>
        <v>96.016666666720994</v>
      </c>
      <c r="Q147" s="1">
        <f t="shared" si="50"/>
        <v>120.04999999998836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36"/>
    </row>
    <row r="148" spans="1:35" s="12" customFormat="1" x14ac:dyDescent="0.25">
      <c r="A148" s="10" t="s">
        <v>929</v>
      </c>
      <c r="B148" s="9">
        <v>6.9444444444444447E-4</v>
      </c>
      <c r="C148" s="12">
        <v>0.36499999999999999</v>
      </c>
      <c r="F148" t="str">
        <f t="shared" si="19"/>
        <v>2019/01/20 00:01:00</v>
      </c>
      <c r="G148" s="12" t="s">
        <v>1250</v>
      </c>
      <c r="J148" s="32" t="s">
        <v>818</v>
      </c>
      <c r="K148" s="1">
        <f t="shared" ref="K148:P148" si="51">K100*24</f>
        <v>7.7333333333954215</v>
      </c>
      <c r="L148" s="1">
        <f t="shared" si="51"/>
        <v>18.066666666709352</v>
      </c>
      <c r="M148" s="1">
        <f t="shared" si="51"/>
        <v>24.566666666592937</v>
      </c>
      <c r="N148" s="1">
        <f t="shared" si="51"/>
        <v>53.616666666639503</v>
      </c>
      <c r="O148" s="1">
        <f t="shared" si="51"/>
        <v>72.049999999988358</v>
      </c>
      <c r="P148" s="1">
        <f t="shared" si="51"/>
        <v>96.183333333407063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36"/>
      <c r="AI148"/>
    </row>
    <row r="149" spans="1:35" x14ac:dyDescent="0.25">
      <c r="A149" s="3" t="s">
        <v>930</v>
      </c>
      <c r="B149" s="2">
        <v>0.57430555555555551</v>
      </c>
      <c r="C149">
        <v>0.64400000000000002</v>
      </c>
      <c r="F149" t="str">
        <f t="shared" si="19"/>
        <v>2018/02/28 13:47:00</v>
      </c>
      <c r="G149" t="s">
        <v>1251</v>
      </c>
      <c r="J149" s="32" t="s">
        <v>819</v>
      </c>
      <c r="K149" s="1">
        <f t="shared" ref="K149:U149" si="52">K101*24</f>
        <v>10.549999999988358</v>
      </c>
      <c r="L149" s="1">
        <f t="shared" si="52"/>
        <v>15.650000000023283</v>
      </c>
      <c r="M149" s="1">
        <f t="shared" si="52"/>
        <v>23.616666666639503</v>
      </c>
      <c r="N149" s="1">
        <f t="shared" si="52"/>
        <v>24.383333333360497</v>
      </c>
      <c r="O149" s="1">
        <f t="shared" si="52"/>
        <v>48.266666666662786</v>
      </c>
      <c r="P149" s="1">
        <f t="shared" si="52"/>
        <v>72.216666666674428</v>
      </c>
      <c r="Q149" s="1">
        <f t="shared" si="52"/>
        <v>96.083333333255723</v>
      </c>
      <c r="R149" s="1">
        <f t="shared" si="52"/>
        <v>120.81666666670935</v>
      </c>
      <c r="S149" s="1">
        <f t="shared" si="52"/>
        <v>144.04999999998836</v>
      </c>
      <c r="T149" s="1">
        <f t="shared" si="52"/>
        <v>168.65000000002328</v>
      </c>
      <c r="U149" s="1">
        <f t="shared" si="52"/>
        <v>197.70000000006985</v>
      </c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36"/>
    </row>
    <row r="150" spans="1:35" x14ac:dyDescent="0.25">
      <c r="A150" s="3" t="s">
        <v>930</v>
      </c>
      <c r="B150" s="2">
        <v>0.78749999999999998</v>
      </c>
      <c r="C150">
        <v>2.5499999999999998</v>
      </c>
      <c r="F150" t="str">
        <f t="shared" si="19"/>
        <v>2018/02/28 18:54:00</v>
      </c>
      <c r="G150" t="s">
        <v>1252</v>
      </c>
      <c r="J150" s="32" t="s">
        <v>820</v>
      </c>
      <c r="K150" s="1">
        <f t="shared" ref="K150:Q150" si="53">K102*24</f>
        <v>7.8499999999185093</v>
      </c>
      <c r="L150" s="1">
        <f t="shared" si="53"/>
        <v>16.583333333255723</v>
      </c>
      <c r="M150" s="1">
        <f t="shared" si="53"/>
        <v>24.383333333360497</v>
      </c>
      <c r="N150" s="1">
        <f t="shared" si="53"/>
        <v>48.183333333407063</v>
      </c>
      <c r="O150" s="1">
        <f t="shared" si="53"/>
        <v>72.149999999965075</v>
      </c>
      <c r="P150" s="1">
        <f t="shared" si="53"/>
        <v>96.899999999965075</v>
      </c>
      <c r="Q150" s="1">
        <f t="shared" si="53"/>
        <v>120.04999999998836</v>
      </c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36"/>
    </row>
    <row r="151" spans="1:35" x14ac:dyDescent="0.25">
      <c r="A151" s="3" t="s">
        <v>931</v>
      </c>
      <c r="B151" s="2">
        <v>1.5277777777777777E-2</v>
      </c>
      <c r="C151">
        <v>2.16</v>
      </c>
      <c r="F151" t="str">
        <f t="shared" si="19"/>
        <v>2018/03/01 00:22:00</v>
      </c>
      <c r="G151" t="s">
        <v>1253</v>
      </c>
      <c r="J151" s="32" t="s">
        <v>821</v>
      </c>
      <c r="K151" s="1">
        <f t="shared" ref="K151:U151" si="54">K103*24</f>
        <v>2.71666666661622</v>
      </c>
      <c r="L151" s="1">
        <f t="shared" si="54"/>
        <v>8.8666666665812954</v>
      </c>
      <c r="M151" s="1">
        <f t="shared" si="54"/>
        <v>15.683333333290648</v>
      </c>
      <c r="N151" s="1">
        <f t="shared" si="54"/>
        <v>24.083333333255723</v>
      </c>
      <c r="O151" s="1">
        <f t="shared" si="54"/>
        <v>48.116666666697711</v>
      </c>
      <c r="P151" s="1">
        <f t="shared" si="54"/>
        <v>72.349999999918509</v>
      </c>
      <c r="Q151" s="1">
        <f t="shared" si="54"/>
        <v>96.450000000069849</v>
      </c>
      <c r="R151" s="1">
        <f t="shared" si="54"/>
        <v>120.06666666670935</v>
      </c>
      <c r="S151" s="1">
        <f t="shared" si="54"/>
        <v>144.43333333334886</v>
      </c>
      <c r="T151" s="1">
        <f t="shared" si="54"/>
        <v>174.11666666669771</v>
      </c>
      <c r="U151" s="1">
        <f t="shared" si="54"/>
        <v>198.19999999995343</v>
      </c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36"/>
    </row>
    <row r="152" spans="1:35" x14ac:dyDescent="0.25">
      <c r="A152" s="3" t="s">
        <v>106</v>
      </c>
      <c r="B152" s="2">
        <v>1.8055555555555554E-2</v>
      </c>
      <c r="C152">
        <v>1.38</v>
      </c>
      <c r="F152" t="str">
        <f t="shared" si="19"/>
        <v>2018/03/02 00:26:00</v>
      </c>
      <c r="G152" t="s">
        <v>1254</v>
      </c>
      <c r="J152" s="32" t="s">
        <v>822</v>
      </c>
      <c r="K152" s="1">
        <f t="shared" ref="K152:V152" si="55">K104*24</f>
        <v>7.21666666661622</v>
      </c>
      <c r="L152" s="1">
        <f t="shared" si="55"/>
        <v>12.500000000058208</v>
      </c>
      <c r="M152" s="1">
        <f t="shared" si="55"/>
        <v>17.800000000046566</v>
      </c>
      <c r="N152" s="1">
        <f t="shared" si="55"/>
        <v>24.116666666697711</v>
      </c>
      <c r="O152" s="1">
        <f t="shared" si="55"/>
        <v>48.583333333313931</v>
      </c>
      <c r="P152" s="1">
        <f t="shared" si="55"/>
        <v>72.083333333255723</v>
      </c>
      <c r="Q152" s="1">
        <f t="shared" si="55"/>
        <v>96.166666666686069</v>
      </c>
      <c r="R152" s="1">
        <f t="shared" si="55"/>
        <v>125.96666666673264</v>
      </c>
      <c r="S152" s="1">
        <f t="shared" si="55"/>
        <v>144.06666666670935</v>
      </c>
      <c r="T152" s="1">
        <f t="shared" si="55"/>
        <v>161.54999999993015</v>
      </c>
      <c r="U152" s="1">
        <f t="shared" si="55"/>
        <v>168.04999999998836</v>
      </c>
      <c r="V152" s="1">
        <f t="shared" si="55"/>
        <v>192.08333333325572</v>
      </c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36"/>
    </row>
    <row r="153" spans="1:35" x14ac:dyDescent="0.25">
      <c r="A153" s="3" t="s">
        <v>259</v>
      </c>
      <c r="B153" s="2">
        <v>2.2916666666666665E-2</v>
      </c>
      <c r="C153">
        <v>1.54</v>
      </c>
      <c r="F153" t="str">
        <f t="shared" si="19"/>
        <v>2018/03/03 00:33:00</v>
      </c>
      <c r="G153" t="s">
        <v>524</v>
      </c>
      <c r="J153" s="32" t="s">
        <v>823</v>
      </c>
      <c r="K153" s="1">
        <f t="shared" ref="K153:R153" si="56">K105*24</f>
        <v>2.2666666667209938</v>
      </c>
      <c r="L153" s="1">
        <f t="shared" si="56"/>
        <v>2.4999999999417923</v>
      </c>
      <c r="M153" s="1">
        <f t="shared" si="56"/>
        <v>8.5999999999185093</v>
      </c>
      <c r="N153" s="1">
        <f t="shared" si="56"/>
        <v>16.200000000069849</v>
      </c>
      <c r="O153" s="1">
        <f t="shared" si="56"/>
        <v>24.566666666592937</v>
      </c>
      <c r="P153" s="1">
        <f t="shared" si="56"/>
        <v>48.333333333372138</v>
      </c>
      <c r="Q153" s="1">
        <f t="shared" si="56"/>
        <v>72.316666666651145</v>
      </c>
      <c r="R153" s="1">
        <f t="shared" si="56"/>
        <v>96.049999999988358</v>
      </c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36"/>
    </row>
    <row r="154" spans="1:35" x14ac:dyDescent="0.25">
      <c r="A154" s="3" t="s">
        <v>260</v>
      </c>
      <c r="B154" s="2">
        <v>1.0416666666666666E-2</v>
      </c>
      <c r="C154">
        <v>1.1100000000000001</v>
      </c>
      <c r="F154" t="str">
        <f t="shared" si="19"/>
        <v>2018/03/04 00:15:00</v>
      </c>
      <c r="G154" t="s">
        <v>525</v>
      </c>
      <c r="J154" s="32" t="s">
        <v>824</v>
      </c>
      <c r="K154" s="1">
        <f t="shared" ref="K154:Y154" si="57">K106*24</f>
        <v>2.9333333332906477</v>
      </c>
      <c r="L154" s="1">
        <f t="shared" si="57"/>
        <v>3.2333333333954215</v>
      </c>
      <c r="M154" s="1">
        <f t="shared" si="57"/>
        <v>16.883333333360497</v>
      </c>
      <c r="N154" s="1">
        <f t="shared" si="57"/>
        <v>24.333333333372138</v>
      </c>
      <c r="O154" s="1">
        <f t="shared" si="57"/>
        <v>48.016666666720994</v>
      </c>
      <c r="P154" s="1">
        <f t="shared" si="57"/>
        <v>72.166666666686069</v>
      </c>
      <c r="Q154" s="1">
        <f t="shared" si="57"/>
        <v>88.616666666697711</v>
      </c>
      <c r="R154" s="1">
        <f t="shared" si="57"/>
        <v>96.083333333255723</v>
      </c>
      <c r="S154" s="1">
        <f t="shared" si="57"/>
        <v>120.06666666670935</v>
      </c>
      <c r="T154" s="1">
        <f t="shared" si="57"/>
        <v>144.26666666666279</v>
      </c>
      <c r="U154" s="1">
        <f t="shared" si="57"/>
        <v>173.81666666659294</v>
      </c>
      <c r="V154" s="1">
        <f t="shared" si="57"/>
        <v>192.48333333333721</v>
      </c>
      <c r="W154" s="1">
        <f t="shared" si="57"/>
        <v>216.06666666670935</v>
      </c>
      <c r="X154" s="1">
        <f t="shared" si="57"/>
        <v>245.76666666660458</v>
      </c>
      <c r="Y154" s="1">
        <f t="shared" si="57"/>
        <v>269.85000000003492</v>
      </c>
      <c r="Z154" s="1"/>
      <c r="AA154" s="1"/>
      <c r="AB154" s="1"/>
      <c r="AC154" s="1"/>
      <c r="AD154" s="1"/>
      <c r="AE154" s="1"/>
      <c r="AF154" s="1"/>
      <c r="AG154" s="1"/>
      <c r="AH154" s="36"/>
    </row>
    <row r="155" spans="1:35" x14ac:dyDescent="0.25">
      <c r="A155" s="3" t="s">
        <v>261</v>
      </c>
      <c r="B155" s="2">
        <v>1.5277777777777777E-2</v>
      </c>
      <c r="C155">
        <v>0.52700000000000002</v>
      </c>
      <c r="F155" t="str">
        <f t="shared" si="19"/>
        <v>2018/03/05 00:22:00</v>
      </c>
      <c r="G155" t="s">
        <v>1255</v>
      </c>
      <c r="J155" s="32" t="s">
        <v>825</v>
      </c>
      <c r="K155" s="1">
        <f t="shared" ref="K155:T155" si="58">K107*24</f>
        <v>11.083333333313931</v>
      </c>
      <c r="L155" s="1">
        <f t="shared" si="58"/>
        <v>16.900000000081491</v>
      </c>
      <c r="M155" s="1">
        <f t="shared" si="58"/>
        <v>24.516666666604578</v>
      </c>
      <c r="N155" s="1">
        <f t="shared" si="58"/>
        <v>48.149999999965075</v>
      </c>
      <c r="O155" s="1">
        <f t="shared" si="58"/>
        <v>72.099999999976717</v>
      </c>
      <c r="P155" s="1">
        <f t="shared" si="58"/>
        <v>96.183333333407063</v>
      </c>
      <c r="Q155" s="1">
        <f t="shared" si="58"/>
        <v>120.14999999996508</v>
      </c>
      <c r="R155" s="1">
        <f t="shared" si="58"/>
        <v>144.04999999998836</v>
      </c>
      <c r="S155" s="1">
        <f t="shared" si="58"/>
        <v>173.66666666662786</v>
      </c>
      <c r="T155" s="1">
        <f t="shared" si="58"/>
        <v>216.09999999997672</v>
      </c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36"/>
    </row>
    <row r="156" spans="1:35" x14ac:dyDescent="0.25">
      <c r="A156" s="3" t="s">
        <v>932</v>
      </c>
      <c r="B156" s="2">
        <v>1.3888888888888889E-3</v>
      </c>
      <c r="C156">
        <v>0.74</v>
      </c>
      <c r="F156" t="str">
        <f t="shared" si="19"/>
        <v>2018/03/06 00:02:00</v>
      </c>
      <c r="G156" t="s">
        <v>1256</v>
      </c>
      <c r="J156" s="32" t="s">
        <v>826</v>
      </c>
      <c r="K156" s="1">
        <f t="shared" ref="K156:P156" si="59">K108*24</f>
        <v>11.583333333372138</v>
      </c>
      <c r="L156" s="1">
        <f t="shared" si="59"/>
        <v>16.416666666744277</v>
      </c>
      <c r="M156" s="1">
        <f t="shared" si="59"/>
        <v>24.400000000081491</v>
      </c>
      <c r="N156" s="1">
        <f t="shared" si="59"/>
        <v>48.233333333395422</v>
      </c>
      <c r="O156" s="1">
        <f t="shared" si="59"/>
        <v>72.066666666709352</v>
      </c>
      <c r="P156" s="1">
        <f t="shared" si="59"/>
        <v>96.016666666720994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36"/>
    </row>
    <row r="157" spans="1:35" s="12" customFormat="1" x14ac:dyDescent="0.25">
      <c r="A157" s="10" t="s">
        <v>933</v>
      </c>
      <c r="B157" s="9">
        <v>2.0833333333333333E-3</v>
      </c>
      <c r="C157" s="12">
        <v>0.443</v>
      </c>
      <c r="F157" t="str">
        <f t="shared" si="19"/>
        <v>2018/03/07 00:03:00</v>
      </c>
      <c r="G157" s="12" t="s">
        <v>1257</v>
      </c>
      <c r="J157" s="32" t="s">
        <v>827</v>
      </c>
      <c r="K157" s="1">
        <f t="shared" ref="K157:S157" si="60">K109*24</f>
        <v>13.78333333338378</v>
      </c>
      <c r="L157" s="1">
        <f t="shared" si="60"/>
        <v>18.899999999965075</v>
      </c>
      <c r="M157" s="1">
        <f t="shared" si="60"/>
        <v>24.366666666639503</v>
      </c>
      <c r="N157" s="1">
        <f t="shared" si="60"/>
        <v>48.433333333348855</v>
      </c>
      <c r="O157" s="1">
        <f t="shared" si="60"/>
        <v>72.550000000046566</v>
      </c>
      <c r="P157" s="1">
        <f t="shared" si="60"/>
        <v>96.249999999941792</v>
      </c>
      <c r="Q157" s="1">
        <f t="shared" si="60"/>
        <v>120.3666666666395</v>
      </c>
      <c r="R157" s="1">
        <f t="shared" si="60"/>
        <v>144.03333333326736</v>
      </c>
      <c r="S157" s="1">
        <f t="shared" si="60"/>
        <v>168.04999999998836</v>
      </c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36"/>
      <c r="AI157"/>
    </row>
    <row r="158" spans="1:35" x14ac:dyDescent="0.25">
      <c r="A158" s="3" t="s">
        <v>934</v>
      </c>
      <c r="B158" s="2">
        <v>0.46805555555555556</v>
      </c>
      <c r="C158">
        <v>0.14099999999999999</v>
      </c>
      <c r="F158" t="str">
        <f t="shared" si="19"/>
        <v>2018/05/05 11:14:00</v>
      </c>
      <c r="G158" t="s">
        <v>1258</v>
      </c>
      <c r="J158" s="32" t="s">
        <v>828</v>
      </c>
      <c r="K158" s="1">
        <f t="shared" ref="K158:Q158" si="61">K110*24</f>
        <v>11.233333333279006</v>
      </c>
      <c r="L158" s="1">
        <f t="shared" si="61"/>
        <v>17.616666666639503</v>
      </c>
      <c r="M158" s="1">
        <f t="shared" si="61"/>
        <v>24.116666666697711</v>
      </c>
      <c r="N158" s="1">
        <f t="shared" si="61"/>
        <v>39.616666666581295</v>
      </c>
      <c r="O158" s="1">
        <f t="shared" si="61"/>
        <v>48.049999999988358</v>
      </c>
      <c r="P158" s="1">
        <f t="shared" si="61"/>
        <v>72.233333333395422</v>
      </c>
      <c r="Q158" s="1">
        <f t="shared" si="61"/>
        <v>101.76666666660458</v>
      </c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36"/>
    </row>
    <row r="159" spans="1:35" x14ac:dyDescent="0.25">
      <c r="A159" s="3" t="s">
        <v>934</v>
      </c>
      <c r="B159" s="2">
        <v>0.73402777777777772</v>
      </c>
      <c r="C159">
        <v>0.30399999999999999</v>
      </c>
      <c r="F159" t="str">
        <f t="shared" si="19"/>
        <v>2018/05/05 17:37:00</v>
      </c>
      <c r="G159" t="s">
        <v>1259</v>
      </c>
      <c r="J159" s="32" t="s">
        <v>829</v>
      </c>
      <c r="K159" s="1">
        <f t="shared" ref="K159:R159" si="62">K111*24</f>
        <v>11.433333333407063</v>
      </c>
      <c r="L159" s="1">
        <f t="shared" si="62"/>
        <v>16.96666666661622</v>
      </c>
      <c r="M159" s="1">
        <f t="shared" si="62"/>
        <v>24.266666666662786</v>
      </c>
      <c r="N159" s="1">
        <f t="shared" si="62"/>
        <v>48.199999999953434</v>
      </c>
      <c r="O159" s="1">
        <f t="shared" si="62"/>
        <v>72.566666666592937</v>
      </c>
      <c r="P159" s="1">
        <f t="shared" si="62"/>
        <v>96.166666666686069</v>
      </c>
      <c r="Q159" s="1">
        <f t="shared" si="62"/>
        <v>125.48333333339542</v>
      </c>
      <c r="R159" s="1">
        <f t="shared" si="62"/>
        <v>144.18333333340706</v>
      </c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36"/>
    </row>
    <row r="160" spans="1:35" x14ac:dyDescent="0.25">
      <c r="A160" s="3" t="s">
        <v>935</v>
      </c>
      <c r="B160" s="2">
        <v>4.8611111111111112E-3</v>
      </c>
      <c r="C160">
        <v>0.23699999999999999</v>
      </c>
      <c r="F160" t="str">
        <f t="shared" si="19"/>
        <v>2018/05/06 00:07:00</v>
      </c>
      <c r="G160" t="s">
        <v>1260</v>
      </c>
      <c r="J160" s="32" t="s">
        <v>830</v>
      </c>
      <c r="K160" s="1">
        <f t="shared" ref="K160:R160" si="63">K112*24</f>
        <v>15.066666666709352</v>
      </c>
      <c r="L160" s="1">
        <f t="shared" si="63"/>
        <v>18.75</v>
      </c>
      <c r="M160" s="1">
        <f t="shared" si="63"/>
        <v>24</v>
      </c>
      <c r="N160" s="1">
        <f t="shared" si="63"/>
        <v>48.133333333418705</v>
      </c>
      <c r="O160" s="1">
        <f t="shared" si="63"/>
        <v>72.949999999953434</v>
      </c>
      <c r="P160" s="1">
        <f t="shared" si="63"/>
        <v>87.299999999930151</v>
      </c>
      <c r="Q160" s="1">
        <f t="shared" si="63"/>
        <v>101.75000000005821</v>
      </c>
      <c r="R160" s="1">
        <f t="shared" si="63"/>
        <v>125.83333333331393</v>
      </c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36"/>
    </row>
    <row r="161" spans="1:35" x14ac:dyDescent="0.25">
      <c r="A161" s="3" t="s">
        <v>935</v>
      </c>
      <c r="B161" s="2">
        <v>0.65069444444444446</v>
      </c>
      <c r="C161">
        <v>0.19700000000000001</v>
      </c>
      <c r="F161" t="str">
        <f t="shared" si="19"/>
        <v>2018/05/06 15:37:00</v>
      </c>
      <c r="G161" t="s">
        <v>1261</v>
      </c>
      <c r="J161" s="32" t="s">
        <v>831</v>
      </c>
      <c r="K161" s="1">
        <f t="shared" ref="K161:P161" si="64">K113*24</f>
        <v>18.583333333313931</v>
      </c>
      <c r="L161" s="1">
        <f t="shared" si="64"/>
        <v>23.349999999976717</v>
      </c>
      <c r="M161" s="1">
        <f t="shared" si="64"/>
        <v>24.099999999976717</v>
      </c>
      <c r="N161" s="1">
        <f t="shared" si="64"/>
        <v>48.349999999918509</v>
      </c>
      <c r="O161" s="1">
        <f t="shared" si="64"/>
        <v>72.183333333407063</v>
      </c>
      <c r="P161" s="1">
        <f t="shared" si="64"/>
        <v>101.83333333331393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36"/>
    </row>
    <row r="162" spans="1:35" x14ac:dyDescent="0.25">
      <c r="A162" s="3" t="s">
        <v>108</v>
      </c>
      <c r="B162" s="2">
        <v>2.0833333333333333E-3</v>
      </c>
      <c r="C162">
        <v>0.16800000000000001</v>
      </c>
      <c r="F162" t="str">
        <f t="shared" si="19"/>
        <v>2018/05/07 00:03:00</v>
      </c>
      <c r="G162" t="s">
        <v>1262</v>
      </c>
      <c r="J162" s="32" t="s">
        <v>832</v>
      </c>
      <c r="K162" s="1">
        <f t="shared" ref="K162:R162" si="65">K114*24</f>
        <v>19.849999999918509</v>
      </c>
      <c r="L162" s="1">
        <f t="shared" si="65"/>
        <v>24.033333333267365</v>
      </c>
      <c r="M162" s="1">
        <f t="shared" si="65"/>
        <v>24.333333333372138</v>
      </c>
      <c r="N162" s="1">
        <f t="shared" si="65"/>
        <v>39.933333333407063</v>
      </c>
      <c r="O162" s="1">
        <f t="shared" si="65"/>
        <v>54.316666666651145</v>
      </c>
      <c r="P162" s="1">
        <f t="shared" si="65"/>
        <v>72.149999999965075</v>
      </c>
      <c r="Q162" s="1">
        <f t="shared" si="65"/>
        <v>96.216666666674428</v>
      </c>
      <c r="R162" s="1">
        <f t="shared" si="65"/>
        <v>120.11666666669771</v>
      </c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36"/>
    </row>
    <row r="163" spans="1:35" x14ac:dyDescent="0.25">
      <c r="A163" s="3" t="s">
        <v>130</v>
      </c>
      <c r="B163" s="2">
        <v>9.7222222222222224E-3</v>
      </c>
      <c r="C163">
        <v>0.16200000000000001</v>
      </c>
      <c r="F163" t="str">
        <f t="shared" si="19"/>
        <v>2018/05/08 00:14:00</v>
      </c>
      <c r="G163" t="s">
        <v>1263</v>
      </c>
      <c r="J163" s="32" t="s">
        <v>833</v>
      </c>
      <c r="K163" s="1">
        <f t="shared" ref="K163:U163" si="66">K115*24</f>
        <v>17.349999999976717</v>
      </c>
      <c r="L163" s="1">
        <f t="shared" si="66"/>
        <v>23.399999999965075</v>
      </c>
      <c r="M163" s="1">
        <f t="shared" si="66"/>
        <v>24.46666666661622</v>
      </c>
      <c r="N163" s="1">
        <f t="shared" si="66"/>
        <v>40.866666666639503</v>
      </c>
      <c r="O163" s="1">
        <f t="shared" si="66"/>
        <v>48.566666666592937</v>
      </c>
      <c r="P163" s="1">
        <f t="shared" si="66"/>
        <v>72.049999999988358</v>
      </c>
      <c r="Q163" s="1">
        <f t="shared" si="66"/>
        <v>96.28333333338378</v>
      </c>
      <c r="R163" s="1">
        <f t="shared" si="66"/>
        <v>120.23333333339542</v>
      </c>
      <c r="S163" s="1">
        <f t="shared" si="66"/>
        <v>144.01666666672099</v>
      </c>
      <c r="T163" s="1">
        <f t="shared" si="66"/>
        <v>168.01666666672099</v>
      </c>
      <c r="U163" s="1">
        <f t="shared" si="66"/>
        <v>192.09999999997672</v>
      </c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36"/>
    </row>
    <row r="164" spans="1:35" s="12" customFormat="1" x14ac:dyDescent="0.25">
      <c r="A164" s="10" t="s">
        <v>265</v>
      </c>
      <c r="B164" s="9">
        <v>0.24027777777777778</v>
      </c>
      <c r="C164" s="12">
        <v>0.157</v>
      </c>
      <c r="F164" t="str">
        <f t="shared" si="19"/>
        <v>2018/05/09 05:46:00</v>
      </c>
      <c r="G164" s="12" t="s">
        <v>1264</v>
      </c>
      <c r="J164" s="32" t="s">
        <v>834</v>
      </c>
      <c r="K164" s="1">
        <f t="shared" ref="K164:R164" si="67">K116*24</f>
        <v>18.049999999988358</v>
      </c>
      <c r="L164" s="1">
        <f t="shared" si="67"/>
        <v>23.133333333302289</v>
      </c>
      <c r="M164" s="1">
        <f t="shared" si="67"/>
        <v>24.183333333407063</v>
      </c>
      <c r="N164" s="1">
        <f t="shared" si="67"/>
        <v>48.600000000034925</v>
      </c>
      <c r="O164" s="1">
        <f t="shared" si="67"/>
        <v>72.933333333407063</v>
      </c>
      <c r="P164" s="1">
        <f t="shared" si="67"/>
        <v>96.28333333338378</v>
      </c>
      <c r="Q164" s="1">
        <f t="shared" si="67"/>
        <v>120.04999999998836</v>
      </c>
      <c r="R164" s="1">
        <f t="shared" si="67"/>
        <v>149.75000000005821</v>
      </c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36"/>
      <c r="AI164"/>
    </row>
    <row r="165" spans="1:35" x14ac:dyDescent="0.25">
      <c r="A165" s="3" t="s">
        <v>936</v>
      </c>
      <c r="B165" s="2">
        <v>0.47638888888888886</v>
      </c>
      <c r="C165">
        <v>6.07</v>
      </c>
      <c r="F165" t="str">
        <f t="shared" si="19"/>
        <v>2018/05/19 11:26:00</v>
      </c>
      <c r="G165" t="s">
        <v>1265</v>
      </c>
      <c r="J165" s="32" t="s">
        <v>835</v>
      </c>
      <c r="K165" s="1">
        <f t="shared" ref="K165:W165" si="68">K117*24</f>
        <v>20.349999999976717</v>
      </c>
      <c r="L165" s="1">
        <f t="shared" si="68"/>
        <v>21.533333333325572</v>
      </c>
      <c r="M165" s="1">
        <f t="shared" si="68"/>
        <v>24.28333333338378</v>
      </c>
      <c r="N165" s="1">
        <f t="shared" si="68"/>
        <v>48.516666666604578</v>
      </c>
      <c r="O165" s="1">
        <f t="shared" si="68"/>
        <v>72.133333333418705</v>
      </c>
      <c r="P165" s="1">
        <f t="shared" si="68"/>
        <v>96.666666666744277</v>
      </c>
      <c r="Q165" s="1">
        <f t="shared" si="68"/>
        <v>114.86666666669771</v>
      </c>
      <c r="R165" s="1">
        <f t="shared" si="68"/>
        <v>120.28333333338378</v>
      </c>
      <c r="S165" s="1">
        <f t="shared" si="68"/>
        <v>144.41666666662786</v>
      </c>
      <c r="T165" s="1">
        <f t="shared" si="68"/>
        <v>168.29999999993015</v>
      </c>
      <c r="U165" s="1">
        <f t="shared" si="68"/>
        <v>192.51666666660458</v>
      </c>
      <c r="V165" s="1">
        <f t="shared" si="68"/>
        <v>922.06666666665114</v>
      </c>
      <c r="W165" s="1">
        <f t="shared" si="68"/>
        <v>925.1333333333605</v>
      </c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36"/>
    </row>
    <row r="166" spans="1:35" x14ac:dyDescent="0.25">
      <c r="A166" s="3" t="s">
        <v>936</v>
      </c>
      <c r="B166" s="2">
        <v>0.70694444444444449</v>
      </c>
      <c r="C166">
        <v>13.87</v>
      </c>
      <c r="F166" t="str">
        <f t="shared" si="19"/>
        <v>2018/05/19 16:58:00</v>
      </c>
      <c r="G166" t="s">
        <v>1266</v>
      </c>
      <c r="J166" s="32" t="s">
        <v>836</v>
      </c>
      <c r="K166" s="1">
        <f t="shared" ref="K166:U166" si="69">K118*24</f>
        <v>21.400000000081491</v>
      </c>
      <c r="L166" s="1">
        <f t="shared" si="69"/>
        <v>24.999999999941792</v>
      </c>
      <c r="M166" s="1">
        <f t="shared" si="69"/>
        <v>41.683333333348855</v>
      </c>
      <c r="N166" s="1">
        <f t="shared" si="69"/>
        <v>54.166666666686069</v>
      </c>
      <c r="O166" s="1">
        <f t="shared" si="69"/>
        <v>72.049999999988358</v>
      </c>
      <c r="P166" s="1">
        <f t="shared" si="69"/>
        <v>101.96666666673264</v>
      </c>
      <c r="Q166" s="1">
        <f t="shared" si="69"/>
        <v>125.81666666659294</v>
      </c>
      <c r="R166" s="1">
        <f t="shared" si="69"/>
        <v>168.06666666670935</v>
      </c>
      <c r="S166" s="1">
        <f t="shared" si="69"/>
        <v>192.04999999998836</v>
      </c>
      <c r="T166" s="1">
        <f t="shared" si="69"/>
        <v>210.89999999996508</v>
      </c>
      <c r="U166" s="1">
        <f t="shared" si="69"/>
        <v>226.6333333334187</v>
      </c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36"/>
    </row>
    <row r="167" spans="1:35" x14ac:dyDescent="0.25">
      <c r="A167" s="3" t="s">
        <v>937</v>
      </c>
      <c r="B167" s="2">
        <v>1.1111111111111112E-2</v>
      </c>
      <c r="C167">
        <v>6.21</v>
      </c>
      <c r="F167" t="str">
        <f t="shared" si="19"/>
        <v>2018/05/20 00:16:00</v>
      </c>
      <c r="G167" t="s">
        <v>1267</v>
      </c>
      <c r="J167" s="32" t="s">
        <v>837</v>
      </c>
      <c r="K167" s="1">
        <f t="shared" ref="K167:U167" si="70">K119*24</f>
        <v>2.5166666666627862</v>
      </c>
      <c r="L167" s="1">
        <f t="shared" si="70"/>
        <v>2.53333333338378</v>
      </c>
      <c r="M167" s="1">
        <f t="shared" si="70"/>
        <v>16.233333333337214</v>
      </c>
      <c r="N167" s="1">
        <f t="shared" si="70"/>
        <v>24.199999999953434</v>
      </c>
      <c r="O167" s="1">
        <f t="shared" si="70"/>
        <v>48.333333333372138</v>
      </c>
      <c r="P167" s="1">
        <f t="shared" si="70"/>
        <v>72.083333333255723</v>
      </c>
      <c r="Q167" s="1">
        <f t="shared" si="70"/>
        <v>96.033333333267365</v>
      </c>
      <c r="R167" s="1">
        <f t="shared" si="70"/>
        <v>120.09999999997672</v>
      </c>
      <c r="S167" s="1">
        <f t="shared" si="70"/>
        <v>140.6166666666395</v>
      </c>
      <c r="T167" s="1">
        <f t="shared" si="70"/>
        <v>144.48333333333721</v>
      </c>
      <c r="U167" s="1">
        <f t="shared" si="70"/>
        <v>176.8666666665813</v>
      </c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36"/>
    </row>
    <row r="168" spans="1:35" x14ac:dyDescent="0.25">
      <c r="A168" s="3" t="s">
        <v>938</v>
      </c>
      <c r="B168" s="2">
        <v>8.3333333333333332E-3</v>
      </c>
      <c r="C168">
        <v>3.84</v>
      </c>
      <c r="F168" t="str">
        <f t="shared" si="19"/>
        <v>2018/05/21 00:12:00</v>
      </c>
      <c r="G168" t="s">
        <v>1268</v>
      </c>
      <c r="J168" s="32" t="s">
        <v>838</v>
      </c>
      <c r="K168" s="1">
        <f t="shared" ref="K168:S168" si="71">K120*24</f>
        <v>14.349999999976717</v>
      </c>
      <c r="L168" s="1">
        <f t="shared" si="71"/>
        <v>19.483333333279006</v>
      </c>
      <c r="M168" s="1">
        <f t="shared" si="71"/>
        <v>24.299999999930151</v>
      </c>
      <c r="N168" s="1">
        <f t="shared" si="71"/>
        <v>49.016666666662786</v>
      </c>
      <c r="O168" s="1">
        <f t="shared" si="71"/>
        <v>72.349999999918509</v>
      </c>
      <c r="P168" s="1">
        <f t="shared" si="71"/>
        <v>101.59999999991851</v>
      </c>
      <c r="Q168" s="1">
        <f t="shared" si="71"/>
        <v>120.03333333326736</v>
      </c>
      <c r="R168" s="1">
        <f t="shared" si="71"/>
        <v>144.04999999998836</v>
      </c>
      <c r="S168" s="1">
        <f t="shared" si="71"/>
        <v>168.03333333326736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36"/>
    </row>
    <row r="169" spans="1:35" x14ac:dyDescent="0.25">
      <c r="A169" s="3" t="s">
        <v>129</v>
      </c>
      <c r="B169" s="2">
        <v>2.361111111111111E-2</v>
      </c>
      <c r="C169">
        <v>4.84</v>
      </c>
      <c r="F169" t="str">
        <f t="shared" si="19"/>
        <v>2018/05/22 00:34:00</v>
      </c>
      <c r="G169" t="s">
        <v>1269</v>
      </c>
      <c r="J169" s="32" t="s">
        <v>839</v>
      </c>
      <c r="K169" s="1">
        <f t="shared" ref="K169:V169" si="72">K121*24</f>
        <v>19.066666666651145</v>
      </c>
      <c r="L169" s="1">
        <f t="shared" si="72"/>
        <v>23.683333333348855</v>
      </c>
      <c r="M169" s="1">
        <f t="shared" si="72"/>
        <v>24.216666666674428</v>
      </c>
      <c r="N169" s="1">
        <f t="shared" si="72"/>
        <v>48.400000000081491</v>
      </c>
      <c r="O169" s="1">
        <f t="shared" si="72"/>
        <v>72.033333333267365</v>
      </c>
      <c r="P169" s="1">
        <f t="shared" si="72"/>
        <v>96.166666666686069</v>
      </c>
      <c r="Q169" s="1">
        <f t="shared" si="72"/>
        <v>120.11666666669771</v>
      </c>
      <c r="R169" s="1">
        <f t="shared" si="72"/>
        <v>149.95000000001164</v>
      </c>
      <c r="S169" s="1">
        <f t="shared" si="72"/>
        <v>168.04999999998836</v>
      </c>
      <c r="T169" s="1">
        <f t="shared" si="72"/>
        <v>192.06666666670935</v>
      </c>
      <c r="U169" s="1">
        <f t="shared" si="72"/>
        <v>210.45000000006985</v>
      </c>
      <c r="V169" s="1">
        <f t="shared" si="72"/>
        <v>216.19999999995343</v>
      </c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36"/>
    </row>
    <row r="170" spans="1:35" x14ac:dyDescent="0.25">
      <c r="A170" s="3" t="s">
        <v>376</v>
      </c>
      <c r="B170" s="2">
        <v>6.9444444444444441E-3</v>
      </c>
      <c r="C170">
        <v>4.72</v>
      </c>
      <c r="F170" t="str">
        <f t="shared" si="19"/>
        <v>2018/05/23 00:10:00</v>
      </c>
      <c r="G170" t="s">
        <v>1270</v>
      </c>
      <c r="J170" s="32" t="s">
        <v>840</v>
      </c>
      <c r="K170" s="1">
        <f t="shared" ref="K170:T170" si="73">K122*24</f>
        <v>21.899999999965075</v>
      </c>
      <c r="L170" s="1">
        <f t="shared" si="73"/>
        <v>24.500000000058208</v>
      </c>
      <c r="M170" s="1">
        <f t="shared" si="73"/>
        <v>41.71666666661622</v>
      </c>
      <c r="N170" s="1">
        <f t="shared" si="73"/>
        <v>48.266666666662786</v>
      </c>
      <c r="O170" s="1">
        <f t="shared" si="73"/>
        <v>72.600000000034925</v>
      </c>
      <c r="P170" s="1">
        <f t="shared" si="73"/>
        <v>96.533333333325572</v>
      </c>
      <c r="Q170" s="1">
        <f t="shared" si="73"/>
        <v>120.3833333333605</v>
      </c>
      <c r="R170" s="1">
        <f t="shared" si="73"/>
        <v>138.23333333339542</v>
      </c>
      <c r="S170" s="1">
        <f t="shared" si="73"/>
        <v>144.48333333333721</v>
      </c>
      <c r="T170" s="1">
        <f t="shared" si="73"/>
        <v>168.09999999997672</v>
      </c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36"/>
    </row>
    <row r="171" spans="1:35" x14ac:dyDescent="0.25">
      <c r="A171" s="3" t="s">
        <v>377</v>
      </c>
      <c r="B171" s="2">
        <v>0.22847222222222222</v>
      </c>
      <c r="C171">
        <v>3.57</v>
      </c>
      <c r="F171" t="str">
        <f t="shared" si="19"/>
        <v>2018/05/24 05:29:00</v>
      </c>
      <c r="G171" t="s">
        <v>1271</v>
      </c>
      <c r="J171" s="32" t="s">
        <v>841</v>
      </c>
      <c r="K171" s="1">
        <f t="shared" ref="K171:AA171" si="74">K123*24</f>
        <v>8.5499999999301508</v>
      </c>
      <c r="L171" s="1">
        <f t="shared" si="74"/>
        <v>14.183333333290648</v>
      </c>
      <c r="M171" s="1">
        <f t="shared" si="74"/>
        <v>24.400000000081491</v>
      </c>
      <c r="N171" s="1">
        <f t="shared" si="74"/>
        <v>48.400000000081491</v>
      </c>
      <c r="O171" s="1">
        <f t="shared" si="74"/>
        <v>72.216666666674428</v>
      </c>
      <c r="P171" s="1">
        <f t="shared" si="74"/>
        <v>96.28333333338378</v>
      </c>
      <c r="Q171" s="1">
        <f t="shared" si="74"/>
        <v>125.80000000004657</v>
      </c>
      <c r="R171" s="1">
        <f t="shared" si="74"/>
        <v>144.03333333326736</v>
      </c>
      <c r="S171" s="1">
        <f t="shared" si="74"/>
        <v>168.04999999998836</v>
      </c>
      <c r="T171" s="1">
        <f t="shared" si="74"/>
        <v>198.08333333325572</v>
      </c>
      <c r="U171" s="1">
        <f t="shared" si="74"/>
        <v>221.70000000006985</v>
      </c>
      <c r="V171" s="1">
        <f t="shared" si="74"/>
        <v>245.83333333331393</v>
      </c>
      <c r="W171" s="1">
        <f t="shared" si="74"/>
        <v>264.03333333326736</v>
      </c>
      <c r="X171" s="1">
        <f t="shared" si="74"/>
        <v>288.06666666670935</v>
      </c>
      <c r="Y171" s="1">
        <f t="shared" si="74"/>
        <v>341.8666666665813</v>
      </c>
      <c r="Z171" s="1">
        <f t="shared" si="74"/>
        <v>365.76666666660458</v>
      </c>
      <c r="AA171" s="1">
        <f t="shared" si="74"/>
        <v>384.08333333325572</v>
      </c>
      <c r="AB171" s="1"/>
      <c r="AC171" s="1"/>
      <c r="AD171" s="1"/>
      <c r="AE171" s="1"/>
      <c r="AF171" s="1"/>
      <c r="AG171" s="1"/>
      <c r="AH171" s="36"/>
    </row>
    <row r="172" spans="1:35" s="12" customFormat="1" x14ac:dyDescent="0.25">
      <c r="A172" s="10" t="s">
        <v>378</v>
      </c>
      <c r="B172" s="9">
        <v>7.6388888888888886E-3</v>
      </c>
      <c r="C172" s="12">
        <v>2.29</v>
      </c>
      <c r="F172" t="str">
        <f t="shared" si="19"/>
        <v>2018/05/25 00:11:00</v>
      </c>
      <c r="G172" s="12" t="s">
        <v>702</v>
      </c>
      <c r="J172" s="32" t="s">
        <v>842</v>
      </c>
      <c r="K172" s="1">
        <f t="shared" ref="K172:R172" si="75">K124*24</f>
        <v>12.716666666732635</v>
      </c>
      <c r="L172" s="1">
        <f t="shared" si="75"/>
        <v>14.516666666662786</v>
      </c>
      <c r="M172" s="1">
        <f t="shared" si="75"/>
        <v>24.933333333407063</v>
      </c>
      <c r="N172" s="1">
        <f t="shared" si="75"/>
        <v>48.233333333395422</v>
      </c>
      <c r="O172" s="1">
        <f t="shared" si="75"/>
        <v>72.400000000081491</v>
      </c>
      <c r="P172" s="1">
        <f t="shared" si="75"/>
        <v>96</v>
      </c>
      <c r="Q172" s="1">
        <f t="shared" si="75"/>
        <v>120.03333333326736</v>
      </c>
      <c r="R172" s="1">
        <f t="shared" si="75"/>
        <v>149.8666666665813</v>
      </c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36"/>
      <c r="AI172"/>
    </row>
    <row r="173" spans="1:35" x14ac:dyDescent="0.25">
      <c r="A173" s="3" t="s">
        <v>939</v>
      </c>
      <c r="B173" s="2">
        <v>0.62777777777777777</v>
      </c>
      <c r="C173">
        <v>4.016</v>
      </c>
      <c r="F173" t="str">
        <f t="shared" si="19"/>
        <v>2023/05/22 15:04:00</v>
      </c>
      <c r="G173" t="s">
        <v>1272</v>
      </c>
      <c r="J173" s="32" t="s">
        <v>843</v>
      </c>
      <c r="K173" s="1">
        <f t="shared" ref="K173:AG173" si="76">K125*24</f>
        <v>17.050000000046566</v>
      </c>
      <c r="L173" s="1">
        <f t="shared" si="76"/>
        <v>21.683333333290648</v>
      </c>
      <c r="M173" s="1">
        <f t="shared" si="76"/>
        <v>24.416666666627862</v>
      </c>
      <c r="N173" s="1">
        <f t="shared" si="76"/>
        <v>24.433333333348855</v>
      </c>
      <c r="O173" s="1">
        <f t="shared" si="76"/>
        <v>48.566666666592937</v>
      </c>
      <c r="P173" s="1">
        <f t="shared" si="76"/>
        <v>72.500000000058208</v>
      </c>
      <c r="Q173" s="1">
        <f t="shared" si="76"/>
        <v>96.816666666709352</v>
      </c>
      <c r="R173" s="1">
        <f t="shared" si="76"/>
        <v>120.16666666668607</v>
      </c>
      <c r="S173" s="1">
        <f t="shared" si="76"/>
        <v>144.16666666668607</v>
      </c>
      <c r="T173" s="1">
        <f t="shared" si="76"/>
        <v>168.76666666672099</v>
      </c>
      <c r="U173" s="1">
        <f t="shared" si="76"/>
        <v>200.3833333334187</v>
      </c>
      <c r="V173" s="1">
        <f t="shared" si="76"/>
        <v>216.01666666672099</v>
      </c>
      <c r="W173" s="1">
        <f t="shared" si="76"/>
        <v>240.04999999998836</v>
      </c>
      <c r="X173" s="1">
        <f t="shared" si="76"/>
        <v>264.21666666667443</v>
      </c>
      <c r="Y173" s="1">
        <f t="shared" si="76"/>
        <v>288.1333333334187</v>
      </c>
      <c r="Z173" s="1">
        <f t="shared" si="76"/>
        <v>312.11666666669771</v>
      </c>
      <c r="AA173" s="1">
        <f t="shared" si="76"/>
        <v>336.08333333325572</v>
      </c>
      <c r="AB173" s="1">
        <f t="shared" si="76"/>
        <v>360.04999999998836</v>
      </c>
      <c r="AC173" s="1">
        <f t="shared" si="76"/>
        <v>389.75000000005821</v>
      </c>
      <c r="AD173" s="1">
        <f t="shared" si="76"/>
        <v>408.08333333325572</v>
      </c>
      <c r="AE173" s="1">
        <f t="shared" si="76"/>
        <v>432.09999999997672</v>
      </c>
      <c r="AF173" s="1">
        <f t="shared" si="76"/>
        <v>462.08333333325572</v>
      </c>
      <c r="AG173" s="1">
        <f t="shared" si="76"/>
        <v>486.01666666672099</v>
      </c>
      <c r="AH173" s="36"/>
    </row>
    <row r="174" spans="1:35" x14ac:dyDescent="0.25">
      <c r="A174" s="3" t="s">
        <v>939</v>
      </c>
      <c r="B174" s="2">
        <v>0.78125</v>
      </c>
      <c r="C174">
        <v>9.6969999999999992</v>
      </c>
      <c r="F174" t="str">
        <f t="shared" si="19"/>
        <v>2023/05/22 18:45:00</v>
      </c>
      <c r="G174" t="s">
        <v>1273</v>
      </c>
      <c r="J174" s="32" t="s">
        <v>844</v>
      </c>
      <c r="K174" s="1">
        <f t="shared" ref="K174:T174" si="77">K126*24</f>
        <v>15.700000000011642</v>
      </c>
      <c r="L174" s="1">
        <f t="shared" si="77"/>
        <v>22.816666666651145</v>
      </c>
      <c r="M174" s="1">
        <f t="shared" si="77"/>
        <v>24.866666666697711</v>
      </c>
      <c r="N174" s="1">
        <f t="shared" si="77"/>
        <v>48.600000000034925</v>
      </c>
      <c r="O174" s="1">
        <f t="shared" si="77"/>
        <v>72.28333333338378</v>
      </c>
      <c r="P174" s="1">
        <f t="shared" si="77"/>
        <v>96.650000000023283</v>
      </c>
      <c r="Q174" s="1">
        <f t="shared" si="77"/>
        <v>120.01666666672099</v>
      </c>
      <c r="R174" s="1">
        <f t="shared" si="77"/>
        <v>144.03333333326736</v>
      </c>
      <c r="S174" s="1">
        <f t="shared" si="77"/>
        <v>160.71666666667443</v>
      </c>
      <c r="T174" s="1">
        <f t="shared" si="77"/>
        <v>173.6166666666395</v>
      </c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36"/>
    </row>
    <row r="175" spans="1:35" x14ac:dyDescent="0.25">
      <c r="A175" s="3" t="s">
        <v>940</v>
      </c>
      <c r="B175" s="2">
        <v>0</v>
      </c>
      <c r="C175">
        <v>7.5279999999999996</v>
      </c>
      <c r="F175" t="str">
        <f t="shared" si="19"/>
        <v>2023/05/23 00:00:00</v>
      </c>
      <c r="G175" t="s">
        <v>1274</v>
      </c>
      <c r="J175" s="32" t="s">
        <v>845</v>
      </c>
      <c r="K175" s="1">
        <f t="shared" ref="K175:S175" si="78">K127*24</f>
        <v>23.050000000046566</v>
      </c>
      <c r="L175" s="1">
        <f t="shared" si="78"/>
        <v>24.299999999930151</v>
      </c>
      <c r="M175" s="1">
        <f t="shared" si="78"/>
        <v>48.450000000069849</v>
      </c>
      <c r="N175" s="1">
        <f t="shared" si="78"/>
        <v>72.433333333348855</v>
      </c>
      <c r="O175" s="1">
        <f t="shared" si="78"/>
        <v>96.133333333418705</v>
      </c>
      <c r="P175" s="1">
        <f t="shared" si="78"/>
        <v>120.16666666668607</v>
      </c>
      <c r="Q175" s="1">
        <f t="shared" si="78"/>
        <v>144.56666666659294</v>
      </c>
      <c r="R175" s="1">
        <f t="shared" si="78"/>
        <v>168.08333333325572</v>
      </c>
      <c r="S175" s="1">
        <f t="shared" si="78"/>
        <v>192.06666666670935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36"/>
    </row>
    <row r="176" spans="1:35" x14ac:dyDescent="0.25">
      <c r="A176" s="3" t="s">
        <v>941</v>
      </c>
      <c r="B176" s="2">
        <v>5.5555555555555558E-3</v>
      </c>
      <c r="C176">
        <v>3.415</v>
      </c>
      <c r="F176" t="str">
        <f t="shared" si="19"/>
        <v>2023/05/24 00:08:00</v>
      </c>
      <c r="G176" t="s">
        <v>1275</v>
      </c>
      <c r="J176" s="32" t="s">
        <v>846</v>
      </c>
      <c r="K176" s="1">
        <f t="shared" ref="K176:T176" si="79">K128*24</f>
        <v>22.983333333337214</v>
      </c>
      <c r="L176" s="1">
        <f t="shared" si="79"/>
        <v>24.566666666592937</v>
      </c>
      <c r="M176" s="1">
        <f t="shared" si="79"/>
        <v>25.5</v>
      </c>
      <c r="N176" s="1">
        <f t="shared" si="79"/>
        <v>41.966666666732635</v>
      </c>
      <c r="O176" s="1">
        <f t="shared" si="79"/>
        <v>48.083333333255723</v>
      </c>
      <c r="P176" s="1">
        <f t="shared" si="79"/>
        <v>72.349999999918509</v>
      </c>
      <c r="Q176" s="1">
        <f t="shared" si="79"/>
        <v>96.299999999930151</v>
      </c>
      <c r="R176" s="1">
        <f t="shared" si="79"/>
        <v>120.06666666670935</v>
      </c>
      <c r="S176" s="1">
        <f t="shared" si="79"/>
        <v>144.24999999994179</v>
      </c>
      <c r="T176" s="1">
        <f t="shared" si="79"/>
        <v>168.01666666672099</v>
      </c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36"/>
    </row>
    <row r="177" spans="1:35" x14ac:dyDescent="0.25">
      <c r="A177" s="3" t="s">
        <v>942</v>
      </c>
      <c r="B177" s="2">
        <v>3.9583333333333331E-2</v>
      </c>
      <c r="C177">
        <v>2.7730000000000001</v>
      </c>
      <c r="F177" t="str">
        <f t="shared" si="19"/>
        <v>2023/05/25 00:57:00</v>
      </c>
      <c r="G177" t="s">
        <v>1276</v>
      </c>
      <c r="J177" s="32" t="s">
        <v>847</v>
      </c>
      <c r="K177" s="1">
        <f t="shared" ref="K177:Q177" si="80">K129*24</f>
        <v>16.03333333338378</v>
      </c>
      <c r="L177" s="1">
        <f t="shared" si="80"/>
        <v>21.75</v>
      </c>
      <c r="M177" s="1">
        <f t="shared" si="80"/>
        <v>24.083333333255723</v>
      </c>
      <c r="N177" s="1">
        <f t="shared" si="80"/>
        <v>48.216666666674428</v>
      </c>
      <c r="O177" s="1">
        <f t="shared" si="80"/>
        <v>72.433333333348855</v>
      </c>
      <c r="P177" s="1">
        <f t="shared" si="80"/>
        <v>96.166666666686069</v>
      </c>
      <c r="Q177" s="1">
        <f t="shared" si="80"/>
        <v>120.1333333334187</v>
      </c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36"/>
    </row>
    <row r="178" spans="1:35" x14ac:dyDescent="0.25">
      <c r="A178" s="3" t="s">
        <v>942</v>
      </c>
      <c r="B178" s="2">
        <v>0.63749999999999996</v>
      </c>
      <c r="C178">
        <v>2.5649999999999999</v>
      </c>
      <c r="F178" t="str">
        <f t="shared" si="19"/>
        <v>2023/05/25 15:18:00</v>
      </c>
      <c r="G178" t="s">
        <v>1277</v>
      </c>
      <c r="J178" s="32" t="s">
        <v>848</v>
      </c>
      <c r="K178" s="1">
        <f t="shared" ref="K178:S178" si="81">K130*24</f>
        <v>11.700000000069849</v>
      </c>
      <c r="L178" s="1">
        <f t="shared" si="81"/>
        <v>17.483333333395422</v>
      </c>
      <c r="M178" s="1">
        <f t="shared" si="81"/>
        <v>24.116666666697711</v>
      </c>
      <c r="N178" s="1">
        <f t="shared" si="81"/>
        <v>48.28333333338378</v>
      </c>
      <c r="O178" s="1">
        <f t="shared" si="81"/>
        <v>72.28333333338378</v>
      </c>
      <c r="P178" s="1">
        <f t="shared" si="81"/>
        <v>96.266666666662786</v>
      </c>
      <c r="Q178" s="1">
        <f t="shared" si="81"/>
        <v>131.71666666661622</v>
      </c>
      <c r="R178" s="1">
        <f t="shared" si="81"/>
        <v>144.3833333333605</v>
      </c>
      <c r="S178" s="1">
        <f t="shared" si="81"/>
        <v>168.08333333325572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36"/>
    </row>
    <row r="179" spans="1:35" x14ac:dyDescent="0.25">
      <c r="A179" s="3" t="s">
        <v>943</v>
      </c>
      <c r="B179" s="2">
        <v>0.23958333333333334</v>
      </c>
      <c r="C179">
        <v>2.7549999999999999</v>
      </c>
      <c r="F179" t="str">
        <f t="shared" ref="F179:F242" si="82">TEXT(A179,"yyyy/mm/dd") &amp; " " &amp; TEXT(B179,"hh:mm:ss")</f>
        <v>2023/05/26 05:45:00</v>
      </c>
      <c r="G179" t="s">
        <v>1278</v>
      </c>
      <c r="J179" s="32" t="s">
        <v>849</v>
      </c>
      <c r="K179" s="1">
        <f t="shared" ref="K179:AB179" si="83">K131*24</f>
        <v>1.0166666666627862</v>
      </c>
      <c r="L179" s="1">
        <f t="shared" si="83"/>
        <v>1.3500000000349246</v>
      </c>
      <c r="M179" s="1">
        <f t="shared" si="83"/>
        <v>15.666666666744277</v>
      </c>
      <c r="N179" s="1">
        <f t="shared" si="83"/>
        <v>26.483333333395422</v>
      </c>
      <c r="O179" s="1">
        <f t="shared" si="83"/>
        <v>48.483333333337214</v>
      </c>
      <c r="P179" s="1">
        <f t="shared" si="83"/>
        <v>72.516666666604578</v>
      </c>
      <c r="Q179" s="1">
        <f t="shared" si="83"/>
        <v>96.066666666709352</v>
      </c>
      <c r="R179" s="1">
        <f t="shared" si="83"/>
        <v>120.33333333337214</v>
      </c>
      <c r="S179" s="1">
        <f t="shared" si="83"/>
        <v>144.06666666670935</v>
      </c>
      <c r="T179" s="1">
        <f t="shared" si="83"/>
        <v>168.08333333325572</v>
      </c>
      <c r="U179" s="1">
        <f t="shared" si="83"/>
        <v>192.08333333325572</v>
      </c>
      <c r="V179" s="1">
        <f t="shared" si="83"/>
        <v>216.06666666670935</v>
      </c>
      <c r="W179" s="1">
        <f t="shared" si="83"/>
        <v>245.78333333332557</v>
      </c>
      <c r="X179" s="1">
        <f t="shared" si="83"/>
        <v>264.04999999998836</v>
      </c>
      <c r="Y179" s="1">
        <f t="shared" si="83"/>
        <v>288.06666666670935</v>
      </c>
      <c r="Z179" s="1">
        <f t="shared" si="83"/>
        <v>313.08333333337214</v>
      </c>
      <c r="AA179" s="1">
        <f t="shared" si="83"/>
        <v>336.1333333334187</v>
      </c>
      <c r="AB179" s="1">
        <f t="shared" si="83"/>
        <v>360.21666666667443</v>
      </c>
      <c r="AC179" s="1"/>
      <c r="AD179" s="1"/>
      <c r="AE179" s="1"/>
      <c r="AF179" s="1"/>
      <c r="AG179" s="1"/>
      <c r="AH179" s="36"/>
    </row>
    <row r="180" spans="1:35" s="12" customFormat="1" x14ac:dyDescent="0.25">
      <c r="A180" s="10" t="s">
        <v>944</v>
      </c>
      <c r="B180" s="9">
        <v>0.24305555555555555</v>
      </c>
      <c r="C180" s="12">
        <v>2.032</v>
      </c>
      <c r="F180" t="str">
        <f t="shared" si="82"/>
        <v>2023/05/27 05:50:00</v>
      </c>
      <c r="G180" s="12" t="s">
        <v>1279</v>
      </c>
      <c r="J180" s="32" t="s">
        <v>850</v>
      </c>
      <c r="K180" s="1">
        <f t="shared" ref="K180:S180" si="84">K132*24</f>
        <v>16.383333333302289</v>
      </c>
      <c r="L180" s="1">
        <f t="shared" si="84"/>
        <v>21.533333333325572</v>
      </c>
      <c r="M180" s="1">
        <f t="shared" si="84"/>
        <v>24.166666666686069</v>
      </c>
      <c r="N180" s="1">
        <f t="shared" si="84"/>
        <v>48.46666666661622</v>
      </c>
      <c r="O180" s="1">
        <f t="shared" si="84"/>
        <v>72.483333333337214</v>
      </c>
      <c r="P180" s="1">
        <f t="shared" si="84"/>
        <v>96.099999999976717</v>
      </c>
      <c r="Q180" s="1">
        <f t="shared" si="84"/>
        <v>144.04999999998836</v>
      </c>
      <c r="R180" s="1">
        <f t="shared" si="84"/>
        <v>168.06666666670935</v>
      </c>
      <c r="S180" s="1">
        <f t="shared" si="84"/>
        <v>192.11666666669771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36"/>
      <c r="AI180"/>
    </row>
    <row r="181" spans="1:35" x14ac:dyDescent="0.25">
      <c r="A181" s="3" t="s">
        <v>945</v>
      </c>
      <c r="B181" s="2">
        <v>0.77430555555555558</v>
      </c>
      <c r="C181">
        <v>0.93470000000000009</v>
      </c>
      <c r="F181" t="str">
        <f t="shared" si="82"/>
        <v>2023/03/05 18:35:00</v>
      </c>
      <c r="G181" t="s">
        <v>1280</v>
      </c>
      <c r="J181" s="32" t="s">
        <v>851</v>
      </c>
      <c r="K181" s="1">
        <f t="shared" ref="K181:U181" si="85">K133*24</f>
        <v>21.049999999988358</v>
      </c>
      <c r="L181" s="1">
        <f t="shared" si="85"/>
        <v>24.033333333267365</v>
      </c>
      <c r="M181" s="1">
        <f t="shared" si="85"/>
        <v>24.116666666697711</v>
      </c>
      <c r="N181" s="1">
        <f t="shared" si="85"/>
        <v>40.666666666686069</v>
      </c>
      <c r="O181" s="1">
        <f t="shared" si="85"/>
        <v>48.033333333267365</v>
      </c>
      <c r="P181" s="1">
        <f t="shared" si="85"/>
        <v>72.249999999941792</v>
      </c>
      <c r="Q181" s="1">
        <f t="shared" si="85"/>
        <v>96.700000000011642</v>
      </c>
      <c r="R181" s="1">
        <f t="shared" si="85"/>
        <v>111.79999999998836</v>
      </c>
      <c r="S181" s="1">
        <f t="shared" si="85"/>
        <v>120.16666666668607</v>
      </c>
      <c r="T181" s="1">
        <f t="shared" si="85"/>
        <v>144.08333333325572</v>
      </c>
      <c r="U181" s="1">
        <f t="shared" si="85"/>
        <v>168.48333333333721</v>
      </c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36"/>
    </row>
    <row r="182" spans="1:35" x14ac:dyDescent="0.25">
      <c r="A182" s="3" t="s">
        <v>945</v>
      </c>
      <c r="B182" s="2">
        <v>0.97291666666666665</v>
      </c>
      <c r="C182">
        <v>2.552</v>
      </c>
      <c r="F182" t="str">
        <f t="shared" si="82"/>
        <v>2023/03/05 23:21:00</v>
      </c>
      <c r="G182" t="s">
        <v>1281</v>
      </c>
      <c r="J182" s="32" t="s">
        <v>852</v>
      </c>
      <c r="K182" s="1">
        <f t="shared" ref="K182:V182" si="86">K134*24</f>
        <v>11.200000000011642</v>
      </c>
      <c r="L182" s="1">
        <f t="shared" si="86"/>
        <v>17.433333333407063</v>
      </c>
      <c r="M182" s="1">
        <f t="shared" si="86"/>
        <v>24.133333333418705</v>
      </c>
      <c r="N182" s="1">
        <f t="shared" si="86"/>
        <v>48.149999999965075</v>
      </c>
      <c r="O182" s="1">
        <f t="shared" si="86"/>
        <v>72.083333333255723</v>
      </c>
      <c r="P182" s="1">
        <f t="shared" si="86"/>
        <v>96.116666666697711</v>
      </c>
      <c r="Q182" s="1">
        <f t="shared" si="86"/>
        <v>120.34999999991851</v>
      </c>
      <c r="R182" s="1">
        <f t="shared" si="86"/>
        <v>144.45000000006985</v>
      </c>
      <c r="S182" s="1">
        <f t="shared" si="86"/>
        <v>168.26666666666279</v>
      </c>
      <c r="T182" s="1">
        <f t="shared" si="86"/>
        <v>190.03333333338378</v>
      </c>
      <c r="U182" s="1">
        <f t="shared" si="86"/>
        <v>192.23333333339542</v>
      </c>
      <c r="V182" s="1">
        <f t="shared" si="86"/>
        <v>246.19999999995343</v>
      </c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36"/>
    </row>
    <row r="183" spans="1:35" x14ac:dyDescent="0.25">
      <c r="A183" s="3" t="s">
        <v>946</v>
      </c>
      <c r="B183" s="2">
        <v>4.1666666666666666E-3</v>
      </c>
      <c r="C183">
        <v>1.661</v>
      </c>
      <c r="F183" t="str">
        <f t="shared" si="82"/>
        <v>2023/03/06 00:06:00</v>
      </c>
      <c r="G183" t="s">
        <v>1282</v>
      </c>
      <c r="J183" s="32" t="s">
        <v>853</v>
      </c>
      <c r="K183" s="1">
        <f t="shared" ref="K183:R183" si="87">K135*24</f>
        <v>20.349999999976717</v>
      </c>
      <c r="L183" s="1">
        <f t="shared" si="87"/>
        <v>23.166666666744277</v>
      </c>
      <c r="M183" s="1">
        <f t="shared" si="87"/>
        <v>24.116666666697711</v>
      </c>
      <c r="N183" s="1">
        <f t="shared" si="87"/>
        <v>48.299999999930151</v>
      </c>
      <c r="O183" s="1">
        <f t="shared" si="87"/>
        <v>72.349999999918509</v>
      </c>
      <c r="P183" s="1">
        <f t="shared" si="87"/>
        <v>96.233333333395422</v>
      </c>
      <c r="Q183" s="1">
        <f t="shared" si="87"/>
        <v>120.09999999997672</v>
      </c>
      <c r="R183" s="1">
        <f t="shared" si="87"/>
        <v>144.08333333325572</v>
      </c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36"/>
    </row>
    <row r="184" spans="1:35" x14ac:dyDescent="0.25">
      <c r="A184" s="3" t="s">
        <v>947</v>
      </c>
      <c r="B184" s="2">
        <v>1.4583333333333334E-2</v>
      </c>
      <c r="C184">
        <v>0.80970000000000009</v>
      </c>
      <c r="F184" t="str">
        <f t="shared" si="82"/>
        <v>2023/03/07 00:21:00</v>
      </c>
      <c r="G184" t="s">
        <v>1283</v>
      </c>
      <c r="J184" s="32" t="s">
        <v>854</v>
      </c>
      <c r="K184" s="1">
        <f t="shared" ref="K184:R184" si="88">K136*24</f>
        <v>14.750000000058208</v>
      </c>
      <c r="L184" s="1">
        <f t="shared" si="88"/>
        <v>19.016666666662786</v>
      </c>
      <c r="M184" s="1">
        <f t="shared" si="88"/>
        <v>24.299999999930151</v>
      </c>
      <c r="N184" s="1">
        <f t="shared" si="88"/>
        <v>48.450000000069849</v>
      </c>
      <c r="O184" s="1">
        <f t="shared" si="88"/>
        <v>65.333333333255723</v>
      </c>
      <c r="P184" s="1">
        <f t="shared" si="88"/>
        <v>72.433333333348855</v>
      </c>
      <c r="Q184" s="1">
        <f t="shared" si="88"/>
        <v>96.133333333418705</v>
      </c>
      <c r="R184" s="1">
        <f t="shared" si="88"/>
        <v>120.31666666665114</v>
      </c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36"/>
    </row>
    <row r="185" spans="1:35" x14ac:dyDescent="0.25">
      <c r="A185" s="3" t="s">
        <v>948</v>
      </c>
      <c r="B185" s="2">
        <v>7.6388888888888886E-3</v>
      </c>
      <c r="C185">
        <v>1.1950000000000001</v>
      </c>
      <c r="F185" t="str">
        <f t="shared" si="82"/>
        <v>2023/03/08 00:11:00</v>
      </c>
      <c r="G185" t="s">
        <v>1284</v>
      </c>
      <c r="J185" s="32" t="s">
        <v>855</v>
      </c>
      <c r="K185" s="1">
        <f t="shared" ref="K185:R185" si="89">K137*24</f>
        <v>18.683333333290648</v>
      </c>
      <c r="L185" s="1">
        <f t="shared" si="89"/>
        <v>23.066666666592937</v>
      </c>
      <c r="M185" s="1">
        <f t="shared" si="89"/>
        <v>24.299999999930151</v>
      </c>
      <c r="N185" s="1">
        <f t="shared" si="89"/>
        <v>48.450000000069849</v>
      </c>
      <c r="O185" s="1">
        <f t="shared" si="89"/>
        <v>72.433333333348855</v>
      </c>
      <c r="P185" s="1">
        <f t="shared" si="89"/>
        <v>96.133333333418705</v>
      </c>
      <c r="Q185" s="1">
        <f t="shared" si="89"/>
        <v>120.16666666668607</v>
      </c>
      <c r="R185" s="1">
        <f t="shared" si="89"/>
        <v>144.01666666672099</v>
      </c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36"/>
    </row>
    <row r="186" spans="1:35" s="12" customFormat="1" x14ac:dyDescent="0.25">
      <c r="A186" s="10" t="s">
        <v>949</v>
      </c>
      <c r="B186" s="9">
        <v>0.24305555555555555</v>
      </c>
      <c r="C186" s="12">
        <v>0.93689999999999996</v>
      </c>
      <c r="F186" t="str">
        <f t="shared" si="82"/>
        <v>2023/03/09 05:50:00</v>
      </c>
      <c r="G186" s="12" t="s">
        <v>1285</v>
      </c>
      <c r="J186" s="32" t="s">
        <v>856</v>
      </c>
      <c r="K186" s="1">
        <f t="shared" ref="K186:R186" si="90">K138*24</f>
        <v>11.916666666744277</v>
      </c>
      <c r="L186" s="1">
        <f t="shared" si="90"/>
        <v>21.233333333395422</v>
      </c>
      <c r="M186" s="1">
        <f t="shared" si="90"/>
        <v>24.349999999918509</v>
      </c>
      <c r="N186" s="1">
        <f t="shared" si="90"/>
        <v>48.333333333372138</v>
      </c>
      <c r="O186" s="1">
        <f t="shared" si="90"/>
        <v>72.249999999941792</v>
      </c>
      <c r="P186" s="1">
        <f t="shared" si="90"/>
        <v>96.716666666732635</v>
      </c>
      <c r="Q186" s="1">
        <f t="shared" si="90"/>
        <v>125.70000000006985</v>
      </c>
      <c r="R186" s="1">
        <f t="shared" si="90"/>
        <v>144.01666666672099</v>
      </c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36"/>
      <c r="AI186"/>
    </row>
    <row r="187" spans="1:35" x14ac:dyDescent="0.25">
      <c r="A187" s="3" t="s">
        <v>950</v>
      </c>
      <c r="B187" s="2">
        <v>0.82708333333333328</v>
      </c>
      <c r="C187">
        <v>0.50649999999999995</v>
      </c>
      <c r="F187" t="str">
        <f t="shared" si="82"/>
        <v>2023/01/19 19:51:00</v>
      </c>
      <c r="G187" t="s">
        <v>1286</v>
      </c>
      <c r="J187" s="32" t="s">
        <v>857</v>
      </c>
      <c r="K187" s="1">
        <f t="shared" ref="K187:V187" si="91">K139*24</f>
        <v>14.416666666686069</v>
      </c>
      <c r="L187" s="1">
        <f t="shared" si="91"/>
        <v>23.549999999930151</v>
      </c>
      <c r="M187" s="1">
        <f t="shared" si="91"/>
        <v>24.450000000069849</v>
      </c>
      <c r="N187" s="1">
        <f t="shared" si="91"/>
        <v>48.916666666686069</v>
      </c>
      <c r="O187" s="1">
        <f t="shared" si="91"/>
        <v>72.416666666627862</v>
      </c>
      <c r="P187" s="1">
        <f t="shared" si="91"/>
        <v>96.216666666674428</v>
      </c>
      <c r="Q187" s="1">
        <f t="shared" si="91"/>
        <v>120.18333333340706</v>
      </c>
      <c r="R187" s="1">
        <f t="shared" si="91"/>
        <v>144.51666666660458</v>
      </c>
      <c r="S187" s="1">
        <f t="shared" si="91"/>
        <v>174.06666666670935</v>
      </c>
      <c r="T187" s="1">
        <f t="shared" si="91"/>
        <v>197.76666666660458</v>
      </c>
      <c r="U187" s="1">
        <f t="shared" si="91"/>
        <v>221.6333333333605</v>
      </c>
      <c r="V187" s="1">
        <f t="shared" si="91"/>
        <v>240.06666666670935</v>
      </c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36"/>
    </row>
    <row r="188" spans="1:35" x14ac:dyDescent="0.25">
      <c r="A188" s="3" t="s">
        <v>951</v>
      </c>
      <c r="B188" s="2">
        <v>1.3888888888888889E-3</v>
      </c>
      <c r="C188">
        <v>1.165</v>
      </c>
      <c r="F188" t="str">
        <f t="shared" si="82"/>
        <v>2023/01/20 00:02:00</v>
      </c>
      <c r="G188" t="s">
        <v>1287</v>
      </c>
      <c r="J188" s="32" t="s">
        <v>858</v>
      </c>
      <c r="K188" s="1">
        <f t="shared" ref="K188:Q188" si="92">K140*24</f>
        <v>13.916666666627862</v>
      </c>
      <c r="L188" s="1">
        <f t="shared" si="92"/>
        <v>18</v>
      </c>
      <c r="M188" s="1">
        <f t="shared" si="92"/>
        <v>24.349999999918509</v>
      </c>
      <c r="N188" s="1">
        <f t="shared" si="92"/>
        <v>48.550000000046566</v>
      </c>
      <c r="O188" s="1">
        <f t="shared" si="92"/>
        <v>77.750000000058208</v>
      </c>
      <c r="P188" s="1">
        <f t="shared" si="92"/>
        <v>101.70000000006985</v>
      </c>
      <c r="Q188" s="1">
        <f t="shared" si="92"/>
        <v>120.21666666667443</v>
      </c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36"/>
    </row>
    <row r="189" spans="1:35" x14ac:dyDescent="0.25">
      <c r="A189" s="3" t="s">
        <v>951</v>
      </c>
      <c r="B189" s="2">
        <v>1.3888888888888888E-2</v>
      </c>
      <c r="C189">
        <v>0.72310000000000008</v>
      </c>
      <c r="F189" t="str">
        <f t="shared" si="82"/>
        <v>2023/01/20 00:20:00</v>
      </c>
      <c r="G189" t="s">
        <v>1288</v>
      </c>
      <c r="J189" s="32" t="s">
        <v>859</v>
      </c>
      <c r="K189" s="1">
        <f t="shared" ref="K189:T189" si="93">K141*24</f>
        <v>17.066666666592937</v>
      </c>
      <c r="L189" s="1">
        <f t="shared" si="93"/>
        <v>22.533333333267365</v>
      </c>
      <c r="M189" s="1">
        <f t="shared" si="93"/>
        <v>24.316666666651145</v>
      </c>
      <c r="N189" s="1">
        <f t="shared" si="93"/>
        <v>48.183333333407063</v>
      </c>
      <c r="O189" s="1">
        <f t="shared" si="93"/>
        <v>72.199999999953434</v>
      </c>
      <c r="P189" s="1">
        <f t="shared" si="93"/>
        <v>96.083333333255723</v>
      </c>
      <c r="Q189" s="1">
        <f t="shared" si="93"/>
        <v>120.08333333325572</v>
      </c>
      <c r="R189" s="1">
        <f t="shared" si="93"/>
        <v>149.54999999993015</v>
      </c>
      <c r="S189" s="1">
        <f t="shared" si="93"/>
        <v>168.08333333325572</v>
      </c>
      <c r="T189" s="1">
        <f t="shared" si="93"/>
        <v>192.19999999995343</v>
      </c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36"/>
    </row>
    <row r="190" spans="1:35" x14ac:dyDescent="0.25">
      <c r="A190" s="3" t="s">
        <v>951</v>
      </c>
      <c r="B190" s="2">
        <v>0.66388888888888886</v>
      </c>
      <c r="C190">
        <v>1.1930000000000001</v>
      </c>
      <c r="F190" t="str">
        <f t="shared" si="82"/>
        <v>2023/01/20 15:56:00</v>
      </c>
      <c r="G190" t="s">
        <v>1289</v>
      </c>
      <c r="J190" s="32" t="s">
        <v>860</v>
      </c>
      <c r="K190" s="1">
        <f t="shared" ref="K190:S190" si="94">K142*24</f>
        <v>20.116666666581295</v>
      </c>
      <c r="L190" s="1">
        <f t="shared" si="94"/>
        <v>21.899999999965075</v>
      </c>
      <c r="M190" s="1">
        <f t="shared" si="94"/>
        <v>24.28333333338378</v>
      </c>
      <c r="N190" s="1">
        <f t="shared" si="94"/>
        <v>48.400000000081491</v>
      </c>
      <c r="O190" s="1">
        <f t="shared" si="94"/>
        <v>72.533333333325572</v>
      </c>
      <c r="P190" s="1">
        <f t="shared" si="94"/>
        <v>96.46666666661622</v>
      </c>
      <c r="Q190" s="1">
        <f t="shared" si="94"/>
        <v>120.04999999998836</v>
      </c>
      <c r="R190" s="1">
        <f t="shared" si="94"/>
        <v>144.01666666672099</v>
      </c>
      <c r="S190" s="1">
        <f t="shared" si="94"/>
        <v>168.14999999996508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36"/>
    </row>
    <row r="191" spans="1:35" x14ac:dyDescent="0.25">
      <c r="A191" s="3" t="s">
        <v>952</v>
      </c>
      <c r="B191" s="2">
        <v>0.26319444444444445</v>
      </c>
      <c r="C191">
        <v>0.98799999999999999</v>
      </c>
      <c r="F191" t="str">
        <f t="shared" si="82"/>
        <v>2023/01/21 06:19:00</v>
      </c>
      <c r="G191" t="s">
        <v>1290</v>
      </c>
      <c r="J191" s="32" t="s">
        <v>861</v>
      </c>
      <c r="K191" s="1">
        <f t="shared" ref="K191:AB191" si="95">K143*24</f>
        <v>17.549999999930151</v>
      </c>
      <c r="L191" s="1">
        <f t="shared" si="95"/>
        <v>22.016666666662786</v>
      </c>
      <c r="M191" s="1">
        <f t="shared" si="95"/>
        <v>24.333333333372138</v>
      </c>
      <c r="N191" s="1">
        <f t="shared" si="95"/>
        <v>48.366666666639503</v>
      </c>
      <c r="O191" s="1">
        <f t="shared" si="95"/>
        <v>72.199999999953434</v>
      </c>
      <c r="P191" s="1">
        <f t="shared" si="95"/>
        <v>96.450000000069849</v>
      </c>
      <c r="Q191" s="1">
        <f t="shared" si="95"/>
        <v>120.56666666659294</v>
      </c>
      <c r="R191" s="1">
        <f t="shared" si="95"/>
        <v>144.06666666670935</v>
      </c>
      <c r="S191" s="1">
        <f t="shared" si="95"/>
        <v>168.18333333340706</v>
      </c>
      <c r="T191" s="1">
        <f t="shared" si="95"/>
        <v>197.65000000008149</v>
      </c>
      <c r="U191" s="1">
        <f t="shared" si="95"/>
        <v>216.03333333326736</v>
      </c>
      <c r="V191" s="1">
        <f t="shared" si="95"/>
        <v>240.03333333326736</v>
      </c>
      <c r="W191" s="1">
        <f t="shared" si="95"/>
        <v>264.06666666670935</v>
      </c>
      <c r="X191" s="1">
        <f t="shared" si="95"/>
        <v>288.11666666669771</v>
      </c>
      <c r="Y191" s="1">
        <f t="shared" si="95"/>
        <v>318</v>
      </c>
      <c r="Z191" s="1">
        <f t="shared" si="95"/>
        <v>336.04999999998836</v>
      </c>
      <c r="AA191" s="1">
        <f t="shared" si="95"/>
        <v>351.65000000002328</v>
      </c>
      <c r="AB191" s="1">
        <f t="shared" si="95"/>
        <v>360.09999999997672</v>
      </c>
      <c r="AC191" s="1"/>
      <c r="AD191" s="1"/>
      <c r="AE191" s="1"/>
      <c r="AF191" s="1"/>
      <c r="AG191" s="1"/>
      <c r="AH191" s="36"/>
    </row>
    <row r="192" spans="1:35" x14ac:dyDescent="0.25">
      <c r="A192" s="3" t="s">
        <v>953</v>
      </c>
      <c r="B192" s="2">
        <v>6.2500000000000003E-3</v>
      </c>
      <c r="C192">
        <v>0.52139999999999997</v>
      </c>
      <c r="F192" t="str">
        <f t="shared" si="82"/>
        <v>2023/01/22 00:09:00</v>
      </c>
      <c r="G192" t="s">
        <v>1291</v>
      </c>
    </row>
    <row r="193" spans="1:35" x14ac:dyDescent="0.25">
      <c r="A193" s="3" t="s">
        <v>954</v>
      </c>
      <c r="B193" s="2">
        <v>9.0277777777777769E-3</v>
      </c>
      <c r="C193">
        <v>0.47749999999999998</v>
      </c>
      <c r="F193" t="str">
        <f t="shared" si="82"/>
        <v>2023/01/23 00:13:00</v>
      </c>
      <c r="G193" t="s">
        <v>1292</v>
      </c>
    </row>
    <row r="194" spans="1:35" s="12" customFormat="1" x14ac:dyDescent="0.25">
      <c r="A194" s="10" t="s">
        <v>955</v>
      </c>
      <c r="B194" s="9">
        <v>4.8611111111111112E-3</v>
      </c>
      <c r="C194" s="12">
        <v>0.41220000000000001</v>
      </c>
      <c r="F194" t="str">
        <f t="shared" si="82"/>
        <v>2023/01/24 00:07:00</v>
      </c>
      <c r="G194" s="12" t="s">
        <v>1293</v>
      </c>
      <c r="AH194" s="32"/>
      <c r="AI194"/>
    </row>
    <row r="195" spans="1:35" x14ac:dyDescent="0.25">
      <c r="A195" s="3" t="s">
        <v>956</v>
      </c>
      <c r="B195" s="2">
        <v>0.72291666666666665</v>
      </c>
      <c r="C195">
        <v>8.5289999999999999</v>
      </c>
      <c r="F195" t="str">
        <f t="shared" si="82"/>
        <v>2021/10/31 17:21:00</v>
      </c>
      <c r="G195" t="s">
        <v>1294</v>
      </c>
    </row>
    <row r="196" spans="1:35" x14ac:dyDescent="0.25">
      <c r="A196" s="3" t="s">
        <v>956</v>
      </c>
      <c r="B196" s="2">
        <v>0.97499999999999998</v>
      </c>
      <c r="C196">
        <v>21.414999999999999</v>
      </c>
      <c r="F196" t="str">
        <f t="shared" si="82"/>
        <v>2021/10/31 23:24:00</v>
      </c>
      <c r="G196" t="s">
        <v>1295</v>
      </c>
    </row>
    <row r="197" spans="1:35" x14ac:dyDescent="0.25">
      <c r="A197" s="3" t="s">
        <v>957</v>
      </c>
      <c r="B197" s="2">
        <v>1.9444444444444445E-2</v>
      </c>
      <c r="C197">
        <v>9.2899999999999991</v>
      </c>
      <c r="F197" t="str">
        <f t="shared" si="82"/>
        <v>2021/11/01 00:28:00</v>
      </c>
      <c r="G197" t="s">
        <v>1296</v>
      </c>
    </row>
    <row r="198" spans="1:35" x14ac:dyDescent="0.25">
      <c r="A198" s="3" t="s">
        <v>957</v>
      </c>
      <c r="B198" s="5">
        <v>0.70277777777777772</v>
      </c>
      <c r="C198">
        <v>6.7140000000000004</v>
      </c>
      <c r="F198" t="str">
        <f t="shared" si="82"/>
        <v>2021/11/01 16:52:00</v>
      </c>
      <c r="G198" t="s">
        <v>1297</v>
      </c>
    </row>
    <row r="199" spans="1:35" x14ac:dyDescent="0.25">
      <c r="A199" s="3" t="s">
        <v>958</v>
      </c>
      <c r="B199" s="2">
        <v>2.361111111111111E-2</v>
      </c>
      <c r="C199">
        <v>9.9260000000000002</v>
      </c>
      <c r="F199" t="str">
        <f t="shared" si="82"/>
        <v>2021/11/02 00:34:00</v>
      </c>
      <c r="G199" t="s">
        <v>1298</v>
      </c>
    </row>
    <row r="200" spans="1:35" x14ac:dyDescent="0.25">
      <c r="A200" s="3" t="s">
        <v>959</v>
      </c>
      <c r="B200" s="2">
        <v>2.0833333333333333E-3</v>
      </c>
      <c r="C200">
        <v>8.2070000000000007</v>
      </c>
      <c r="F200" t="str">
        <f t="shared" si="82"/>
        <v>2021/11/03 00:03:00</v>
      </c>
      <c r="G200" t="s">
        <v>1299</v>
      </c>
    </row>
    <row r="201" spans="1:35" x14ac:dyDescent="0.25">
      <c r="A201" s="3" t="s">
        <v>960</v>
      </c>
      <c r="B201" s="2">
        <v>1.1805555555555555E-2</v>
      </c>
      <c r="C201">
        <v>6.7830000000000004</v>
      </c>
      <c r="F201" t="str">
        <f t="shared" si="82"/>
        <v>2021/11/04 00:17:00</v>
      </c>
      <c r="G201" t="s">
        <v>1300</v>
      </c>
    </row>
    <row r="202" spans="1:35" x14ac:dyDescent="0.25">
      <c r="A202" s="3" t="s">
        <v>961</v>
      </c>
      <c r="B202" s="2">
        <v>9.7222222222222224E-3</v>
      </c>
      <c r="C202">
        <v>4.2359999999999998</v>
      </c>
      <c r="F202" t="str">
        <f t="shared" si="82"/>
        <v>2021/11/05 00:14:00</v>
      </c>
      <c r="G202" t="s">
        <v>1301</v>
      </c>
    </row>
    <row r="203" spans="1:35" x14ac:dyDescent="0.25">
      <c r="A203" s="3" t="s">
        <v>962</v>
      </c>
      <c r="B203" s="5">
        <v>6.9444444444444447E-4</v>
      </c>
      <c r="C203">
        <v>2.2229999999999999</v>
      </c>
      <c r="F203" t="str">
        <f t="shared" si="82"/>
        <v>2021/11/06 00:01:00</v>
      </c>
      <c r="G203" t="s">
        <v>1302</v>
      </c>
    </row>
    <row r="204" spans="1:35" x14ac:dyDescent="0.25">
      <c r="A204" s="3" t="s">
        <v>963</v>
      </c>
      <c r="B204" s="2">
        <v>6.9444444444444447E-4</v>
      </c>
      <c r="C204">
        <v>1.1539999999999999</v>
      </c>
      <c r="F204" t="str">
        <f t="shared" si="82"/>
        <v>2021/11/07 00:01:00</v>
      </c>
      <c r="G204" t="s">
        <v>1303</v>
      </c>
    </row>
    <row r="205" spans="1:35" s="12" customFormat="1" x14ac:dyDescent="0.25">
      <c r="A205" s="10" t="s">
        <v>964</v>
      </c>
      <c r="B205" s="9">
        <v>4.1666666666666666E-3</v>
      </c>
      <c r="C205" s="12">
        <v>0.57779999999999998</v>
      </c>
      <c r="F205" t="str">
        <f t="shared" si="82"/>
        <v>2021/11/08 00:06:00</v>
      </c>
      <c r="G205" s="12" t="s">
        <v>1304</v>
      </c>
      <c r="AH205" s="32"/>
      <c r="AI205"/>
    </row>
    <row r="206" spans="1:35" x14ac:dyDescent="0.25">
      <c r="A206" s="3" t="s">
        <v>965</v>
      </c>
      <c r="B206" s="2">
        <v>0.75208333333333333</v>
      </c>
      <c r="C206">
        <v>3.3580000000000001</v>
      </c>
      <c r="F206" t="str">
        <f t="shared" si="82"/>
        <v>2021/06/01 18:03:00</v>
      </c>
      <c r="G206" t="s">
        <v>1305</v>
      </c>
    </row>
    <row r="207" spans="1:35" x14ac:dyDescent="0.25">
      <c r="A207" s="3" t="s">
        <v>965</v>
      </c>
      <c r="B207" s="2">
        <v>0.96388888888888891</v>
      </c>
      <c r="C207">
        <v>3.8610000000000002</v>
      </c>
      <c r="F207" t="str">
        <f t="shared" si="82"/>
        <v>2021/06/01 23:08:00</v>
      </c>
      <c r="G207" t="s">
        <v>1306</v>
      </c>
    </row>
    <row r="208" spans="1:35" x14ac:dyDescent="0.25">
      <c r="A208" s="3" t="s">
        <v>966</v>
      </c>
      <c r="B208" s="2">
        <v>7.6388888888888886E-3</v>
      </c>
      <c r="C208">
        <v>2.665</v>
      </c>
      <c r="F208" t="str">
        <f t="shared" si="82"/>
        <v>2021/06/02 00:11:00</v>
      </c>
      <c r="G208" t="s">
        <v>1307</v>
      </c>
    </row>
    <row r="209" spans="1:35" x14ac:dyDescent="0.25">
      <c r="A209" s="3" t="s">
        <v>967</v>
      </c>
      <c r="B209" s="2">
        <v>2.5000000000000001E-2</v>
      </c>
      <c r="C209">
        <v>1.913</v>
      </c>
      <c r="F209" t="str">
        <f t="shared" si="82"/>
        <v>2021/06/03 00:36:00</v>
      </c>
      <c r="G209" t="s">
        <v>1308</v>
      </c>
    </row>
    <row r="210" spans="1:35" x14ac:dyDescent="0.25">
      <c r="A210" s="3" t="s">
        <v>968</v>
      </c>
      <c r="B210" s="2">
        <v>3.888888888888889E-2</v>
      </c>
      <c r="C210">
        <v>1.319</v>
      </c>
      <c r="F210" t="str">
        <f t="shared" si="82"/>
        <v>2021/06/04 00:56:00</v>
      </c>
      <c r="G210" t="s">
        <v>1309</v>
      </c>
    </row>
    <row r="211" spans="1:35" x14ac:dyDescent="0.25">
      <c r="A211" s="3" t="s">
        <v>969</v>
      </c>
      <c r="B211" s="2">
        <v>1.1805555555555555E-2</v>
      </c>
      <c r="C211">
        <v>0.84410000000000007</v>
      </c>
      <c r="F211" t="str">
        <f t="shared" si="82"/>
        <v>2021/06/05 00:17:00</v>
      </c>
      <c r="G211" t="s">
        <v>1310</v>
      </c>
    </row>
    <row r="212" spans="1:35" x14ac:dyDescent="0.25">
      <c r="A212" s="3" t="s">
        <v>970</v>
      </c>
      <c r="B212" s="2">
        <v>2.0833333333333333E-3</v>
      </c>
      <c r="C212">
        <v>0.44739999999999996</v>
      </c>
      <c r="F212" t="str">
        <f t="shared" si="82"/>
        <v>2021/06/06 00:03:00</v>
      </c>
      <c r="G212" t="s">
        <v>1311</v>
      </c>
    </row>
    <row r="213" spans="1:35" s="12" customFormat="1" x14ac:dyDescent="0.25">
      <c r="A213" s="10" t="s">
        <v>971</v>
      </c>
      <c r="B213" s="9">
        <v>0.23958333333333334</v>
      </c>
      <c r="C213" s="12">
        <v>0.25800000000000001</v>
      </c>
      <c r="F213" t="str">
        <f t="shared" si="82"/>
        <v>2021/06/07 05:45:00</v>
      </c>
      <c r="G213" s="12" t="s">
        <v>1312</v>
      </c>
      <c r="AH213" s="32"/>
      <c r="AI213"/>
    </row>
    <row r="214" spans="1:35" x14ac:dyDescent="0.25">
      <c r="A214" s="3" t="s">
        <v>972</v>
      </c>
      <c r="B214" s="2">
        <v>0.84791666666666665</v>
      </c>
      <c r="C214">
        <v>0.27300000000000002</v>
      </c>
      <c r="F214" t="str">
        <f t="shared" si="82"/>
        <v>2017/04/24 20:21:00</v>
      </c>
      <c r="G214" t="s">
        <v>1313</v>
      </c>
    </row>
    <row r="215" spans="1:35" x14ac:dyDescent="0.25">
      <c r="A215" s="3" t="s">
        <v>972</v>
      </c>
      <c r="B215" s="2">
        <v>0.89722222222222225</v>
      </c>
      <c r="C215">
        <v>1.03</v>
      </c>
      <c r="F215" t="str">
        <f t="shared" si="82"/>
        <v>2017/04/24 21:32:00</v>
      </c>
      <c r="G215" t="s">
        <v>1314</v>
      </c>
    </row>
    <row r="216" spans="1:35" x14ac:dyDescent="0.25">
      <c r="A216" s="3" t="s">
        <v>973</v>
      </c>
      <c r="B216" s="2">
        <v>1.1805555555555555E-2</v>
      </c>
      <c r="C216">
        <v>2.4900000000000002</v>
      </c>
      <c r="F216" t="str">
        <f t="shared" si="82"/>
        <v>2017/04/25 00:17:00</v>
      </c>
      <c r="G216" t="s">
        <v>1315</v>
      </c>
    </row>
    <row r="217" spans="1:35" x14ac:dyDescent="0.25">
      <c r="A217" s="3" t="s">
        <v>974</v>
      </c>
      <c r="B217" s="2">
        <v>2.1527777777777778E-2</v>
      </c>
      <c r="C217">
        <v>1.0900000000000001</v>
      </c>
      <c r="F217" t="str">
        <f t="shared" si="82"/>
        <v>2017/04/26 00:31:00</v>
      </c>
      <c r="G217" t="s">
        <v>1316</v>
      </c>
    </row>
    <row r="218" spans="1:35" x14ac:dyDescent="0.25">
      <c r="A218" s="3" t="s">
        <v>975</v>
      </c>
      <c r="B218" s="2">
        <v>5.5555555555555558E-3</v>
      </c>
      <c r="C218">
        <v>0.995</v>
      </c>
      <c r="F218" t="str">
        <f t="shared" si="82"/>
        <v>2017/04/27 00:08:00</v>
      </c>
      <c r="G218" t="s">
        <v>1317</v>
      </c>
    </row>
    <row r="219" spans="1:35" x14ac:dyDescent="0.25">
      <c r="A219" s="3" t="s">
        <v>976</v>
      </c>
      <c r="B219" s="2">
        <v>2.7777777777777776E-2</v>
      </c>
      <c r="C219">
        <v>1.22</v>
      </c>
      <c r="F219" t="str">
        <f t="shared" si="82"/>
        <v>2017/04/28 00:40:00</v>
      </c>
      <c r="G219" t="s">
        <v>1318</v>
      </c>
    </row>
    <row r="220" spans="1:35" x14ac:dyDescent="0.25">
      <c r="A220" s="3" t="s">
        <v>976</v>
      </c>
      <c r="B220" s="2">
        <v>0.78611111111111109</v>
      </c>
      <c r="C220">
        <v>1.1299999999999999</v>
      </c>
      <c r="F220" t="str">
        <f t="shared" si="82"/>
        <v>2017/04/28 18:52:00</v>
      </c>
      <c r="G220" t="s">
        <v>1319</v>
      </c>
    </row>
    <row r="221" spans="1:35" x14ac:dyDescent="0.25">
      <c r="A221" s="3" t="s">
        <v>977</v>
      </c>
      <c r="B221" s="2">
        <v>1.1805555555555555E-2</v>
      </c>
      <c r="C221">
        <v>1.47</v>
      </c>
      <c r="F221" t="str">
        <f t="shared" si="82"/>
        <v>2017/04/29 00:17:00</v>
      </c>
      <c r="G221" t="s">
        <v>1320</v>
      </c>
    </row>
    <row r="222" spans="1:35" x14ac:dyDescent="0.25">
      <c r="A222" s="3" t="s">
        <v>978</v>
      </c>
      <c r="B222" s="2">
        <v>1.7361111111111112E-2</v>
      </c>
      <c r="C222">
        <v>0.91800000000000004</v>
      </c>
      <c r="F222" t="str">
        <f t="shared" si="82"/>
        <v>2017/04/30 00:25:00</v>
      </c>
      <c r="G222" t="s">
        <v>1321</v>
      </c>
    </row>
    <row r="223" spans="1:35" x14ac:dyDescent="0.25">
      <c r="A223" s="3" t="s">
        <v>979</v>
      </c>
      <c r="B223" s="2">
        <v>1.2500000000000001E-2</v>
      </c>
      <c r="C223">
        <v>0.504</v>
      </c>
      <c r="F223" t="str">
        <f t="shared" si="82"/>
        <v>2017/05/01 00:18:00</v>
      </c>
      <c r="G223" t="s">
        <v>1322</v>
      </c>
    </row>
    <row r="224" spans="1:35" x14ac:dyDescent="0.25">
      <c r="A224" s="3" t="s">
        <v>980</v>
      </c>
      <c r="B224" s="2">
        <v>2.1527777777777778E-2</v>
      </c>
      <c r="C224">
        <v>0.34200000000000003</v>
      </c>
      <c r="F224" t="str">
        <f t="shared" si="82"/>
        <v>2017/05/02 00:31:00</v>
      </c>
      <c r="G224" t="s">
        <v>1323</v>
      </c>
    </row>
    <row r="225" spans="1:35" x14ac:dyDescent="0.25">
      <c r="A225" s="3" t="s">
        <v>981</v>
      </c>
      <c r="B225" s="2">
        <v>0.41944444444444445</v>
      </c>
      <c r="C225">
        <v>7.0000000000000001E-3</v>
      </c>
      <c r="F225" t="str">
        <f t="shared" si="82"/>
        <v>2017/06/01 10:04:00</v>
      </c>
      <c r="G225" t="s">
        <v>1324</v>
      </c>
    </row>
    <row r="226" spans="1:35" s="12" customFormat="1" x14ac:dyDescent="0.25">
      <c r="A226" s="10" t="s">
        <v>981</v>
      </c>
      <c r="B226" s="9">
        <v>0.54722222222222228</v>
      </c>
      <c r="C226" s="12">
        <v>8.0000000000000002E-3</v>
      </c>
      <c r="F226" t="str">
        <f t="shared" si="82"/>
        <v>2017/06/01 13:08:00</v>
      </c>
      <c r="G226" s="12" t="s">
        <v>1325</v>
      </c>
      <c r="AH226" s="32"/>
      <c r="AI226"/>
    </row>
    <row r="227" spans="1:35" x14ac:dyDescent="0.25">
      <c r="A227" s="3" t="s">
        <v>982</v>
      </c>
      <c r="B227" s="2">
        <v>0.89166666666666672</v>
      </c>
      <c r="C227">
        <v>0.52360000000000007</v>
      </c>
      <c r="F227" t="str">
        <f t="shared" si="82"/>
        <v>2022/11/28 21:24:00</v>
      </c>
      <c r="G227" t="s">
        <v>1326</v>
      </c>
    </row>
    <row r="228" spans="1:35" x14ac:dyDescent="0.25">
      <c r="A228" s="3" t="s">
        <v>983</v>
      </c>
      <c r="B228" s="2">
        <v>4.1666666666666664E-2</v>
      </c>
      <c r="C228">
        <v>0.83160000000000001</v>
      </c>
      <c r="F228" t="str">
        <f t="shared" si="82"/>
        <v>2022/11/29 01:00:00</v>
      </c>
      <c r="G228" t="s">
        <v>1327</v>
      </c>
    </row>
    <row r="229" spans="1:35" x14ac:dyDescent="0.25">
      <c r="A229" s="3" t="s">
        <v>983</v>
      </c>
      <c r="B229" s="2">
        <v>0.7368055555555556</v>
      </c>
      <c r="C229">
        <v>0.69479999999999997</v>
      </c>
      <c r="F229" t="str">
        <f t="shared" si="82"/>
        <v>2022/11/29 17:41:00</v>
      </c>
      <c r="G229" t="s">
        <v>1328</v>
      </c>
    </row>
    <row r="230" spans="1:35" x14ac:dyDescent="0.25">
      <c r="A230" s="3" t="s">
        <v>984</v>
      </c>
      <c r="B230" s="2">
        <v>0.25694444444444442</v>
      </c>
      <c r="C230">
        <v>0.58340000000000003</v>
      </c>
      <c r="F230" t="str">
        <f t="shared" si="82"/>
        <v>2022/11/30 06:10:00</v>
      </c>
      <c r="G230" t="s">
        <v>1329</v>
      </c>
    </row>
    <row r="231" spans="1:35" x14ac:dyDescent="0.25">
      <c r="A231" s="3" t="s">
        <v>985</v>
      </c>
      <c r="B231" s="2">
        <v>2.0833333333333333E-3</v>
      </c>
      <c r="C231">
        <v>0.62370000000000003</v>
      </c>
      <c r="F231" t="str">
        <f t="shared" si="82"/>
        <v>2022/12/01 00:03:00</v>
      </c>
      <c r="G231" t="s">
        <v>1330</v>
      </c>
    </row>
    <row r="232" spans="1:35" x14ac:dyDescent="0.25">
      <c r="A232" s="3" t="s">
        <v>986</v>
      </c>
      <c r="B232" s="2">
        <v>0.24861111111111112</v>
      </c>
      <c r="C232">
        <v>0.46689999999999998</v>
      </c>
      <c r="F232" t="str">
        <f t="shared" si="82"/>
        <v>2022/12/02 05:58:00</v>
      </c>
      <c r="G232" t="s">
        <v>1331</v>
      </c>
    </row>
    <row r="233" spans="1:35" x14ac:dyDescent="0.25">
      <c r="A233" s="3" t="s">
        <v>987</v>
      </c>
      <c r="B233" s="2">
        <v>0.24236111111111111</v>
      </c>
      <c r="C233">
        <v>0.28570000000000001</v>
      </c>
      <c r="F233" t="str">
        <f t="shared" si="82"/>
        <v>2022/12/03 05:49:00</v>
      </c>
      <c r="G233" t="s">
        <v>1332</v>
      </c>
    </row>
    <row r="234" spans="1:35" x14ac:dyDescent="0.25">
      <c r="A234" s="3" t="s">
        <v>988</v>
      </c>
      <c r="B234" s="2">
        <v>2.7777777777777779E-3</v>
      </c>
      <c r="C234">
        <v>5.8200000000000002E-2</v>
      </c>
      <c r="F234" t="str">
        <f t="shared" si="82"/>
        <v>2022/12/05 00:04:00</v>
      </c>
      <c r="G234" t="s">
        <v>1333</v>
      </c>
    </row>
    <row r="235" spans="1:35" x14ac:dyDescent="0.25">
      <c r="A235" s="3" t="s">
        <v>989</v>
      </c>
      <c r="B235" s="2">
        <v>2.0833333333333333E-3</v>
      </c>
      <c r="C235">
        <v>3.15E-2</v>
      </c>
      <c r="F235" t="str">
        <f t="shared" si="82"/>
        <v>2022/12/06 00:03:00</v>
      </c>
      <c r="G235" t="s">
        <v>1334</v>
      </c>
    </row>
    <row r="236" spans="1:35" x14ac:dyDescent="0.25">
      <c r="A236" s="3" t="s">
        <v>989</v>
      </c>
      <c r="B236" s="2">
        <v>0.78749999999999998</v>
      </c>
      <c r="C236">
        <v>3.1399999999999997E-2</v>
      </c>
      <c r="F236" t="str">
        <f t="shared" si="82"/>
        <v>2022/12/06 18:54:00</v>
      </c>
      <c r="G236" t="s">
        <v>1335</v>
      </c>
    </row>
    <row r="237" spans="1:35" s="12" customFormat="1" x14ac:dyDescent="0.25">
      <c r="A237" s="10" t="s">
        <v>990</v>
      </c>
      <c r="B237" s="9">
        <v>0.44305555555555554</v>
      </c>
      <c r="C237" s="12">
        <v>3.15E-2</v>
      </c>
      <c r="F237" t="str">
        <f t="shared" si="82"/>
        <v>2022/12/07 10:38:00</v>
      </c>
      <c r="G237" s="12" t="s">
        <v>1336</v>
      </c>
      <c r="AH237" s="32"/>
      <c r="AI237"/>
    </row>
    <row r="238" spans="1:35" x14ac:dyDescent="0.25">
      <c r="A238" s="3" t="s">
        <v>991</v>
      </c>
      <c r="B238" s="2">
        <v>0.10486111111111111</v>
      </c>
      <c r="C238">
        <v>0.59599999999999997</v>
      </c>
      <c r="F238" t="str">
        <f t="shared" si="82"/>
        <v>2015/06/24 02:31:00</v>
      </c>
      <c r="G238" t="s">
        <v>1337</v>
      </c>
    </row>
    <row r="239" spans="1:35" x14ac:dyDescent="0.25">
      <c r="A239" s="3" t="s">
        <v>991</v>
      </c>
      <c r="B239" s="2">
        <v>0.10555555555555556</v>
      </c>
      <c r="C239">
        <v>5.22</v>
      </c>
      <c r="F239" t="str">
        <f t="shared" si="82"/>
        <v>2015/06/24 02:32:00</v>
      </c>
      <c r="G239" t="s">
        <v>1338</v>
      </c>
    </row>
    <row r="240" spans="1:35" x14ac:dyDescent="0.25">
      <c r="A240" s="3" t="s">
        <v>991</v>
      </c>
      <c r="B240" s="2">
        <v>0.67638888888888893</v>
      </c>
      <c r="C240">
        <v>11.77</v>
      </c>
      <c r="F240" t="str">
        <f t="shared" si="82"/>
        <v>2015/06/24 16:14:00</v>
      </c>
      <c r="G240" t="s">
        <v>1339</v>
      </c>
    </row>
    <row r="241" spans="1:35" x14ac:dyDescent="0.25">
      <c r="A241" s="3" t="s">
        <v>992</v>
      </c>
      <c r="B241" s="2">
        <v>8.3333333333333332E-3</v>
      </c>
      <c r="C241">
        <v>9.26</v>
      </c>
      <c r="F241" t="str">
        <f t="shared" si="82"/>
        <v>2015/06/25 00:12:00</v>
      </c>
      <c r="G241" t="s">
        <v>1340</v>
      </c>
    </row>
    <row r="242" spans="1:35" x14ac:dyDescent="0.25">
      <c r="A242" s="3" t="s">
        <v>993</v>
      </c>
      <c r="B242" s="2">
        <v>1.3888888888888888E-2</v>
      </c>
      <c r="C242">
        <v>7.76</v>
      </c>
      <c r="F242" t="str">
        <f t="shared" si="82"/>
        <v>2015/06/26 00:20:00</v>
      </c>
      <c r="G242" t="s">
        <v>1341</v>
      </c>
    </row>
    <row r="243" spans="1:35" x14ac:dyDescent="0.25">
      <c r="A243" s="3" t="s">
        <v>994</v>
      </c>
      <c r="B243" s="2">
        <v>3.472222222222222E-3</v>
      </c>
      <c r="C243">
        <v>6.64</v>
      </c>
      <c r="F243" t="str">
        <f t="shared" ref="F243:F305" si="96">TEXT(A243,"yyyy/mm/dd") &amp; " " &amp; TEXT(B243,"hh:mm:ss")</f>
        <v>2015/06/27 00:05:00</v>
      </c>
      <c r="G243" t="s">
        <v>1342</v>
      </c>
    </row>
    <row r="244" spans="1:35" x14ac:dyDescent="0.25">
      <c r="A244" s="3" t="s">
        <v>995</v>
      </c>
      <c r="B244" s="2">
        <v>1.3888888888888889E-3</v>
      </c>
      <c r="C244">
        <v>4.0199999999999996</v>
      </c>
      <c r="F244" t="str">
        <f t="shared" si="96"/>
        <v>2015/06/28 00:02:00</v>
      </c>
      <c r="G244" t="s">
        <v>1343</v>
      </c>
    </row>
    <row r="245" spans="1:35" x14ac:dyDescent="0.25">
      <c r="A245" s="3" t="s">
        <v>996</v>
      </c>
      <c r="B245" s="2">
        <v>4.1666666666666666E-3</v>
      </c>
      <c r="C245">
        <v>1.1599999999999999</v>
      </c>
      <c r="F245" t="str">
        <f t="shared" si="96"/>
        <v>2015/06/29 00:06:00</v>
      </c>
      <c r="G245" t="s">
        <v>1344</v>
      </c>
    </row>
    <row r="246" spans="1:35" x14ac:dyDescent="0.25">
      <c r="A246" s="3" t="s">
        <v>996</v>
      </c>
      <c r="B246" s="2">
        <v>0.85902777777777772</v>
      </c>
      <c r="C246">
        <v>0.56899999999999995</v>
      </c>
      <c r="F246" t="str">
        <f t="shared" si="96"/>
        <v>2015/06/29 20:37:00</v>
      </c>
      <c r="G246" t="s">
        <v>1345</v>
      </c>
    </row>
    <row r="247" spans="1:35" x14ac:dyDescent="0.25">
      <c r="A247" s="3" t="s">
        <v>997</v>
      </c>
      <c r="B247" s="2">
        <v>2.013888888888889E-2</v>
      </c>
      <c r="C247">
        <v>0.32500000000000001</v>
      </c>
      <c r="F247" t="str">
        <f t="shared" si="96"/>
        <v>2015/06/30 00:29:00</v>
      </c>
      <c r="G247" t="s">
        <v>1346</v>
      </c>
    </row>
    <row r="248" spans="1:35" s="12" customFormat="1" x14ac:dyDescent="0.25">
      <c r="A248" s="10" t="s">
        <v>998</v>
      </c>
      <c r="B248" s="9">
        <v>0.36944444444444446</v>
      </c>
      <c r="C248" s="12">
        <v>0.14299999999999999</v>
      </c>
      <c r="F248" t="str">
        <f t="shared" si="96"/>
        <v>2015/07/01 08:52:00</v>
      </c>
      <c r="G248" s="12" t="s">
        <v>1347</v>
      </c>
      <c r="AH248" s="32"/>
      <c r="AI248"/>
    </row>
    <row r="249" spans="1:35" x14ac:dyDescent="0.25">
      <c r="A249" s="3" t="s">
        <v>999</v>
      </c>
      <c r="B249" s="2">
        <v>0.59791666666666665</v>
      </c>
      <c r="C249">
        <v>7.6619999999999999</v>
      </c>
      <c r="F249" t="str">
        <f t="shared" si="96"/>
        <v>2021/03/31 14:21:00</v>
      </c>
      <c r="G249" t="s">
        <v>1348</v>
      </c>
    </row>
    <row r="250" spans="1:35" x14ac:dyDescent="0.25">
      <c r="A250" s="3" t="s">
        <v>999</v>
      </c>
      <c r="B250" s="2">
        <v>0.81180555555555556</v>
      </c>
      <c r="C250">
        <v>11.834</v>
      </c>
      <c r="F250" t="str">
        <f t="shared" si="96"/>
        <v>2021/03/31 19:29:00</v>
      </c>
      <c r="G250" t="s">
        <v>1349</v>
      </c>
    </row>
    <row r="251" spans="1:35" x14ac:dyDescent="0.25">
      <c r="A251" s="3" t="s">
        <v>1000</v>
      </c>
      <c r="B251" s="2">
        <v>1.2500000000000001E-2</v>
      </c>
      <c r="C251">
        <v>5.907</v>
      </c>
      <c r="F251" t="str">
        <f t="shared" si="96"/>
        <v>2021/04/01 00:18:00</v>
      </c>
      <c r="G251" t="s">
        <v>1350</v>
      </c>
    </row>
    <row r="252" spans="1:35" x14ac:dyDescent="0.25">
      <c r="A252" s="3" t="s">
        <v>1001</v>
      </c>
      <c r="B252" s="2">
        <v>4.2361111111111113E-2</v>
      </c>
      <c r="C252">
        <v>3.8010000000000002</v>
      </c>
      <c r="F252" t="str">
        <f t="shared" si="96"/>
        <v>2021/04/02 01:01:00</v>
      </c>
      <c r="G252" t="s">
        <v>1351</v>
      </c>
    </row>
    <row r="253" spans="1:35" x14ac:dyDescent="0.25">
      <c r="A253" s="3" t="s">
        <v>1002</v>
      </c>
      <c r="B253" s="2">
        <v>1.4583333333333334E-2</v>
      </c>
      <c r="C253">
        <v>3.09</v>
      </c>
      <c r="F253" t="str">
        <f t="shared" si="96"/>
        <v>2021/04/03 00:21:00</v>
      </c>
      <c r="G253" t="s">
        <v>1352</v>
      </c>
    </row>
    <row r="254" spans="1:35" x14ac:dyDescent="0.25">
      <c r="A254" s="3" t="s">
        <v>1003</v>
      </c>
      <c r="B254" s="2">
        <v>0.23333333333333334</v>
      </c>
      <c r="C254">
        <v>2.7349999999999999</v>
      </c>
      <c r="F254" t="str">
        <f t="shared" si="96"/>
        <v>2021/04/04 05:36:00</v>
      </c>
      <c r="G254" t="s">
        <v>1353</v>
      </c>
    </row>
    <row r="255" spans="1:35" x14ac:dyDescent="0.25">
      <c r="A255" s="3" t="s">
        <v>1004</v>
      </c>
      <c r="B255" s="2">
        <v>1.3888888888888889E-3</v>
      </c>
      <c r="C255">
        <v>2.105</v>
      </c>
      <c r="F255" t="str">
        <f t="shared" si="96"/>
        <v>2021/04/05 00:02:00</v>
      </c>
      <c r="G255" t="s">
        <v>1354</v>
      </c>
    </row>
    <row r="256" spans="1:35" x14ac:dyDescent="0.25">
      <c r="A256" s="3" t="s">
        <v>1005</v>
      </c>
      <c r="B256" s="2">
        <v>2.0833333333333333E-3</v>
      </c>
      <c r="C256">
        <v>1.5029999999999999</v>
      </c>
      <c r="F256" t="str">
        <f t="shared" si="96"/>
        <v>2021/04/06 00:03:00</v>
      </c>
      <c r="G256" t="s">
        <v>1355</v>
      </c>
    </row>
    <row r="257" spans="1:35" s="12" customFormat="1" x14ac:dyDescent="0.25">
      <c r="A257" s="10" t="s">
        <v>1006</v>
      </c>
      <c r="B257" s="9">
        <v>1.3888888888888889E-3</v>
      </c>
      <c r="C257" s="12">
        <v>1.08</v>
      </c>
      <c r="F257" t="str">
        <f t="shared" si="96"/>
        <v>2021/04/07 00:02:00</v>
      </c>
      <c r="G257" s="12" t="s">
        <v>1356</v>
      </c>
      <c r="AH257" s="32"/>
      <c r="AI257"/>
    </row>
    <row r="258" spans="1:35" x14ac:dyDescent="0.25">
      <c r="A258" s="3" t="s">
        <v>352</v>
      </c>
      <c r="B258" s="2">
        <v>0.7944444444444444</v>
      </c>
      <c r="C258">
        <v>5.0490000000000004</v>
      </c>
      <c r="F258" t="str">
        <f t="shared" si="96"/>
        <v>2021/05/02 19:04:00</v>
      </c>
      <c r="G258" t="s">
        <v>1357</v>
      </c>
    </row>
    <row r="259" spans="1:35" x14ac:dyDescent="0.25">
      <c r="A259" s="3" t="s">
        <v>352</v>
      </c>
      <c r="B259" s="2">
        <v>0.9868055555555556</v>
      </c>
      <c r="C259">
        <v>18.513000000000002</v>
      </c>
      <c r="F259" t="str">
        <f t="shared" si="96"/>
        <v>2021/05/02 23:41:00</v>
      </c>
      <c r="G259" t="s">
        <v>1358</v>
      </c>
    </row>
    <row r="260" spans="1:35" x14ac:dyDescent="0.25">
      <c r="A260" s="3" t="s">
        <v>353</v>
      </c>
      <c r="B260" s="2">
        <v>9.0277777777777769E-3</v>
      </c>
      <c r="C260">
        <v>13.888999999999999</v>
      </c>
      <c r="F260" t="str">
        <f t="shared" si="96"/>
        <v>2021/05/03 00:13:00</v>
      </c>
      <c r="G260" t="s">
        <v>1359</v>
      </c>
    </row>
    <row r="261" spans="1:35" x14ac:dyDescent="0.25">
      <c r="A261" s="3" t="s">
        <v>1007</v>
      </c>
      <c r="B261" s="2">
        <v>1.6666666666666666E-2</v>
      </c>
      <c r="C261">
        <v>5.8490000000000002</v>
      </c>
      <c r="F261" t="str">
        <f t="shared" si="96"/>
        <v>2021/05/04 00:24:00</v>
      </c>
      <c r="G261" t="s">
        <v>1360</v>
      </c>
    </row>
    <row r="262" spans="1:35" x14ac:dyDescent="0.25">
      <c r="A262" s="3" t="s">
        <v>1008</v>
      </c>
      <c r="B262" s="2">
        <v>1.3888888888888889E-3</v>
      </c>
      <c r="C262">
        <v>7.09</v>
      </c>
      <c r="F262" t="str">
        <f t="shared" si="96"/>
        <v>2021/05/05 00:02:00</v>
      </c>
      <c r="G262" t="s">
        <v>1361</v>
      </c>
    </row>
    <row r="263" spans="1:35" x14ac:dyDescent="0.25">
      <c r="A263" s="3" t="s">
        <v>1009</v>
      </c>
      <c r="B263" s="2">
        <v>6.9444444444444441E-3</v>
      </c>
      <c r="C263">
        <v>7.0830000000000002</v>
      </c>
      <c r="F263" t="str">
        <f t="shared" si="96"/>
        <v>2021/05/06 00:10:00</v>
      </c>
      <c r="G263" t="s">
        <v>1362</v>
      </c>
    </row>
    <row r="264" spans="1:35" x14ac:dyDescent="0.25">
      <c r="A264" s="3" t="s">
        <v>1010</v>
      </c>
      <c r="B264" s="2">
        <v>4.8611111111111112E-3</v>
      </c>
      <c r="C264">
        <v>4.766</v>
      </c>
      <c r="F264" t="str">
        <f t="shared" si="96"/>
        <v>2021/05/07 00:07:00</v>
      </c>
      <c r="G264" t="s">
        <v>1363</v>
      </c>
    </row>
    <row r="265" spans="1:35" x14ac:dyDescent="0.25">
      <c r="A265" s="3" t="s">
        <v>1011</v>
      </c>
      <c r="B265" s="2">
        <v>0.24791666666666667</v>
      </c>
      <c r="C265">
        <v>2.1429999999999998</v>
      </c>
      <c r="F265" t="str">
        <f t="shared" si="96"/>
        <v>2021/05/08 05:57:00</v>
      </c>
      <c r="G265" t="s">
        <v>1364</v>
      </c>
    </row>
    <row r="266" spans="1:35" x14ac:dyDescent="0.25">
      <c r="A266" s="3" t="s">
        <v>1012</v>
      </c>
      <c r="B266" s="2">
        <v>2.0833333333333333E-3</v>
      </c>
      <c r="C266">
        <v>1.026</v>
      </c>
      <c r="F266" t="str">
        <f t="shared" si="96"/>
        <v>2021/05/09 00:03:00</v>
      </c>
      <c r="G266" t="s">
        <v>1365</v>
      </c>
    </row>
    <row r="267" spans="1:35" x14ac:dyDescent="0.25">
      <c r="A267" s="3" t="s">
        <v>1013</v>
      </c>
      <c r="B267" s="2">
        <v>2.7777777777777779E-3</v>
      </c>
      <c r="C267">
        <v>0.50239999999999996</v>
      </c>
      <c r="F267" t="str">
        <f t="shared" si="96"/>
        <v>2021/05/10 00:04:00</v>
      </c>
      <c r="G267" t="s">
        <v>1366</v>
      </c>
    </row>
    <row r="268" spans="1:35" x14ac:dyDescent="0.25">
      <c r="A268" s="3" t="s">
        <v>1013</v>
      </c>
      <c r="B268" s="2">
        <v>0.76875000000000004</v>
      </c>
      <c r="C268">
        <v>0.44869999999999999</v>
      </c>
      <c r="F268" t="str">
        <f t="shared" si="96"/>
        <v>2021/05/10 18:27:00</v>
      </c>
      <c r="G268" t="s">
        <v>1367</v>
      </c>
    </row>
    <row r="269" spans="1:35" s="12" customFormat="1" x14ac:dyDescent="0.25">
      <c r="A269" s="10" t="s">
        <v>1014</v>
      </c>
      <c r="B269" s="9">
        <v>8.3333333333333332E-3</v>
      </c>
      <c r="C269" s="12">
        <v>0.31850000000000001</v>
      </c>
      <c r="F269" t="str">
        <f t="shared" si="96"/>
        <v>2021/05/11 00:12:00</v>
      </c>
      <c r="G269" s="12" t="s">
        <v>1368</v>
      </c>
      <c r="AH269" s="32"/>
      <c r="AI269"/>
    </row>
    <row r="270" spans="1:35" x14ac:dyDescent="0.25">
      <c r="A270" s="3" t="s">
        <v>1015</v>
      </c>
      <c r="B270" s="2">
        <v>0.91249999999999998</v>
      </c>
      <c r="C270">
        <v>4.9000000000000002E-2</v>
      </c>
      <c r="F270" t="str">
        <f t="shared" si="96"/>
        <v>2021/06/30 21:54:00</v>
      </c>
      <c r="G270" t="s">
        <v>1369</v>
      </c>
    </row>
    <row r="271" spans="1:35" x14ac:dyDescent="0.25">
      <c r="A271" s="3" t="s">
        <v>1016</v>
      </c>
      <c r="B271" s="2">
        <v>2.0833333333333332E-2</v>
      </c>
      <c r="C271">
        <v>4.6459999999999999</v>
      </c>
      <c r="F271" t="str">
        <f t="shared" si="96"/>
        <v>2021/07/01 00:30:00</v>
      </c>
      <c r="G271" t="s">
        <v>1370</v>
      </c>
    </row>
    <row r="272" spans="1:35" x14ac:dyDescent="0.25">
      <c r="A272" s="3" t="s">
        <v>1016</v>
      </c>
      <c r="B272" s="2">
        <v>0.73819444444444449</v>
      </c>
      <c r="C272">
        <v>3.8660000000000001</v>
      </c>
      <c r="F272" t="str">
        <f t="shared" si="96"/>
        <v>2021/07/01 17:43:00</v>
      </c>
      <c r="G272" t="s">
        <v>1371</v>
      </c>
    </row>
    <row r="273" spans="1:35" x14ac:dyDescent="0.25">
      <c r="A273" s="3" t="s">
        <v>1017</v>
      </c>
      <c r="B273" s="2">
        <v>1.1111111111111112E-2</v>
      </c>
      <c r="C273">
        <v>3.7450000000000001</v>
      </c>
      <c r="F273" t="str">
        <f t="shared" si="96"/>
        <v>2021/07/02 00:16:00</v>
      </c>
      <c r="G273" t="s">
        <v>1372</v>
      </c>
    </row>
    <row r="274" spans="1:35" x14ac:dyDescent="0.25">
      <c r="A274" s="3" t="s">
        <v>1018</v>
      </c>
      <c r="B274" s="2">
        <v>2.5000000000000001E-2</v>
      </c>
      <c r="C274">
        <v>4.24</v>
      </c>
      <c r="F274" t="str">
        <f t="shared" si="96"/>
        <v>2021/07/03 00:36:00</v>
      </c>
      <c r="G274" t="s">
        <v>1373</v>
      </c>
    </row>
    <row r="275" spans="1:35" x14ac:dyDescent="0.25">
      <c r="A275" s="3" t="s">
        <v>1019</v>
      </c>
      <c r="B275" s="2">
        <v>2.2222222222222223E-2</v>
      </c>
      <c r="C275">
        <v>3.9580000000000002</v>
      </c>
      <c r="F275" t="str">
        <f t="shared" si="96"/>
        <v>2021/07/04 00:32:00</v>
      </c>
      <c r="G275" t="s">
        <v>1374</v>
      </c>
    </row>
    <row r="276" spans="1:35" x14ac:dyDescent="0.25">
      <c r="A276" s="3" t="s">
        <v>1020</v>
      </c>
      <c r="B276" s="2">
        <v>1.5972222222222221E-2</v>
      </c>
      <c r="C276">
        <v>1.337</v>
      </c>
      <c r="F276" t="str">
        <f t="shared" si="96"/>
        <v>2021/07/05 00:23:00</v>
      </c>
      <c r="G276" t="s">
        <v>1375</v>
      </c>
    </row>
    <row r="277" spans="1:35" x14ac:dyDescent="0.25">
      <c r="A277" s="3" t="s">
        <v>1020</v>
      </c>
      <c r="B277" s="2">
        <v>0.75972222222222219</v>
      </c>
      <c r="C277">
        <v>0.76279999999999992</v>
      </c>
      <c r="F277" t="str">
        <f t="shared" si="96"/>
        <v>2021/07/05 18:14:00</v>
      </c>
      <c r="G277" t="s">
        <v>1376</v>
      </c>
    </row>
    <row r="278" spans="1:35" x14ac:dyDescent="0.25">
      <c r="A278" s="3" t="s">
        <v>1021</v>
      </c>
      <c r="B278" s="2">
        <v>2.013888888888889E-2</v>
      </c>
      <c r="C278">
        <v>0.50670000000000004</v>
      </c>
      <c r="F278" t="str">
        <f t="shared" si="96"/>
        <v>2021/07/06 00:29:00</v>
      </c>
      <c r="G278" t="s">
        <v>1377</v>
      </c>
    </row>
    <row r="279" spans="1:35" s="12" customFormat="1" x14ac:dyDescent="0.25">
      <c r="A279" s="10" t="s">
        <v>1022</v>
      </c>
      <c r="B279" s="9">
        <v>4.1666666666666666E-3</v>
      </c>
      <c r="C279" s="12">
        <v>0.30410000000000004</v>
      </c>
      <c r="F279" t="str">
        <f t="shared" si="96"/>
        <v>2021/07/07 00:06:00</v>
      </c>
      <c r="G279" s="12" t="s">
        <v>1378</v>
      </c>
      <c r="AH279" s="32"/>
      <c r="AI279"/>
    </row>
    <row r="280" spans="1:35" x14ac:dyDescent="0.25">
      <c r="A280" s="3" t="s">
        <v>124</v>
      </c>
      <c r="B280" s="2">
        <v>0.35625000000000001</v>
      </c>
      <c r="C280">
        <v>0.1113</v>
      </c>
      <c r="F280" t="str">
        <f t="shared" si="96"/>
        <v>2021/08/22 08:33:00</v>
      </c>
      <c r="G280" t="s">
        <v>1379</v>
      </c>
    </row>
    <row r="281" spans="1:35" x14ac:dyDescent="0.25">
      <c r="A281" s="3" t="s">
        <v>124</v>
      </c>
      <c r="B281" s="2">
        <v>0.59097222222222223</v>
      </c>
      <c r="C281">
        <v>0.38889999999999997</v>
      </c>
      <c r="F281" t="str">
        <f t="shared" si="96"/>
        <v>2021/08/22 14:11:00</v>
      </c>
      <c r="G281" t="s">
        <v>1380</v>
      </c>
    </row>
    <row r="282" spans="1:35" x14ac:dyDescent="0.25">
      <c r="A282" s="3" t="s">
        <v>354</v>
      </c>
      <c r="B282" s="2">
        <v>1.6666666666666666E-2</v>
      </c>
      <c r="C282">
        <v>0.57940000000000003</v>
      </c>
      <c r="F282" t="str">
        <f t="shared" si="96"/>
        <v>2021/08/23 00:24:00</v>
      </c>
      <c r="G282" t="s">
        <v>1381</v>
      </c>
    </row>
    <row r="283" spans="1:35" x14ac:dyDescent="0.25">
      <c r="A283" s="3" t="s">
        <v>355</v>
      </c>
      <c r="B283" s="2">
        <v>1.6666666666666666E-2</v>
      </c>
      <c r="C283">
        <v>0.52390000000000003</v>
      </c>
      <c r="F283" t="str">
        <f t="shared" si="96"/>
        <v>2021/08/24 00:24:00</v>
      </c>
      <c r="G283" t="s">
        <v>668</v>
      </c>
    </row>
    <row r="284" spans="1:35" x14ac:dyDescent="0.25">
      <c r="A284" s="3" t="s">
        <v>356</v>
      </c>
      <c r="B284" s="2">
        <v>9.0277777777777769E-3</v>
      </c>
      <c r="C284">
        <v>0.51870000000000005</v>
      </c>
      <c r="F284" t="str">
        <f t="shared" si="96"/>
        <v>2021/08/25 00:13:00</v>
      </c>
      <c r="G284" t="s">
        <v>669</v>
      </c>
    </row>
    <row r="285" spans="1:35" x14ac:dyDescent="0.25">
      <c r="A285" s="3" t="s">
        <v>357</v>
      </c>
      <c r="B285" s="2">
        <v>1.1805555555555555E-2</v>
      </c>
      <c r="C285">
        <v>0.37519999999999998</v>
      </c>
      <c r="F285" t="str">
        <f t="shared" si="96"/>
        <v>2021/08/26 00:17:00</v>
      </c>
      <c r="G285" t="s">
        <v>1382</v>
      </c>
    </row>
    <row r="286" spans="1:35" x14ac:dyDescent="0.25">
      <c r="A286" s="3" t="s">
        <v>1023</v>
      </c>
      <c r="B286" s="2">
        <v>0.24166666666666667</v>
      </c>
      <c r="C286">
        <v>0.19490000000000002</v>
      </c>
      <c r="F286" t="str">
        <f t="shared" si="96"/>
        <v>2021/08/27 05:48:00</v>
      </c>
      <c r="G286" t="s">
        <v>1383</v>
      </c>
    </row>
    <row r="287" spans="1:35" x14ac:dyDescent="0.25">
      <c r="A287" s="3" t="s">
        <v>1024</v>
      </c>
      <c r="B287" s="2">
        <v>1.3888888888888889E-3</v>
      </c>
      <c r="C287">
        <v>8.7800000000000003E-2</v>
      </c>
      <c r="F287" t="str">
        <f t="shared" si="96"/>
        <v>2021/08/28 00:02:00</v>
      </c>
      <c r="G287" t="s">
        <v>1384</v>
      </c>
    </row>
    <row r="288" spans="1:35" x14ac:dyDescent="0.25">
      <c r="A288" s="3" t="s">
        <v>1025</v>
      </c>
      <c r="B288" s="2">
        <v>2.0833333333333333E-3</v>
      </c>
      <c r="C288">
        <v>4.0500000000000001E-2</v>
      </c>
      <c r="F288" t="str">
        <f t="shared" si="96"/>
        <v>2021/08/29 00:03:00</v>
      </c>
      <c r="G288" t="s">
        <v>1385</v>
      </c>
    </row>
    <row r="289" spans="1:35" x14ac:dyDescent="0.25">
      <c r="A289" s="3" t="s">
        <v>1026</v>
      </c>
      <c r="B289" s="2">
        <v>0.25347222222222221</v>
      </c>
      <c r="C289">
        <v>2.0500000000000001E-2</v>
      </c>
      <c r="F289" t="str">
        <f t="shared" si="96"/>
        <v>2021/08/30 06:05:00</v>
      </c>
      <c r="G289" t="s">
        <v>1386</v>
      </c>
    </row>
    <row r="290" spans="1:35" x14ac:dyDescent="0.25">
      <c r="A290" s="3" t="s">
        <v>1027</v>
      </c>
      <c r="B290" s="2">
        <v>0.23749999999999999</v>
      </c>
      <c r="C290">
        <v>1.3599999999999999E-2</v>
      </c>
      <c r="F290" t="str">
        <f t="shared" si="96"/>
        <v>2021/08/31 05:42:00</v>
      </c>
      <c r="G290" t="s">
        <v>1387</v>
      </c>
    </row>
    <row r="291" spans="1:35" x14ac:dyDescent="0.25">
      <c r="A291" s="3" t="s">
        <v>1028</v>
      </c>
      <c r="B291" s="2">
        <v>0.24305555555555555</v>
      </c>
      <c r="C291">
        <v>8.0999999999999996E-3</v>
      </c>
      <c r="F291" t="str">
        <f t="shared" si="96"/>
        <v>2021/09/01 05:50:00</v>
      </c>
      <c r="G291" t="s">
        <v>1388</v>
      </c>
    </row>
    <row r="292" spans="1:35" x14ac:dyDescent="0.25">
      <c r="A292" s="3" t="s">
        <v>1029</v>
      </c>
      <c r="B292" s="2">
        <v>1.3888888888888889E-3</v>
      </c>
      <c r="C292">
        <v>6.7000000000000002E-3</v>
      </c>
      <c r="F292" t="str">
        <f t="shared" si="96"/>
        <v>2021/09/02 00:02:00</v>
      </c>
      <c r="G292" t="s">
        <v>1389</v>
      </c>
    </row>
    <row r="293" spans="1:35" x14ac:dyDescent="0.25">
      <c r="A293" s="3" t="s">
        <v>1030</v>
      </c>
      <c r="B293" s="2">
        <v>2.7777777777777779E-3</v>
      </c>
      <c r="C293">
        <v>6.7000000000000002E-3</v>
      </c>
      <c r="F293" t="str">
        <f t="shared" si="96"/>
        <v>2021/09/03 00:04:00</v>
      </c>
      <c r="G293" t="s">
        <v>1390</v>
      </c>
    </row>
    <row r="294" spans="1:35" x14ac:dyDescent="0.25">
      <c r="A294" s="3" t="s">
        <v>1031</v>
      </c>
      <c r="B294" s="2">
        <v>0.24444444444444444</v>
      </c>
      <c r="C294">
        <v>5.9000000000000007E-3</v>
      </c>
      <c r="F294" t="str">
        <f t="shared" si="96"/>
        <v>2021/09/05 05:52:00</v>
      </c>
      <c r="G294" t="s">
        <v>1391</v>
      </c>
    </row>
    <row r="295" spans="1:35" x14ac:dyDescent="0.25">
      <c r="A295" s="3" t="s">
        <v>1032</v>
      </c>
      <c r="B295" s="2">
        <v>0.24027777777777778</v>
      </c>
      <c r="C295">
        <v>5.9000000000000007E-3</v>
      </c>
      <c r="F295" t="str">
        <f t="shared" si="96"/>
        <v>2021/09/06 05:46:00</v>
      </c>
      <c r="G295" t="s">
        <v>1392</v>
      </c>
    </row>
    <row r="296" spans="1:35" s="12" customFormat="1" x14ac:dyDescent="0.25">
      <c r="A296" s="10" t="s">
        <v>1033</v>
      </c>
      <c r="B296" s="9">
        <v>3.472222222222222E-3</v>
      </c>
      <c r="C296" s="12">
        <v>7.1999999999999998E-3</v>
      </c>
      <c r="F296" t="str">
        <f t="shared" si="96"/>
        <v>2021/09/07 00:05:00</v>
      </c>
      <c r="G296" s="12" t="s">
        <v>1393</v>
      </c>
      <c r="AH296" s="32"/>
      <c r="AI296"/>
    </row>
    <row r="297" spans="1:35" x14ac:dyDescent="0.25">
      <c r="A297" s="3" t="s">
        <v>126</v>
      </c>
      <c r="B297" s="2">
        <v>0.52986111111111112</v>
      </c>
      <c r="C297">
        <v>1.016</v>
      </c>
      <c r="F297" t="str">
        <f t="shared" si="96"/>
        <v>2021/05/12 12:43:00</v>
      </c>
      <c r="G297" t="s">
        <v>1394</v>
      </c>
    </row>
    <row r="298" spans="1:35" x14ac:dyDescent="0.25">
      <c r="A298" s="3" t="s">
        <v>126</v>
      </c>
      <c r="B298" s="2">
        <v>0.60486111111111107</v>
      </c>
      <c r="C298">
        <v>1.111</v>
      </c>
      <c r="F298" t="str">
        <f t="shared" si="96"/>
        <v>2021/05/12 14:31:00</v>
      </c>
      <c r="G298" t="s">
        <v>1395</v>
      </c>
    </row>
    <row r="299" spans="1:35" x14ac:dyDescent="0.25">
      <c r="A299" s="3" t="s">
        <v>358</v>
      </c>
      <c r="B299" s="2">
        <v>3.888888888888889E-2</v>
      </c>
      <c r="C299">
        <v>0.69029999999999991</v>
      </c>
      <c r="F299" t="str">
        <f t="shared" si="96"/>
        <v>2021/05/13 00:56:00</v>
      </c>
      <c r="G299" t="s">
        <v>1396</v>
      </c>
    </row>
    <row r="300" spans="1:35" x14ac:dyDescent="0.25">
      <c r="A300" s="3" t="s">
        <v>359</v>
      </c>
      <c r="B300" s="2">
        <v>9.7222222222222224E-3</v>
      </c>
      <c r="C300">
        <v>0.51149999999999995</v>
      </c>
      <c r="F300" t="str">
        <f t="shared" si="96"/>
        <v>2021/05/14 00:14:00</v>
      </c>
      <c r="G300" t="s">
        <v>677</v>
      </c>
    </row>
    <row r="301" spans="1:35" x14ac:dyDescent="0.25">
      <c r="A301" s="3" t="s">
        <v>360</v>
      </c>
      <c r="B301" s="2">
        <v>1.6666666666666666E-2</v>
      </c>
      <c r="C301">
        <v>0.53910000000000002</v>
      </c>
      <c r="F301" t="str">
        <f t="shared" si="96"/>
        <v>2021/05/15 00:24:00</v>
      </c>
      <c r="G301" t="s">
        <v>678</v>
      </c>
    </row>
    <row r="302" spans="1:35" x14ac:dyDescent="0.25">
      <c r="A302" s="3" t="s">
        <v>361</v>
      </c>
      <c r="B302" s="2">
        <v>0</v>
      </c>
      <c r="C302">
        <v>0.58120000000000005</v>
      </c>
      <c r="F302" t="str">
        <f t="shared" si="96"/>
        <v>2021/05/16 00:00:00</v>
      </c>
      <c r="G302" t="s">
        <v>679</v>
      </c>
    </row>
    <row r="303" spans="1:35" x14ac:dyDescent="0.25">
      <c r="A303" s="3" t="s">
        <v>362</v>
      </c>
      <c r="B303" s="2">
        <v>1.3888888888888889E-3</v>
      </c>
      <c r="C303">
        <v>0.40810000000000002</v>
      </c>
      <c r="F303" t="str">
        <f t="shared" si="96"/>
        <v>2021/05/17 00:02:00</v>
      </c>
      <c r="G303" t="s">
        <v>680</v>
      </c>
    </row>
    <row r="304" spans="1:35" s="12" customFormat="1" x14ac:dyDescent="0.25">
      <c r="A304" s="10" t="s">
        <v>1034</v>
      </c>
      <c r="B304" s="9">
        <v>0.24444444444444444</v>
      </c>
      <c r="C304" s="12">
        <v>0.25209999999999999</v>
      </c>
      <c r="F304" t="str">
        <f t="shared" si="96"/>
        <v>2021/05/18 05:52:00</v>
      </c>
      <c r="G304" s="12" t="s">
        <v>1397</v>
      </c>
      <c r="AH304" s="32"/>
      <c r="AI304"/>
    </row>
    <row r="305" spans="1:7" x14ac:dyDescent="0.25">
      <c r="A305" s="3" t="s">
        <v>1035</v>
      </c>
      <c r="B305" s="2">
        <v>0.7104166666666667</v>
      </c>
      <c r="C305">
        <v>0.11899999999999999</v>
      </c>
      <c r="F305" t="str">
        <f t="shared" si="96"/>
        <v>2021/07/27 17:03:00</v>
      </c>
      <c r="G305" t="s">
        <v>1398</v>
      </c>
    </row>
    <row r="306" spans="1:7" x14ac:dyDescent="0.25">
      <c r="A306" s="3" t="s">
        <v>1035</v>
      </c>
      <c r="B306" s="2">
        <v>0.90347222222222223</v>
      </c>
      <c r="C306">
        <v>24.481999999999999</v>
      </c>
      <c r="F306" t="str">
        <f t="shared" ref="F306:F369" si="97">TEXT(A306,"yyyy/mm/dd") &amp; " " &amp; TEXT(B306,"hh:mm:ss")</f>
        <v>2021/07/27 21:41:00</v>
      </c>
      <c r="G306" t="s">
        <v>1399</v>
      </c>
    </row>
    <row r="307" spans="1:7" x14ac:dyDescent="0.25">
      <c r="A307" s="3" t="s">
        <v>1036</v>
      </c>
      <c r="B307" s="2">
        <v>1.7361111111111112E-2</v>
      </c>
      <c r="C307">
        <v>20.134</v>
      </c>
      <c r="F307" t="str">
        <f t="shared" si="97"/>
        <v>2021/07/28 00:25:00</v>
      </c>
      <c r="G307" t="s">
        <v>1400</v>
      </c>
    </row>
    <row r="308" spans="1:7" x14ac:dyDescent="0.25">
      <c r="A308" s="3" t="s">
        <v>1036</v>
      </c>
      <c r="B308" s="2">
        <v>1.8055555555555554E-2</v>
      </c>
      <c r="C308">
        <v>10.571</v>
      </c>
      <c r="F308" t="str">
        <f t="shared" si="97"/>
        <v>2021/07/28 00:26:00</v>
      </c>
      <c r="G308" t="s">
        <v>1401</v>
      </c>
    </row>
    <row r="309" spans="1:7" x14ac:dyDescent="0.25">
      <c r="A309" s="3" t="s">
        <v>1037</v>
      </c>
      <c r="B309" s="2">
        <v>2.361111111111111E-2</v>
      </c>
      <c r="C309">
        <v>3.9540000000000002</v>
      </c>
      <c r="F309" t="str">
        <f t="shared" si="97"/>
        <v>2021/07/29 00:34:00</v>
      </c>
      <c r="G309" t="s">
        <v>1402</v>
      </c>
    </row>
    <row r="310" spans="1:7" x14ac:dyDescent="0.25">
      <c r="A310" s="3" t="s">
        <v>1038</v>
      </c>
      <c r="B310" s="2">
        <v>2.0833333333333332E-2</v>
      </c>
      <c r="C310">
        <v>3.3519999999999999</v>
      </c>
      <c r="F310" t="str">
        <f t="shared" si="97"/>
        <v>2021/07/30 00:30:00</v>
      </c>
      <c r="G310" t="s">
        <v>1403</v>
      </c>
    </row>
    <row r="311" spans="1:7" x14ac:dyDescent="0.25">
      <c r="A311" s="3" t="s">
        <v>1039</v>
      </c>
      <c r="B311" s="2">
        <v>3.4027777777777775E-2</v>
      </c>
      <c r="C311">
        <v>3.9950000000000001</v>
      </c>
      <c r="F311" t="str">
        <f t="shared" si="97"/>
        <v>2021/07/31 00:49:00</v>
      </c>
      <c r="G311" t="s">
        <v>1404</v>
      </c>
    </row>
    <row r="312" spans="1:7" x14ac:dyDescent="0.25">
      <c r="A312" s="3" t="s">
        <v>1040</v>
      </c>
      <c r="B312" s="2">
        <v>6.9444444444444441E-3</v>
      </c>
      <c r="C312">
        <v>3.51</v>
      </c>
      <c r="F312" t="str">
        <f t="shared" si="97"/>
        <v>2021/08/01 00:10:00</v>
      </c>
      <c r="G312" t="s">
        <v>1405</v>
      </c>
    </row>
    <row r="313" spans="1:7" x14ac:dyDescent="0.25">
      <c r="A313" s="3" t="s">
        <v>1041</v>
      </c>
      <c r="B313" s="2">
        <v>6.9444444444444441E-3</v>
      </c>
      <c r="C313">
        <v>2.7730000000000001</v>
      </c>
      <c r="F313" t="str">
        <f t="shared" si="97"/>
        <v>2021/08/02 00:10:00</v>
      </c>
      <c r="G313" t="s">
        <v>1406</v>
      </c>
    </row>
    <row r="314" spans="1:7" x14ac:dyDescent="0.25">
      <c r="A314" s="3" t="s">
        <v>1042</v>
      </c>
      <c r="B314" s="2">
        <v>3.1944444444444442E-2</v>
      </c>
      <c r="C314">
        <v>2.2869999999999999</v>
      </c>
      <c r="F314" t="str">
        <f t="shared" si="97"/>
        <v>2021/08/03 00:46:00</v>
      </c>
      <c r="G314" t="s">
        <v>1407</v>
      </c>
    </row>
    <row r="315" spans="1:7" x14ac:dyDescent="0.25">
      <c r="A315" s="3" t="s">
        <v>1043</v>
      </c>
      <c r="B315" s="2">
        <v>0.34930555555555554</v>
      </c>
      <c r="C315">
        <v>1.4319999999999999</v>
      </c>
      <c r="F315" t="str">
        <f t="shared" si="97"/>
        <v>2021/08/04 08:23:00</v>
      </c>
      <c r="G315" t="s">
        <v>1408</v>
      </c>
    </row>
    <row r="316" spans="1:7" x14ac:dyDescent="0.25">
      <c r="A316" s="3" t="s">
        <v>1044</v>
      </c>
      <c r="B316" s="2">
        <v>6.9444444444444447E-4</v>
      </c>
      <c r="C316">
        <v>0.96789999999999998</v>
      </c>
      <c r="F316" t="str">
        <f t="shared" si="97"/>
        <v>2021/08/05 00:01:00</v>
      </c>
      <c r="G316" t="s">
        <v>1409</v>
      </c>
    </row>
    <row r="317" spans="1:7" x14ac:dyDescent="0.25">
      <c r="A317" s="3" t="s">
        <v>1045</v>
      </c>
      <c r="B317" s="2">
        <v>2.0833333333333333E-3</v>
      </c>
      <c r="C317">
        <v>0.55489999999999995</v>
      </c>
      <c r="F317" t="str">
        <f t="shared" si="97"/>
        <v>2021/08/06 00:03:00</v>
      </c>
      <c r="G317" t="s">
        <v>1410</v>
      </c>
    </row>
    <row r="318" spans="1:7" x14ac:dyDescent="0.25">
      <c r="A318" s="3" t="s">
        <v>1046</v>
      </c>
      <c r="B318" s="2">
        <v>9.0277777777777769E-3</v>
      </c>
      <c r="C318">
        <v>0.34789999999999999</v>
      </c>
      <c r="F318" t="str">
        <f t="shared" si="97"/>
        <v>2021/08/07 00:13:00</v>
      </c>
      <c r="G318" t="s">
        <v>1411</v>
      </c>
    </row>
    <row r="319" spans="1:7" x14ac:dyDescent="0.25">
      <c r="A319" s="3" t="s">
        <v>1047</v>
      </c>
      <c r="B319" s="2">
        <v>5.5555555555555558E-3</v>
      </c>
      <c r="C319">
        <v>0.20330000000000001</v>
      </c>
      <c r="F319" t="str">
        <f t="shared" si="97"/>
        <v>2021/08/08 00:08:00</v>
      </c>
      <c r="G319" t="s">
        <v>1412</v>
      </c>
    </row>
    <row r="320" spans="1:7" x14ac:dyDescent="0.25">
      <c r="A320" s="3" t="s">
        <v>1048</v>
      </c>
      <c r="B320" s="2">
        <v>4.8611111111111112E-3</v>
      </c>
      <c r="C320">
        <v>0.12969999999999998</v>
      </c>
      <c r="F320" t="str">
        <f t="shared" si="97"/>
        <v>2021/08/09 00:07:00</v>
      </c>
      <c r="G320" t="s">
        <v>1413</v>
      </c>
    </row>
    <row r="321" spans="1:35" x14ac:dyDescent="0.25">
      <c r="A321" s="3" t="s">
        <v>1049</v>
      </c>
      <c r="B321" s="2">
        <v>3.472222222222222E-3</v>
      </c>
      <c r="C321">
        <v>7.1199999999999999E-2</v>
      </c>
      <c r="F321" t="str">
        <f t="shared" si="97"/>
        <v>2021/08/10 00:05:00</v>
      </c>
      <c r="G321" t="s">
        <v>1414</v>
      </c>
    </row>
    <row r="322" spans="1:35" x14ac:dyDescent="0.25">
      <c r="A322" s="3" t="s">
        <v>1050</v>
      </c>
      <c r="B322" s="2">
        <v>2.0833333333333333E-3</v>
      </c>
      <c r="C322">
        <v>5.4600000000000003E-2</v>
      </c>
      <c r="F322" t="str">
        <f t="shared" si="97"/>
        <v>2021/08/11 00:03:00</v>
      </c>
      <c r="G322" t="s">
        <v>1415</v>
      </c>
    </row>
    <row r="323" spans="1:35" x14ac:dyDescent="0.25">
      <c r="A323" s="3" t="s">
        <v>1051</v>
      </c>
      <c r="B323" s="2">
        <v>0.23958333333333334</v>
      </c>
      <c r="C323">
        <v>4.07E-2</v>
      </c>
      <c r="F323" t="str">
        <f t="shared" si="97"/>
        <v>2021/08/12 05:45:00</v>
      </c>
      <c r="G323" t="s">
        <v>1416</v>
      </c>
    </row>
    <row r="324" spans="1:35" x14ac:dyDescent="0.25">
      <c r="A324" s="3" t="s">
        <v>1052</v>
      </c>
      <c r="B324" s="2">
        <v>3.472222222222222E-3</v>
      </c>
      <c r="C324">
        <v>3.1699999999999999E-2</v>
      </c>
      <c r="F324" t="str">
        <f t="shared" si="97"/>
        <v>2021/08/13 00:05:00</v>
      </c>
      <c r="G324" t="s">
        <v>1417</v>
      </c>
    </row>
    <row r="325" spans="1:35" x14ac:dyDescent="0.25">
      <c r="A325" s="3" t="s">
        <v>1053</v>
      </c>
      <c r="B325" s="2">
        <v>4.1666666666666666E-3</v>
      </c>
      <c r="C325">
        <v>2.8899999999999999E-2</v>
      </c>
      <c r="F325" t="str">
        <f t="shared" si="97"/>
        <v>2021/08/14 00:06:00</v>
      </c>
      <c r="G325" t="s">
        <v>1418</v>
      </c>
    </row>
    <row r="326" spans="1:35" x14ac:dyDescent="0.25">
      <c r="A326" s="3" t="s">
        <v>1054</v>
      </c>
      <c r="B326" s="2">
        <v>0.25347222222222221</v>
      </c>
      <c r="C326">
        <v>2.41E-2</v>
      </c>
      <c r="F326" t="str">
        <f t="shared" si="97"/>
        <v>2021/08/15 06:05:00</v>
      </c>
      <c r="G326" t="s">
        <v>1419</v>
      </c>
    </row>
    <row r="327" spans="1:35" s="12" customFormat="1" x14ac:dyDescent="0.25">
      <c r="A327" s="10" t="s">
        <v>1055</v>
      </c>
      <c r="B327" s="9">
        <v>0.25069444444444444</v>
      </c>
      <c r="C327" s="12">
        <v>2.2100000000000002E-2</v>
      </c>
      <c r="F327" t="str">
        <f t="shared" si="97"/>
        <v>2021/08/16 06:01:00</v>
      </c>
      <c r="G327" s="12" t="s">
        <v>1420</v>
      </c>
      <c r="AH327" s="32"/>
      <c r="AI327"/>
    </row>
    <row r="328" spans="1:35" x14ac:dyDescent="0.25">
      <c r="A328" s="3" t="s">
        <v>1005</v>
      </c>
      <c r="B328" s="2">
        <v>0.65416666666666667</v>
      </c>
      <c r="C328">
        <v>3.3849999999999998</v>
      </c>
      <c r="F328" t="str">
        <f t="shared" si="97"/>
        <v>2021/04/06 15:42:00</v>
      </c>
      <c r="G328" t="s">
        <v>1421</v>
      </c>
    </row>
    <row r="329" spans="1:35" x14ac:dyDescent="0.25">
      <c r="A329" s="3" t="s">
        <v>1005</v>
      </c>
      <c r="B329" s="2">
        <v>0.9506944444444444</v>
      </c>
      <c r="C329">
        <v>1.736</v>
      </c>
      <c r="F329" t="str">
        <f t="shared" si="97"/>
        <v>2021/04/06 22:49:00</v>
      </c>
      <c r="G329" t="s">
        <v>1422</v>
      </c>
    </row>
    <row r="330" spans="1:35" x14ac:dyDescent="0.25">
      <c r="A330" s="3" t="s">
        <v>1006</v>
      </c>
      <c r="B330" s="2">
        <v>3.6111111111111108E-2</v>
      </c>
      <c r="C330">
        <v>0.96</v>
      </c>
      <c r="F330" t="str">
        <f t="shared" si="97"/>
        <v>2021/04/07 00:52:00</v>
      </c>
      <c r="G330" t="s">
        <v>1423</v>
      </c>
    </row>
    <row r="331" spans="1:35" x14ac:dyDescent="0.25">
      <c r="A331" s="3" t="s">
        <v>1056</v>
      </c>
      <c r="B331" s="2">
        <v>2.5000000000000001E-2</v>
      </c>
      <c r="C331">
        <v>0.57989999999999997</v>
      </c>
      <c r="F331" t="str">
        <f t="shared" si="97"/>
        <v>2021/04/08 00:36:00</v>
      </c>
      <c r="G331" t="s">
        <v>1424</v>
      </c>
    </row>
    <row r="332" spans="1:35" x14ac:dyDescent="0.25">
      <c r="A332" s="3" t="s">
        <v>1057</v>
      </c>
      <c r="B332" s="2">
        <v>1.1805555555555555E-2</v>
      </c>
      <c r="C332">
        <v>0.53979999999999995</v>
      </c>
      <c r="F332" t="str">
        <f t="shared" si="97"/>
        <v>2021/04/09 00:17:00</v>
      </c>
      <c r="G332" t="s">
        <v>1425</v>
      </c>
    </row>
    <row r="333" spans="1:35" x14ac:dyDescent="0.25">
      <c r="A333" s="3" t="s">
        <v>1058</v>
      </c>
      <c r="B333" s="2">
        <v>2.7083333333333334E-2</v>
      </c>
      <c r="C333">
        <v>0.44110000000000005</v>
      </c>
      <c r="F333" t="str">
        <f t="shared" si="97"/>
        <v>2021/04/10 00:39:00</v>
      </c>
      <c r="G333" t="s">
        <v>1426</v>
      </c>
    </row>
    <row r="334" spans="1:35" x14ac:dyDescent="0.25">
      <c r="A334" s="3" t="s">
        <v>1059</v>
      </c>
      <c r="B334" s="2">
        <v>6.9444444444444447E-4</v>
      </c>
      <c r="C334">
        <v>0.28079999999999999</v>
      </c>
      <c r="F334" t="str">
        <f t="shared" si="97"/>
        <v>2021/04/11 00:01:00</v>
      </c>
      <c r="G334" t="s">
        <v>1427</v>
      </c>
    </row>
    <row r="335" spans="1:35" x14ac:dyDescent="0.25">
      <c r="A335" s="3" t="s">
        <v>1060</v>
      </c>
      <c r="B335" s="2">
        <v>1.3888888888888889E-3</v>
      </c>
      <c r="C335">
        <v>0.1681</v>
      </c>
      <c r="F335" t="str">
        <f t="shared" si="97"/>
        <v>2021/04/12 00:02:00</v>
      </c>
      <c r="G335" t="s">
        <v>1428</v>
      </c>
    </row>
    <row r="336" spans="1:35" x14ac:dyDescent="0.25">
      <c r="A336" s="3" t="s">
        <v>1060</v>
      </c>
      <c r="B336" s="2">
        <v>0.69652777777777775</v>
      </c>
      <c r="C336">
        <v>0.13440000000000002</v>
      </c>
      <c r="F336" t="str">
        <f t="shared" si="97"/>
        <v>2021/04/12 16:43:00</v>
      </c>
      <c r="G336" t="s">
        <v>1429</v>
      </c>
    </row>
    <row r="337" spans="1:35" s="12" customFormat="1" x14ac:dyDescent="0.25">
      <c r="A337" s="10" t="s">
        <v>1061</v>
      </c>
      <c r="B337" s="9">
        <v>0.23402777777777778</v>
      </c>
      <c r="C337" s="12">
        <v>0.10290000000000001</v>
      </c>
      <c r="F337" t="str">
        <f t="shared" si="97"/>
        <v>2021/04/13 05:37:00</v>
      </c>
      <c r="G337" s="12" t="s">
        <v>1430</v>
      </c>
      <c r="AH337" s="32"/>
      <c r="AI337"/>
    </row>
    <row r="338" spans="1:35" x14ac:dyDescent="0.25">
      <c r="A338" s="3" t="s">
        <v>1022</v>
      </c>
      <c r="B338" s="2">
        <v>0.9604166666666667</v>
      </c>
      <c r="C338">
        <v>0.88690000000000002</v>
      </c>
      <c r="F338" t="str">
        <f t="shared" si="97"/>
        <v>2021/07/07 23:03:00</v>
      </c>
      <c r="G338" t="s">
        <v>1431</v>
      </c>
    </row>
    <row r="339" spans="1:35" x14ac:dyDescent="0.25">
      <c r="A339" s="3" t="s">
        <v>1062</v>
      </c>
      <c r="B339" s="2">
        <v>1.2500000000000001E-2</v>
      </c>
      <c r="C339">
        <v>1.5720000000000001</v>
      </c>
      <c r="F339" t="str">
        <f t="shared" si="97"/>
        <v>2021/07/08 00:18:00</v>
      </c>
      <c r="G339" t="s">
        <v>1432</v>
      </c>
    </row>
    <row r="340" spans="1:35" x14ac:dyDescent="0.25">
      <c r="A340" s="3" t="s">
        <v>1063</v>
      </c>
      <c r="B340" s="2">
        <v>1.8749999999999999E-2</v>
      </c>
      <c r="C340">
        <v>0.48669999999999997</v>
      </c>
      <c r="F340" t="str">
        <f t="shared" si="97"/>
        <v>2021/07/09 00:27:00</v>
      </c>
      <c r="G340" t="s">
        <v>1433</v>
      </c>
    </row>
    <row r="341" spans="1:35" x14ac:dyDescent="0.25">
      <c r="A341" s="3" t="s">
        <v>1064</v>
      </c>
      <c r="B341" s="2">
        <v>1.8055555555555554E-2</v>
      </c>
      <c r="C341">
        <v>0.40899999999999997</v>
      </c>
      <c r="F341" t="str">
        <f t="shared" si="97"/>
        <v>2021/07/10 00:26:00</v>
      </c>
      <c r="G341" t="s">
        <v>1434</v>
      </c>
    </row>
    <row r="342" spans="1:35" x14ac:dyDescent="0.25">
      <c r="A342" s="3" t="s">
        <v>1065</v>
      </c>
      <c r="B342" s="2">
        <v>5.5555555555555558E-3</v>
      </c>
      <c r="C342">
        <v>0.3775</v>
      </c>
      <c r="F342" t="str">
        <f t="shared" si="97"/>
        <v>2021/07/11 00:08:00</v>
      </c>
      <c r="G342" t="s">
        <v>1435</v>
      </c>
    </row>
    <row r="343" spans="1:35" x14ac:dyDescent="0.25">
      <c r="A343" s="3" t="s">
        <v>1066</v>
      </c>
      <c r="B343" s="2">
        <v>6.9444444444444441E-3</v>
      </c>
      <c r="C343">
        <v>0.29480000000000001</v>
      </c>
      <c r="F343" t="str">
        <f t="shared" si="97"/>
        <v>2021/07/12 00:10:00</v>
      </c>
      <c r="G343" t="s">
        <v>1436</v>
      </c>
    </row>
    <row r="344" spans="1:35" x14ac:dyDescent="0.25">
      <c r="A344" s="3" t="s">
        <v>1067</v>
      </c>
      <c r="B344" s="2">
        <v>2.361111111111111E-2</v>
      </c>
      <c r="C344">
        <v>0.19400000000000001</v>
      </c>
      <c r="F344" t="str">
        <f t="shared" si="97"/>
        <v>2021/07/13 00:34:00</v>
      </c>
      <c r="G344" t="s">
        <v>1437</v>
      </c>
    </row>
    <row r="345" spans="1:35" x14ac:dyDescent="0.25">
      <c r="A345" s="3" t="s">
        <v>1068</v>
      </c>
      <c r="B345" s="2">
        <v>3.472222222222222E-3</v>
      </c>
      <c r="C345">
        <v>0.15580000000000002</v>
      </c>
      <c r="F345" t="str">
        <f t="shared" si="97"/>
        <v>2021/07/14 00:05:00</v>
      </c>
      <c r="G345" t="s">
        <v>1438</v>
      </c>
    </row>
    <row r="346" spans="1:35" s="12" customFormat="1" x14ac:dyDescent="0.25">
      <c r="A346" s="10" t="s">
        <v>1069</v>
      </c>
      <c r="B346" s="9">
        <v>2.7777777777777779E-3</v>
      </c>
      <c r="C346" s="12">
        <v>8.9700000000000002E-2</v>
      </c>
      <c r="F346" t="str">
        <f t="shared" si="97"/>
        <v>2021/07/15 00:04:00</v>
      </c>
      <c r="G346" s="12" t="s">
        <v>1439</v>
      </c>
      <c r="AH346" s="32"/>
      <c r="AI346"/>
    </row>
    <row r="347" spans="1:35" x14ac:dyDescent="0.25">
      <c r="A347" s="3" t="s">
        <v>1066</v>
      </c>
      <c r="B347" s="2">
        <v>0.95763888888888893</v>
      </c>
      <c r="C347">
        <v>1.3</v>
      </c>
      <c r="F347" t="str">
        <f t="shared" si="97"/>
        <v>2021/07/12 22:59:00</v>
      </c>
      <c r="G347" t="s">
        <v>1440</v>
      </c>
    </row>
    <row r="348" spans="1:35" x14ac:dyDescent="0.25">
      <c r="A348" s="3" t="s">
        <v>1067</v>
      </c>
      <c r="B348" s="2">
        <v>2.361111111111111E-2</v>
      </c>
      <c r="C348">
        <v>12.04</v>
      </c>
      <c r="F348" t="str">
        <f t="shared" si="97"/>
        <v>2021/07/13 00:34:00</v>
      </c>
      <c r="G348" t="s">
        <v>1437</v>
      </c>
    </row>
    <row r="349" spans="1:35" x14ac:dyDescent="0.25">
      <c r="A349" s="3" t="s">
        <v>1067</v>
      </c>
      <c r="B349" s="2">
        <v>6.25E-2</v>
      </c>
      <c r="C349">
        <v>11.773</v>
      </c>
      <c r="F349" t="str">
        <f t="shared" si="97"/>
        <v>2021/07/13 01:30:00</v>
      </c>
      <c r="G349" t="s">
        <v>1441</v>
      </c>
    </row>
    <row r="350" spans="1:35" x14ac:dyDescent="0.25">
      <c r="A350" s="3" t="s">
        <v>1067</v>
      </c>
      <c r="B350" s="2">
        <v>0.74861111111111112</v>
      </c>
      <c r="C350">
        <v>8.2460000000000004</v>
      </c>
      <c r="F350" t="str">
        <f t="shared" si="97"/>
        <v>2021/07/13 17:58:00</v>
      </c>
      <c r="G350" t="s">
        <v>1442</v>
      </c>
    </row>
    <row r="351" spans="1:35" x14ac:dyDescent="0.25">
      <c r="A351" s="3" t="s">
        <v>1068</v>
      </c>
      <c r="B351" s="2">
        <v>3.472222222222222E-3</v>
      </c>
      <c r="C351">
        <v>6.476</v>
      </c>
      <c r="F351" t="str">
        <f t="shared" si="97"/>
        <v>2021/07/14 00:05:00</v>
      </c>
      <c r="G351" t="s">
        <v>1438</v>
      </c>
    </row>
    <row r="352" spans="1:35" x14ac:dyDescent="0.25">
      <c r="A352" s="3" t="s">
        <v>1069</v>
      </c>
      <c r="B352" s="2">
        <v>1.4583333333333334E-2</v>
      </c>
      <c r="C352">
        <v>7.5469999999999997</v>
      </c>
      <c r="F352" t="str">
        <f t="shared" si="97"/>
        <v>2021/07/15 00:21:00</v>
      </c>
      <c r="G352" t="s">
        <v>1443</v>
      </c>
    </row>
    <row r="353" spans="1:35" x14ac:dyDescent="0.25">
      <c r="A353" s="3" t="s">
        <v>1070</v>
      </c>
      <c r="B353" s="2">
        <v>1.2500000000000001E-2</v>
      </c>
      <c r="C353">
        <v>6.67</v>
      </c>
      <c r="F353" t="str">
        <f t="shared" si="97"/>
        <v>2021/07/16 00:18:00</v>
      </c>
      <c r="G353" t="s">
        <v>1444</v>
      </c>
    </row>
    <row r="354" spans="1:35" x14ac:dyDescent="0.25">
      <c r="A354" s="3" t="s">
        <v>1071</v>
      </c>
      <c r="B354" s="2">
        <v>2.7777777777777779E-3</v>
      </c>
      <c r="C354">
        <v>4.484</v>
      </c>
      <c r="F354" t="str">
        <f t="shared" si="97"/>
        <v>2021/07/17 00:04:00</v>
      </c>
      <c r="G354" t="s">
        <v>1445</v>
      </c>
    </row>
    <row r="355" spans="1:35" x14ac:dyDescent="0.25">
      <c r="A355" s="3" t="s">
        <v>1072</v>
      </c>
      <c r="B355" s="2">
        <v>1.0416666666666666E-2</v>
      </c>
      <c r="C355">
        <v>1.7070000000000001</v>
      </c>
      <c r="F355" t="str">
        <f t="shared" si="97"/>
        <v>2021/07/18 00:15:00</v>
      </c>
      <c r="G355" t="s">
        <v>1446</v>
      </c>
    </row>
    <row r="356" spans="1:35" s="12" customFormat="1" x14ac:dyDescent="0.25">
      <c r="A356" s="10" t="s">
        <v>1073</v>
      </c>
      <c r="B356" s="9">
        <v>6.9444444444444447E-4</v>
      </c>
      <c r="C356" s="12">
        <v>0.94450000000000001</v>
      </c>
      <c r="F356" t="str">
        <f t="shared" si="97"/>
        <v>2021/07/19 00:01:00</v>
      </c>
      <c r="G356" s="12" t="s">
        <v>1447</v>
      </c>
      <c r="AH356" s="32"/>
      <c r="AI356"/>
    </row>
    <row r="357" spans="1:35" x14ac:dyDescent="0.25">
      <c r="A357" s="3" t="s">
        <v>1074</v>
      </c>
      <c r="B357" s="2">
        <v>0.66805555555555551</v>
      </c>
      <c r="C357">
        <v>0.52900000000000003</v>
      </c>
      <c r="F357" t="str">
        <f t="shared" si="97"/>
        <v>2018/04/06 16:02:00</v>
      </c>
      <c r="G357" t="s">
        <v>1448</v>
      </c>
    </row>
    <row r="358" spans="1:35" x14ac:dyDescent="0.25">
      <c r="A358" s="3" t="s">
        <v>1074</v>
      </c>
      <c r="B358" s="2">
        <v>0.90625</v>
      </c>
      <c r="C358">
        <v>1.94</v>
      </c>
      <c r="F358" t="str">
        <f t="shared" si="97"/>
        <v>2018/04/06 21:45:00</v>
      </c>
      <c r="G358" t="s">
        <v>1449</v>
      </c>
    </row>
    <row r="359" spans="1:35" x14ac:dyDescent="0.25">
      <c r="A359" s="3" t="s">
        <v>1075</v>
      </c>
      <c r="B359" s="2">
        <v>3.472222222222222E-3</v>
      </c>
      <c r="C359">
        <v>2.11</v>
      </c>
      <c r="F359" t="str">
        <f t="shared" si="97"/>
        <v>2018/04/07 00:05:00</v>
      </c>
      <c r="G359" t="s">
        <v>1450</v>
      </c>
    </row>
    <row r="360" spans="1:35" x14ac:dyDescent="0.25">
      <c r="A360" s="3" t="s">
        <v>112</v>
      </c>
      <c r="B360" s="2">
        <v>9.0277777777777769E-3</v>
      </c>
      <c r="C360">
        <v>1.29</v>
      </c>
      <c r="F360" t="str">
        <f t="shared" si="97"/>
        <v>2018/04/08 00:13:00</v>
      </c>
      <c r="G360" t="s">
        <v>1451</v>
      </c>
    </row>
    <row r="361" spans="1:35" x14ac:dyDescent="0.25">
      <c r="A361" s="3" t="s">
        <v>285</v>
      </c>
      <c r="B361" s="2">
        <v>1.8055555555555554E-2</v>
      </c>
      <c r="C361">
        <v>1.1599999999999999</v>
      </c>
      <c r="F361" t="str">
        <f t="shared" si="97"/>
        <v>2018/04/09 00:26:00</v>
      </c>
      <c r="G361" t="s">
        <v>1452</v>
      </c>
    </row>
    <row r="362" spans="1:35" x14ac:dyDescent="0.25">
      <c r="A362" s="3" t="s">
        <v>286</v>
      </c>
      <c r="B362" s="2">
        <v>6.9444444444444441E-3</v>
      </c>
      <c r="C362">
        <v>0.78700000000000003</v>
      </c>
      <c r="F362" t="str">
        <f t="shared" si="97"/>
        <v>2018/04/10 00:10:00</v>
      </c>
      <c r="G362" t="s">
        <v>1453</v>
      </c>
    </row>
    <row r="363" spans="1:35" s="12" customFormat="1" x14ac:dyDescent="0.25">
      <c r="A363" s="10" t="s">
        <v>287</v>
      </c>
      <c r="B363" s="9">
        <v>5.5555555555555558E-3</v>
      </c>
      <c r="C363" s="12">
        <v>0.312</v>
      </c>
      <c r="F363" t="str">
        <f t="shared" si="97"/>
        <v>2018/04/11 00:08:00</v>
      </c>
      <c r="G363" s="12" t="s">
        <v>568</v>
      </c>
      <c r="AH363" s="32"/>
      <c r="AI363"/>
    </row>
    <row r="364" spans="1:35" x14ac:dyDescent="0.25">
      <c r="A364" s="3" t="s">
        <v>1076</v>
      </c>
      <c r="B364" s="2">
        <v>0.48749999999999999</v>
      </c>
      <c r="C364">
        <v>2.09</v>
      </c>
      <c r="F364" t="str">
        <f t="shared" si="97"/>
        <v>2019/02/19 11:42:00</v>
      </c>
      <c r="G364" t="s">
        <v>1454</v>
      </c>
    </row>
    <row r="365" spans="1:35" x14ac:dyDescent="0.25">
      <c r="A365" s="3" t="s">
        <v>1076</v>
      </c>
      <c r="B365" s="5">
        <v>0.72847222222222219</v>
      </c>
      <c r="C365">
        <v>6.96</v>
      </c>
      <c r="F365" t="str">
        <f t="shared" si="97"/>
        <v>2019/02/19 17:29:00</v>
      </c>
      <c r="G365" t="s">
        <v>1455</v>
      </c>
    </row>
    <row r="366" spans="1:35" x14ac:dyDescent="0.25">
      <c r="A366" s="3" t="s">
        <v>1077</v>
      </c>
      <c r="B366" s="2">
        <v>4.8611111111111112E-3</v>
      </c>
      <c r="C366">
        <v>5.99</v>
      </c>
      <c r="F366" t="str">
        <f t="shared" si="97"/>
        <v>2019/02/20 00:07:00</v>
      </c>
      <c r="G366" t="s">
        <v>1456</v>
      </c>
    </row>
    <row r="367" spans="1:35" x14ac:dyDescent="0.25">
      <c r="A367" s="3" t="s">
        <v>1078</v>
      </c>
      <c r="B367" s="2">
        <v>1.1805555555555555E-2</v>
      </c>
      <c r="C367">
        <v>7.67</v>
      </c>
      <c r="F367" t="str">
        <f t="shared" si="97"/>
        <v>2019/02/21 00:17:00</v>
      </c>
      <c r="G367" t="s">
        <v>1457</v>
      </c>
    </row>
    <row r="368" spans="1:35" x14ac:dyDescent="0.25">
      <c r="A368" s="3" t="s">
        <v>1079</v>
      </c>
      <c r="B368" s="2">
        <v>1.1805555555555555E-2</v>
      </c>
      <c r="C368">
        <v>9.27</v>
      </c>
      <c r="F368" t="str">
        <f t="shared" si="97"/>
        <v>2019/02/22 00:17:00</v>
      </c>
      <c r="G368" t="s">
        <v>1458</v>
      </c>
    </row>
    <row r="369" spans="1:35" x14ac:dyDescent="0.25">
      <c r="A369" s="3" t="s">
        <v>103</v>
      </c>
      <c r="B369" s="2">
        <v>1.1111111111111112E-2</v>
      </c>
      <c r="C369">
        <v>7.56</v>
      </c>
      <c r="F369" t="str">
        <f t="shared" si="97"/>
        <v>2019/02/23 00:16:00</v>
      </c>
      <c r="G369" t="s">
        <v>1459</v>
      </c>
    </row>
    <row r="370" spans="1:35" x14ac:dyDescent="0.25">
      <c r="A370" s="3" t="s">
        <v>243</v>
      </c>
      <c r="B370" s="2">
        <v>0.48819444444444443</v>
      </c>
      <c r="C370">
        <v>3.29</v>
      </c>
      <c r="F370" t="str">
        <f t="shared" ref="F370:F433" si="98">TEXT(A370,"yyyy/mm/dd") &amp; " " &amp; TEXT(B370,"hh:mm:ss")</f>
        <v>2019/02/24 11:43:00</v>
      </c>
      <c r="G370" t="s">
        <v>1460</v>
      </c>
    </row>
    <row r="371" spans="1:35" x14ac:dyDescent="0.25">
      <c r="A371" s="3" t="s">
        <v>244</v>
      </c>
      <c r="B371" s="2">
        <v>1.5972222222222221E-2</v>
      </c>
      <c r="C371">
        <v>1.71</v>
      </c>
      <c r="F371" t="str">
        <f t="shared" si="98"/>
        <v>2019/02/25 00:23:00</v>
      </c>
      <c r="G371" t="s">
        <v>497</v>
      </c>
    </row>
    <row r="372" spans="1:35" s="12" customFormat="1" x14ac:dyDescent="0.25">
      <c r="A372" s="10" t="s">
        <v>245</v>
      </c>
      <c r="B372" s="9">
        <v>3.472222222222222E-3</v>
      </c>
      <c r="C372" s="12">
        <v>0.65700000000000003</v>
      </c>
      <c r="F372" t="str">
        <f t="shared" si="98"/>
        <v>2019/02/26 00:05:00</v>
      </c>
      <c r="G372" s="12" t="s">
        <v>1461</v>
      </c>
      <c r="AH372" s="32"/>
      <c r="AI372"/>
    </row>
    <row r="373" spans="1:35" x14ac:dyDescent="0.25">
      <c r="A373" s="3" t="s">
        <v>191</v>
      </c>
      <c r="B373" s="5">
        <v>4.2361111111111113E-2</v>
      </c>
      <c r="C373">
        <v>2.536</v>
      </c>
      <c r="F373" t="str">
        <f t="shared" si="98"/>
        <v>2019/10/31 01:01:00</v>
      </c>
      <c r="G373" t="s">
        <v>1462</v>
      </c>
    </row>
    <row r="374" spans="1:35" x14ac:dyDescent="0.25">
      <c r="A374" s="3" t="s">
        <v>191</v>
      </c>
      <c r="B374" s="2">
        <v>5.6250000000000001E-2</v>
      </c>
      <c r="C374">
        <v>4.4800000000000004</v>
      </c>
      <c r="F374" t="str">
        <f t="shared" si="98"/>
        <v>2019/10/31 01:21:00</v>
      </c>
      <c r="G374" t="s">
        <v>1463</v>
      </c>
    </row>
    <row r="375" spans="1:35" x14ac:dyDescent="0.25">
      <c r="A375" s="3" t="s">
        <v>191</v>
      </c>
      <c r="B375" s="2">
        <v>0.65277777777777779</v>
      </c>
      <c r="C375">
        <v>3.879</v>
      </c>
      <c r="F375" t="str">
        <f t="shared" si="98"/>
        <v>2019/10/31 15:40:00</v>
      </c>
      <c r="G375" t="s">
        <v>1464</v>
      </c>
    </row>
    <row r="376" spans="1:35" x14ac:dyDescent="0.25">
      <c r="A376" s="3" t="s">
        <v>1080</v>
      </c>
      <c r="B376" s="2">
        <v>0.10347222222222222</v>
      </c>
      <c r="C376">
        <v>2.552</v>
      </c>
      <c r="F376" t="str">
        <f t="shared" si="98"/>
        <v>2019/11/01 02:29:00</v>
      </c>
      <c r="G376" t="s">
        <v>1465</v>
      </c>
    </row>
    <row r="377" spans="1:35" x14ac:dyDescent="0.25">
      <c r="A377" s="3" t="s">
        <v>1081</v>
      </c>
      <c r="B377" s="2">
        <v>2.013888888888889E-2</v>
      </c>
      <c r="C377">
        <v>3.5009999999999999</v>
      </c>
      <c r="F377" t="str">
        <f t="shared" si="98"/>
        <v>2019/11/02 00:29:00</v>
      </c>
      <c r="G377" t="s">
        <v>1466</v>
      </c>
    </row>
    <row r="378" spans="1:35" x14ac:dyDescent="0.25">
      <c r="A378" s="3" t="s">
        <v>1082</v>
      </c>
      <c r="B378" s="2">
        <v>2.1527777777777778E-2</v>
      </c>
      <c r="C378">
        <v>4.6900000000000004</v>
      </c>
      <c r="F378" t="str">
        <f t="shared" si="98"/>
        <v>2019/11/03 00:31:00</v>
      </c>
      <c r="G378" t="s">
        <v>1467</v>
      </c>
    </row>
    <row r="379" spans="1:35" x14ac:dyDescent="0.25">
      <c r="A379" s="3" t="s">
        <v>1083</v>
      </c>
      <c r="B379" s="2">
        <v>2.7777777777777779E-3</v>
      </c>
      <c r="C379">
        <v>4.72</v>
      </c>
      <c r="F379" t="str">
        <f t="shared" si="98"/>
        <v>2019/11/04 00:04:00</v>
      </c>
      <c r="G379" t="s">
        <v>1468</v>
      </c>
    </row>
    <row r="380" spans="1:35" x14ac:dyDescent="0.25">
      <c r="A380" s="3" t="s">
        <v>1084</v>
      </c>
      <c r="B380" s="2">
        <v>1.3888888888888888E-2</v>
      </c>
      <c r="C380">
        <v>3.1459999999999999</v>
      </c>
      <c r="F380" t="str">
        <f t="shared" si="98"/>
        <v>2019/11/05 00:20:00</v>
      </c>
      <c r="G380" t="s">
        <v>1469</v>
      </c>
    </row>
    <row r="381" spans="1:35" x14ac:dyDescent="0.25">
      <c r="A381" s="3" t="s">
        <v>1085</v>
      </c>
      <c r="B381" s="2">
        <v>2.7777777777777779E-3</v>
      </c>
      <c r="C381">
        <v>1.7649999999999999</v>
      </c>
      <c r="F381" t="str">
        <f t="shared" si="98"/>
        <v>2019/11/06 00:04:00</v>
      </c>
      <c r="G381" t="s">
        <v>1470</v>
      </c>
    </row>
    <row r="382" spans="1:35" x14ac:dyDescent="0.25">
      <c r="A382" s="3" t="s">
        <v>1086</v>
      </c>
      <c r="B382" s="2">
        <v>3.472222222222222E-3</v>
      </c>
      <c r="C382">
        <v>0.90539999999999998</v>
      </c>
      <c r="F382" t="str">
        <f t="shared" si="98"/>
        <v>2019/11/07 00:05:00</v>
      </c>
      <c r="G382" t="s">
        <v>1471</v>
      </c>
    </row>
    <row r="383" spans="1:35" x14ac:dyDescent="0.25">
      <c r="A383" s="3" t="s">
        <v>1087</v>
      </c>
      <c r="B383" s="2">
        <v>3.472222222222222E-3</v>
      </c>
      <c r="C383">
        <v>0.48380000000000001</v>
      </c>
      <c r="F383" t="str">
        <f t="shared" si="98"/>
        <v>2019/11/08 00:05:00</v>
      </c>
      <c r="G383" t="s">
        <v>1472</v>
      </c>
    </row>
    <row r="384" spans="1:35" x14ac:dyDescent="0.25">
      <c r="A384" s="3" t="s">
        <v>1088</v>
      </c>
      <c r="B384" s="2">
        <v>2.7777777777777779E-3</v>
      </c>
      <c r="C384">
        <v>0.25939999999999996</v>
      </c>
      <c r="F384" t="str">
        <f t="shared" si="98"/>
        <v>2019/11/09 00:04:00</v>
      </c>
      <c r="G384" t="s">
        <v>1473</v>
      </c>
    </row>
    <row r="385" spans="1:35" x14ac:dyDescent="0.25">
      <c r="A385" s="3" t="s">
        <v>1089</v>
      </c>
      <c r="B385" s="2">
        <v>0.24097222222222223</v>
      </c>
      <c r="C385">
        <v>0.13119999999999998</v>
      </c>
      <c r="F385" t="str">
        <f t="shared" si="98"/>
        <v>2019/11/10 05:47:00</v>
      </c>
      <c r="G385" t="s">
        <v>1474</v>
      </c>
    </row>
    <row r="386" spans="1:35" x14ac:dyDescent="0.25">
      <c r="A386" s="3" t="s">
        <v>1090</v>
      </c>
      <c r="B386" s="2">
        <v>2.0833333333333333E-3</v>
      </c>
      <c r="C386">
        <v>7.2900000000000006E-2</v>
      </c>
      <c r="F386" t="str">
        <f t="shared" si="98"/>
        <v>2019/11/11 00:03:00</v>
      </c>
      <c r="G386" t="s">
        <v>1475</v>
      </c>
    </row>
    <row r="387" spans="1:35" x14ac:dyDescent="0.25">
      <c r="A387" s="3" t="s">
        <v>1091</v>
      </c>
      <c r="B387" s="2">
        <v>2.7777777777777779E-3</v>
      </c>
      <c r="C387">
        <v>4.2299999999999997E-2</v>
      </c>
      <c r="F387" t="str">
        <f t="shared" si="98"/>
        <v>2019/11/12 00:04:00</v>
      </c>
      <c r="G387" t="s">
        <v>1476</v>
      </c>
    </row>
    <row r="388" spans="1:35" x14ac:dyDescent="0.25">
      <c r="A388" s="3" t="s">
        <v>1092</v>
      </c>
      <c r="B388" s="2">
        <v>4.5138888888888888E-2</v>
      </c>
      <c r="C388">
        <v>2.9399999999999999E-2</v>
      </c>
      <c r="F388" t="str">
        <f t="shared" si="98"/>
        <v>2019/11/13 01:05:00</v>
      </c>
      <c r="G388" t="s">
        <v>1477</v>
      </c>
    </row>
    <row r="389" spans="1:35" x14ac:dyDescent="0.25">
      <c r="A389" s="3" t="s">
        <v>1093</v>
      </c>
      <c r="B389" s="2">
        <v>5.5555555555555558E-3</v>
      </c>
      <c r="C389">
        <v>2.1700000000000001E-2</v>
      </c>
      <c r="F389" t="str">
        <f t="shared" si="98"/>
        <v>2019/11/14 00:08:00</v>
      </c>
      <c r="G389" t="s">
        <v>1478</v>
      </c>
    </row>
    <row r="390" spans="1:35" s="12" customFormat="1" x14ac:dyDescent="0.25">
      <c r="A390" s="10" t="s">
        <v>1094</v>
      </c>
      <c r="B390" s="28">
        <v>9.0277777777777769E-3</v>
      </c>
      <c r="C390" s="12">
        <v>1.8200000000000001E-2</v>
      </c>
      <c r="F390" t="str">
        <f t="shared" si="98"/>
        <v>2019/11/15 00:13:00</v>
      </c>
      <c r="G390" s="12" t="s">
        <v>1479</v>
      </c>
      <c r="AH390" s="32"/>
      <c r="AI390"/>
    </row>
    <row r="391" spans="1:35" x14ac:dyDescent="0.25">
      <c r="A391" s="3" t="s">
        <v>1095</v>
      </c>
      <c r="B391" s="2">
        <v>0.68263888888888891</v>
      </c>
      <c r="C391">
        <v>0.23769999999999999</v>
      </c>
      <c r="F391" t="str">
        <f t="shared" si="98"/>
        <v>2019/11/25 16:23:00</v>
      </c>
      <c r="G391" t="s">
        <v>1480</v>
      </c>
    </row>
    <row r="392" spans="1:35" x14ac:dyDescent="0.25">
      <c r="A392" s="3" t="s">
        <v>1095</v>
      </c>
      <c r="B392" s="2">
        <v>0.89722222222222225</v>
      </c>
      <c r="C392">
        <v>0.18619999999999998</v>
      </c>
      <c r="F392" t="str">
        <f t="shared" si="98"/>
        <v>2019/11/25 21:32:00</v>
      </c>
      <c r="G392" t="s">
        <v>1481</v>
      </c>
    </row>
    <row r="393" spans="1:35" x14ac:dyDescent="0.25">
      <c r="A393" s="3" t="s">
        <v>1096</v>
      </c>
      <c r="B393" s="2">
        <v>6.9444444444444441E-3</v>
      </c>
      <c r="C393">
        <v>0.109</v>
      </c>
      <c r="F393" t="str">
        <f t="shared" si="98"/>
        <v>2019/11/26 00:10:00</v>
      </c>
      <c r="G393" t="s">
        <v>1482</v>
      </c>
    </row>
    <row r="394" spans="1:35" x14ac:dyDescent="0.25">
      <c r="A394" s="3" t="s">
        <v>1097</v>
      </c>
      <c r="B394" s="2">
        <v>1.9444444444444445E-2</v>
      </c>
      <c r="C394">
        <v>7.17E-2</v>
      </c>
      <c r="F394" t="str">
        <f t="shared" si="98"/>
        <v>2019/11/27 00:28:00</v>
      </c>
      <c r="G394" t="s">
        <v>1483</v>
      </c>
    </row>
    <row r="395" spans="1:35" x14ac:dyDescent="0.25">
      <c r="A395" s="3" t="s">
        <v>1098</v>
      </c>
      <c r="B395" s="2">
        <v>2.013888888888889E-2</v>
      </c>
      <c r="C395">
        <v>5.9200000000000003E-2</v>
      </c>
      <c r="F395" t="str">
        <f t="shared" si="98"/>
        <v>2019/11/28 00:29:00</v>
      </c>
      <c r="G395" t="s">
        <v>1484</v>
      </c>
    </row>
    <row r="396" spans="1:35" x14ac:dyDescent="0.25">
      <c r="A396" s="3" t="s">
        <v>1099</v>
      </c>
      <c r="B396" s="2">
        <v>4.1666666666666666E-3</v>
      </c>
      <c r="C396">
        <v>4.1599999999999998E-2</v>
      </c>
      <c r="F396" t="str">
        <f t="shared" si="98"/>
        <v>2019/11/29 00:06:00</v>
      </c>
      <c r="G396" t="s">
        <v>1485</v>
      </c>
    </row>
    <row r="397" spans="1:35" x14ac:dyDescent="0.25">
      <c r="A397" s="3" t="s">
        <v>1100</v>
      </c>
      <c r="B397" s="2">
        <v>2.0833333333333333E-3</v>
      </c>
      <c r="C397">
        <v>2.1899999999999999E-2</v>
      </c>
      <c r="F397" t="str">
        <f t="shared" si="98"/>
        <v>2019/12/01 00:03:00</v>
      </c>
      <c r="G397" t="s">
        <v>1486</v>
      </c>
    </row>
    <row r="398" spans="1:35" x14ac:dyDescent="0.25">
      <c r="A398" s="3" t="s">
        <v>131</v>
      </c>
      <c r="B398" s="2">
        <v>2.7777777777777779E-3</v>
      </c>
      <c r="C398">
        <v>9.4000000000000004E-3</v>
      </c>
      <c r="F398" t="str">
        <f t="shared" si="98"/>
        <v>2019/12/02 00:04:00</v>
      </c>
      <c r="G398" t="s">
        <v>1487</v>
      </c>
    </row>
    <row r="399" spans="1:35" s="12" customFormat="1" x14ac:dyDescent="0.25">
      <c r="A399" s="10" t="s">
        <v>1101</v>
      </c>
      <c r="B399" s="9">
        <v>4.8611111111111112E-3</v>
      </c>
      <c r="C399" s="12">
        <v>7.4000000000000003E-3</v>
      </c>
      <c r="F399" t="str">
        <f t="shared" si="98"/>
        <v>2019/12/03 00:07:00</v>
      </c>
      <c r="G399" s="12" t="s">
        <v>1488</v>
      </c>
      <c r="AH399" s="32"/>
      <c r="AI399"/>
    </row>
    <row r="400" spans="1:35" x14ac:dyDescent="0.25">
      <c r="A400" s="3" t="s">
        <v>866</v>
      </c>
      <c r="B400" s="2">
        <v>0.87708333333333333</v>
      </c>
      <c r="C400">
        <v>0.31030000000000002</v>
      </c>
      <c r="F400" t="str">
        <f t="shared" si="98"/>
        <v>2019/11/21 21:03:00</v>
      </c>
      <c r="G400" t="s">
        <v>1489</v>
      </c>
    </row>
    <row r="401" spans="1:35" x14ac:dyDescent="0.25">
      <c r="A401" s="3" t="s">
        <v>1102</v>
      </c>
      <c r="B401" s="2">
        <v>1.3888888888888889E-3</v>
      </c>
      <c r="C401">
        <v>1.752</v>
      </c>
      <c r="F401" t="str">
        <f t="shared" si="98"/>
        <v>2019/11/22 00:02:00</v>
      </c>
      <c r="G401" t="s">
        <v>1490</v>
      </c>
    </row>
    <row r="402" spans="1:35" x14ac:dyDescent="0.25">
      <c r="A402" s="3" t="s">
        <v>1102</v>
      </c>
      <c r="B402" s="2">
        <v>4.8611111111111112E-3</v>
      </c>
      <c r="C402">
        <v>1.4690000000000001</v>
      </c>
      <c r="F402" t="str">
        <f t="shared" si="98"/>
        <v>2019/11/22 00:07:00</v>
      </c>
      <c r="G402" t="s">
        <v>1491</v>
      </c>
    </row>
    <row r="403" spans="1:35" x14ac:dyDescent="0.25">
      <c r="A403" s="3" t="s">
        <v>1102</v>
      </c>
      <c r="B403" s="2">
        <v>0.69444444444444442</v>
      </c>
      <c r="C403">
        <v>2.0379999999999998</v>
      </c>
      <c r="F403" t="str">
        <f t="shared" si="98"/>
        <v>2019/11/22 16:40:00</v>
      </c>
      <c r="G403" t="s">
        <v>1492</v>
      </c>
    </row>
    <row r="404" spans="1:35" x14ac:dyDescent="0.25">
      <c r="A404" s="3" t="s">
        <v>1103</v>
      </c>
      <c r="B404" s="2">
        <v>1.3888888888888889E-3</v>
      </c>
      <c r="C404">
        <v>2.2010000000000001</v>
      </c>
      <c r="F404" t="str">
        <f t="shared" si="98"/>
        <v>2019/11/23 00:02:00</v>
      </c>
      <c r="G404" t="s">
        <v>1493</v>
      </c>
    </row>
    <row r="405" spans="1:35" x14ac:dyDescent="0.25">
      <c r="A405" s="3" t="s">
        <v>1104</v>
      </c>
      <c r="B405" s="2">
        <v>1.0416666666666666E-2</v>
      </c>
      <c r="C405">
        <v>2.9630000000000001</v>
      </c>
      <c r="F405" t="str">
        <f t="shared" si="98"/>
        <v>2019/11/24 00:15:00</v>
      </c>
      <c r="G405" t="s">
        <v>1494</v>
      </c>
    </row>
    <row r="406" spans="1:35" x14ac:dyDescent="0.25">
      <c r="A406" s="3" t="s">
        <v>1095</v>
      </c>
      <c r="B406" s="2">
        <v>2.9166666666666667E-2</v>
      </c>
      <c r="C406">
        <v>2.72</v>
      </c>
      <c r="F406" t="str">
        <f t="shared" si="98"/>
        <v>2019/11/25 00:42:00</v>
      </c>
      <c r="G406" t="s">
        <v>1495</v>
      </c>
    </row>
    <row r="407" spans="1:35" x14ac:dyDescent="0.25">
      <c r="A407" s="3" t="s">
        <v>1095</v>
      </c>
      <c r="B407" s="2">
        <v>0.65833333333333333</v>
      </c>
      <c r="C407">
        <v>2.0430000000000001</v>
      </c>
      <c r="F407" t="str">
        <f t="shared" si="98"/>
        <v>2019/11/25 15:48:00</v>
      </c>
      <c r="G407" t="s">
        <v>1496</v>
      </c>
    </row>
    <row r="408" spans="1:35" x14ac:dyDescent="0.25">
      <c r="A408" s="3" t="s">
        <v>1096</v>
      </c>
      <c r="B408" s="2">
        <v>6.9444444444444441E-3</v>
      </c>
      <c r="C408">
        <v>1.3420000000000001</v>
      </c>
      <c r="F408" t="str">
        <f t="shared" si="98"/>
        <v>2019/11/26 00:10:00</v>
      </c>
      <c r="G408" t="s">
        <v>1482</v>
      </c>
    </row>
    <row r="409" spans="1:35" x14ac:dyDescent="0.25">
      <c r="A409" s="3" t="s">
        <v>1097</v>
      </c>
      <c r="B409" s="2">
        <v>3.472222222222222E-3</v>
      </c>
      <c r="C409">
        <v>0.38650000000000001</v>
      </c>
      <c r="F409" t="str">
        <f t="shared" si="98"/>
        <v>2019/11/27 00:05:00</v>
      </c>
      <c r="G409" t="s">
        <v>1497</v>
      </c>
    </row>
    <row r="410" spans="1:35" s="12" customFormat="1" x14ac:dyDescent="0.25">
      <c r="A410" s="10" t="s">
        <v>1098</v>
      </c>
      <c r="B410" s="9">
        <v>2.013888888888889E-2</v>
      </c>
      <c r="C410" s="12">
        <v>9.9099999999999994E-2</v>
      </c>
      <c r="F410" t="str">
        <f t="shared" si="98"/>
        <v>2019/11/28 00:29:00</v>
      </c>
      <c r="G410" s="12" t="s">
        <v>1484</v>
      </c>
      <c r="AH410" s="32"/>
      <c r="AI410"/>
    </row>
    <row r="411" spans="1:35" x14ac:dyDescent="0.25">
      <c r="A411" s="3" t="s">
        <v>212</v>
      </c>
      <c r="B411" s="2">
        <v>0.46666666666666667</v>
      </c>
      <c r="C411">
        <v>4.5919999999999996</v>
      </c>
      <c r="F411" t="str">
        <f t="shared" si="98"/>
        <v>2019/12/20 11:12:00</v>
      </c>
      <c r="G411" t="s">
        <v>1498</v>
      </c>
    </row>
    <row r="412" spans="1:35" x14ac:dyDescent="0.25">
      <c r="A412" s="3" t="s">
        <v>212</v>
      </c>
      <c r="B412" s="2">
        <v>0.72638888888888886</v>
      </c>
      <c r="C412">
        <v>7.5940000000000003</v>
      </c>
      <c r="F412" t="str">
        <f t="shared" si="98"/>
        <v>2019/12/20 17:26:00</v>
      </c>
      <c r="G412" t="s">
        <v>1499</v>
      </c>
    </row>
    <row r="413" spans="1:35" x14ac:dyDescent="0.25">
      <c r="A413" s="3" t="s">
        <v>213</v>
      </c>
      <c r="B413" s="2">
        <v>5.5555555555555558E-3</v>
      </c>
      <c r="C413">
        <v>3.8119999999999998</v>
      </c>
      <c r="F413" t="str">
        <f t="shared" si="98"/>
        <v>2019/12/21 00:08:00</v>
      </c>
      <c r="G413" t="s">
        <v>1500</v>
      </c>
    </row>
    <row r="414" spans="1:35" x14ac:dyDescent="0.25">
      <c r="A414" s="3" t="s">
        <v>884</v>
      </c>
      <c r="B414" s="2">
        <v>6.2500000000000003E-3</v>
      </c>
      <c r="C414">
        <v>3.5190000000000001</v>
      </c>
      <c r="F414" t="str">
        <f t="shared" si="98"/>
        <v>2019/12/22 00:09:00</v>
      </c>
      <c r="G414" t="s">
        <v>1501</v>
      </c>
    </row>
    <row r="415" spans="1:35" x14ac:dyDescent="0.25">
      <c r="A415" s="3" t="s">
        <v>885</v>
      </c>
      <c r="B415" s="2">
        <v>3.472222222222222E-3</v>
      </c>
      <c r="C415">
        <v>4.0780000000000003</v>
      </c>
      <c r="F415" t="str">
        <f t="shared" si="98"/>
        <v>2019/12/23 00:05:00</v>
      </c>
      <c r="G415" t="s">
        <v>1193</v>
      </c>
    </row>
    <row r="416" spans="1:35" x14ac:dyDescent="0.25">
      <c r="A416" s="3" t="s">
        <v>886</v>
      </c>
      <c r="B416" s="2">
        <v>4.8611111111111112E-3</v>
      </c>
      <c r="C416">
        <v>2.7240000000000002</v>
      </c>
      <c r="F416" t="str">
        <f t="shared" si="98"/>
        <v>2019/12/24 00:07:00</v>
      </c>
      <c r="G416" t="s">
        <v>1194</v>
      </c>
    </row>
    <row r="417" spans="1:35" x14ac:dyDescent="0.25">
      <c r="A417" s="3" t="s">
        <v>887</v>
      </c>
      <c r="B417" s="2">
        <v>1.4583333333333334E-2</v>
      </c>
      <c r="C417">
        <v>1.635</v>
      </c>
      <c r="F417" t="str">
        <f t="shared" si="98"/>
        <v>2019/12/25 00:21:00</v>
      </c>
      <c r="G417" t="s">
        <v>1195</v>
      </c>
    </row>
    <row r="418" spans="1:35" x14ac:dyDescent="0.25">
      <c r="A418" s="3" t="s">
        <v>888</v>
      </c>
      <c r="B418" s="2">
        <v>1.8749999999999999E-2</v>
      </c>
      <c r="C418">
        <v>0.86170000000000002</v>
      </c>
      <c r="F418" t="str">
        <f t="shared" si="98"/>
        <v>2019/12/26 00:27:00</v>
      </c>
      <c r="G418" t="s">
        <v>1196</v>
      </c>
    </row>
    <row r="419" spans="1:35" x14ac:dyDescent="0.25">
      <c r="A419" s="3" t="s">
        <v>889</v>
      </c>
      <c r="B419" s="2">
        <v>1.1111111111111112E-2</v>
      </c>
      <c r="C419">
        <v>0.52370000000000005</v>
      </c>
      <c r="F419" t="str">
        <f t="shared" si="98"/>
        <v>2019/12/27 00:16:00</v>
      </c>
      <c r="G419" t="s">
        <v>1502</v>
      </c>
    </row>
    <row r="420" spans="1:35" x14ac:dyDescent="0.25">
      <c r="A420" s="3" t="s">
        <v>889</v>
      </c>
      <c r="B420" s="2">
        <v>0.91805555555555551</v>
      </c>
      <c r="C420">
        <v>0.50349999999999995</v>
      </c>
      <c r="F420" t="str">
        <f t="shared" si="98"/>
        <v>2019/12/27 22:02:00</v>
      </c>
      <c r="G420" t="s">
        <v>1503</v>
      </c>
    </row>
    <row r="421" spans="1:35" x14ac:dyDescent="0.25">
      <c r="A421" s="3" t="s">
        <v>890</v>
      </c>
      <c r="B421" s="2">
        <v>9.7222222222222224E-3</v>
      </c>
      <c r="C421">
        <v>0.6762999999999999</v>
      </c>
      <c r="F421" t="str">
        <f t="shared" si="98"/>
        <v>2019/12/28 00:14:00</v>
      </c>
      <c r="G421" t="s">
        <v>1504</v>
      </c>
    </row>
    <row r="422" spans="1:35" s="12" customFormat="1" x14ac:dyDescent="0.25">
      <c r="A422" s="10" t="s">
        <v>892</v>
      </c>
      <c r="B422" s="9">
        <v>0.25833333333333336</v>
      </c>
      <c r="C422" s="12">
        <v>0.4093</v>
      </c>
      <c r="F422" t="str">
        <f t="shared" si="98"/>
        <v>2019/12/30 06:12:00</v>
      </c>
      <c r="G422" s="12" t="s">
        <v>1200</v>
      </c>
      <c r="AH422" s="32"/>
      <c r="AI422"/>
    </row>
    <row r="423" spans="1:35" x14ac:dyDescent="0.25">
      <c r="A423" s="3" t="s">
        <v>1105</v>
      </c>
      <c r="B423" s="2">
        <v>0.84791666666666665</v>
      </c>
      <c r="C423">
        <v>1.1060000000000001</v>
      </c>
      <c r="F423" t="str">
        <f t="shared" si="98"/>
        <v>2020/06/25 20:21:00</v>
      </c>
      <c r="G423" t="s">
        <v>1505</v>
      </c>
    </row>
    <row r="424" spans="1:35" x14ac:dyDescent="0.25">
      <c r="A424" s="3" t="s">
        <v>1105</v>
      </c>
      <c r="B424" s="2">
        <v>0.96527777777777779</v>
      </c>
      <c r="C424">
        <v>1.861</v>
      </c>
      <c r="F424" t="str">
        <f t="shared" si="98"/>
        <v>2020/06/25 23:10:00</v>
      </c>
      <c r="G424" t="s">
        <v>1506</v>
      </c>
    </row>
    <row r="425" spans="1:35" x14ac:dyDescent="0.25">
      <c r="A425" s="3" t="s">
        <v>1106</v>
      </c>
      <c r="B425" s="2">
        <v>4.8611111111111112E-3</v>
      </c>
      <c r="C425">
        <v>2.766</v>
      </c>
      <c r="F425" t="str">
        <f t="shared" si="98"/>
        <v>2020/06/26 00:07:00</v>
      </c>
      <c r="G425" t="s">
        <v>1507</v>
      </c>
    </row>
    <row r="426" spans="1:35" x14ac:dyDescent="0.25">
      <c r="A426" s="3" t="s">
        <v>1107</v>
      </c>
      <c r="B426" s="2">
        <v>1.2500000000000001E-2</v>
      </c>
      <c r="C426">
        <v>0.94320000000000004</v>
      </c>
      <c r="F426" t="str">
        <f t="shared" si="98"/>
        <v>2020/06/27 00:18:00</v>
      </c>
      <c r="G426" t="s">
        <v>1508</v>
      </c>
    </row>
    <row r="427" spans="1:35" x14ac:dyDescent="0.25">
      <c r="A427" s="3" t="s">
        <v>1108</v>
      </c>
      <c r="B427" s="2">
        <v>1.4583333333333334E-2</v>
      </c>
      <c r="C427">
        <v>0.89249999999999996</v>
      </c>
      <c r="F427" t="str">
        <f t="shared" si="98"/>
        <v>2020/06/28 00:21:00</v>
      </c>
      <c r="G427" t="s">
        <v>1509</v>
      </c>
    </row>
    <row r="428" spans="1:35" x14ac:dyDescent="0.25">
      <c r="A428" s="3" t="s">
        <v>1109</v>
      </c>
      <c r="B428" s="2">
        <v>9.7222222222222224E-3</v>
      </c>
      <c r="C428">
        <v>0.97089999999999999</v>
      </c>
      <c r="F428" t="str">
        <f t="shared" si="98"/>
        <v>2020/06/29 00:14:00</v>
      </c>
      <c r="G428" t="s">
        <v>1510</v>
      </c>
    </row>
    <row r="429" spans="1:35" x14ac:dyDescent="0.25">
      <c r="A429" s="3" t="s">
        <v>1110</v>
      </c>
      <c r="B429" s="2">
        <v>4.1666666666666666E-3</v>
      </c>
      <c r="C429">
        <v>0.73970000000000002</v>
      </c>
      <c r="F429" t="str">
        <f t="shared" si="98"/>
        <v>2020/06/30 00:06:00</v>
      </c>
      <c r="G429" t="s">
        <v>1511</v>
      </c>
    </row>
    <row r="430" spans="1:35" s="12" customFormat="1" x14ac:dyDescent="0.25">
      <c r="A430" s="10" t="s">
        <v>1111</v>
      </c>
      <c r="B430" s="9">
        <v>3.472222222222222E-3</v>
      </c>
      <c r="C430" s="12">
        <v>0.43819999999999998</v>
      </c>
      <c r="F430" t="str">
        <f t="shared" si="98"/>
        <v>2020/07/01 00:05:00</v>
      </c>
      <c r="G430" s="12" t="s">
        <v>1512</v>
      </c>
      <c r="AH430" s="32"/>
      <c r="AI430"/>
    </row>
    <row r="431" spans="1:35" x14ac:dyDescent="0.25">
      <c r="A431" s="3" t="s">
        <v>1022</v>
      </c>
      <c r="B431" s="2">
        <v>0.61458333333333337</v>
      </c>
      <c r="C431">
        <v>0.2339</v>
      </c>
      <c r="F431" t="str">
        <f t="shared" si="98"/>
        <v>2021/07/07 14:45:00</v>
      </c>
      <c r="G431" t="s">
        <v>1513</v>
      </c>
    </row>
    <row r="432" spans="1:35" x14ac:dyDescent="0.25">
      <c r="A432" s="3" t="s">
        <v>1022</v>
      </c>
      <c r="B432" s="2">
        <v>0.79236111111111107</v>
      </c>
      <c r="C432">
        <v>0.53060000000000007</v>
      </c>
      <c r="F432" t="str">
        <f t="shared" si="98"/>
        <v>2021/07/07 19:01:00</v>
      </c>
      <c r="G432" t="s">
        <v>1514</v>
      </c>
    </row>
    <row r="433" spans="1:35" x14ac:dyDescent="0.25">
      <c r="A433" s="3" t="s">
        <v>1062</v>
      </c>
      <c r="B433" s="2">
        <v>1.2500000000000001E-2</v>
      </c>
      <c r="C433">
        <v>2.2069999999999999</v>
      </c>
      <c r="F433" t="str">
        <f t="shared" si="98"/>
        <v>2021/07/08 00:18:00</v>
      </c>
      <c r="G433" t="s">
        <v>1432</v>
      </c>
    </row>
    <row r="434" spans="1:35" x14ac:dyDescent="0.25">
      <c r="A434" s="3" t="s">
        <v>1063</v>
      </c>
      <c r="B434" s="2">
        <v>1.8749999999999999E-2</v>
      </c>
      <c r="C434">
        <v>1.4239999999999999</v>
      </c>
      <c r="F434" t="str">
        <f t="shared" ref="F434:F497" si="99">TEXT(A434,"yyyy/mm/dd") &amp; " " &amp; TEXT(B434,"hh:mm:ss")</f>
        <v>2021/07/09 00:27:00</v>
      </c>
      <c r="G434" t="s">
        <v>1433</v>
      </c>
    </row>
    <row r="435" spans="1:35" x14ac:dyDescent="0.25">
      <c r="A435" s="3" t="s">
        <v>1063</v>
      </c>
      <c r="B435" s="5">
        <v>0.72222222222222221</v>
      </c>
      <c r="C435">
        <v>1.111</v>
      </c>
      <c r="F435" t="str">
        <f t="shared" si="99"/>
        <v>2021/07/09 17:20:00</v>
      </c>
      <c r="G435" t="s">
        <v>1515</v>
      </c>
    </row>
    <row r="436" spans="1:35" x14ac:dyDescent="0.25">
      <c r="A436" s="3" t="s">
        <v>1064</v>
      </c>
      <c r="B436" s="2">
        <v>1.8055555555555554E-2</v>
      </c>
      <c r="C436">
        <v>1.294</v>
      </c>
      <c r="F436" t="str">
        <f t="shared" si="99"/>
        <v>2021/07/10 00:26:00</v>
      </c>
      <c r="G436" t="s">
        <v>1434</v>
      </c>
    </row>
    <row r="437" spans="1:35" x14ac:dyDescent="0.25">
      <c r="A437" s="3" t="s">
        <v>1065</v>
      </c>
      <c r="B437" s="2">
        <v>5.5555555555555558E-3</v>
      </c>
      <c r="C437">
        <v>1.516</v>
      </c>
      <c r="F437" t="str">
        <f t="shared" si="99"/>
        <v>2021/07/11 00:08:00</v>
      </c>
      <c r="G437" t="s">
        <v>1435</v>
      </c>
    </row>
    <row r="438" spans="1:35" s="12" customFormat="1" x14ac:dyDescent="0.25">
      <c r="A438" s="10" t="s">
        <v>1066</v>
      </c>
      <c r="B438" s="9">
        <v>1.3194444444444444E-2</v>
      </c>
      <c r="C438" s="12">
        <v>1.1579999999999999</v>
      </c>
      <c r="F438" t="str">
        <f t="shared" si="99"/>
        <v>2021/07/12 00:19:00</v>
      </c>
      <c r="G438" s="12" t="s">
        <v>1516</v>
      </c>
      <c r="AH438" s="32"/>
      <c r="AI438"/>
    </row>
    <row r="439" spans="1:35" x14ac:dyDescent="0.25">
      <c r="A439" s="3" t="s">
        <v>1022</v>
      </c>
      <c r="B439" s="2">
        <v>0.77847222222222223</v>
      </c>
      <c r="C439">
        <v>0.13009999999999999</v>
      </c>
      <c r="F439" t="str">
        <f t="shared" si="99"/>
        <v>2021/07/07 18:41:00</v>
      </c>
      <c r="G439" t="s">
        <v>1517</v>
      </c>
    </row>
    <row r="440" spans="1:35" x14ac:dyDescent="0.25">
      <c r="A440" s="3" t="s">
        <v>1022</v>
      </c>
      <c r="B440" s="2">
        <v>0.96111111111111114</v>
      </c>
      <c r="C440">
        <v>0.16700000000000001</v>
      </c>
      <c r="F440" t="str">
        <f t="shared" si="99"/>
        <v>2021/07/07 23:04:00</v>
      </c>
      <c r="G440" t="s">
        <v>1518</v>
      </c>
    </row>
    <row r="441" spans="1:35" x14ac:dyDescent="0.25">
      <c r="A441" s="3" t="s">
        <v>1062</v>
      </c>
      <c r="B441" s="2">
        <v>1.2500000000000001E-2</v>
      </c>
      <c r="C441">
        <v>0.25080000000000002</v>
      </c>
      <c r="F441" t="str">
        <f t="shared" si="99"/>
        <v>2021/07/08 00:18:00</v>
      </c>
      <c r="G441" t="s">
        <v>1432</v>
      </c>
    </row>
    <row r="442" spans="1:35" x14ac:dyDescent="0.25">
      <c r="A442" s="3" t="s">
        <v>1063</v>
      </c>
      <c r="B442" s="2">
        <v>1.8749999999999999E-2</v>
      </c>
      <c r="C442">
        <v>0.19590000000000002</v>
      </c>
      <c r="F442" t="str">
        <f t="shared" si="99"/>
        <v>2021/07/09 00:27:00</v>
      </c>
      <c r="G442" t="s">
        <v>1433</v>
      </c>
    </row>
    <row r="443" spans="1:35" x14ac:dyDescent="0.25">
      <c r="A443" s="3" t="s">
        <v>1064</v>
      </c>
      <c r="B443" s="2">
        <v>1.8055555555555554E-2</v>
      </c>
      <c r="C443">
        <v>0.21049999999999999</v>
      </c>
      <c r="F443" t="str">
        <f t="shared" si="99"/>
        <v>2021/07/10 00:26:00</v>
      </c>
      <c r="G443" t="s">
        <v>1434</v>
      </c>
    </row>
    <row r="444" spans="1:35" x14ac:dyDescent="0.25">
      <c r="A444" s="3" t="s">
        <v>1065</v>
      </c>
      <c r="B444" s="2">
        <v>5.5555555555555558E-3</v>
      </c>
      <c r="C444">
        <v>0.223</v>
      </c>
      <c r="F444" t="str">
        <f t="shared" si="99"/>
        <v>2021/07/11 00:08:00</v>
      </c>
      <c r="G444" t="s">
        <v>1435</v>
      </c>
    </row>
    <row r="445" spans="1:35" x14ac:dyDescent="0.25">
      <c r="A445" s="3" t="s">
        <v>1066</v>
      </c>
      <c r="B445" s="2">
        <v>6.9444444444444441E-3</v>
      </c>
      <c r="C445">
        <v>0.1666</v>
      </c>
      <c r="F445" t="str">
        <f t="shared" si="99"/>
        <v>2021/07/12 00:10:00</v>
      </c>
      <c r="G445" t="s">
        <v>1436</v>
      </c>
    </row>
    <row r="446" spans="1:35" s="12" customFormat="1" x14ac:dyDescent="0.25">
      <c r="A446" s="10" t="s">
        <v>1067</v>
      </c>
      <c r="B446" s="9">
        <v>6.9444444444444447E-4</v>
      </c>
      <c r="C446" s="12">
        <v>9.240000000000001E-2</v>
      </c>
      <c r="F446" t="str">
        <f t="shared" si="99"/>
        <v>2021/07/13 00:01:00</v>
      </c>
      <c r="G446" s="12" t="s">
        <v>1519</v>
      </c>
      <c r="AH446" s="32"/>
      <c r="AI446"/>
    </row>
    <row r="447" spans="1:35" x14ac:dyDescent="0.25">
      <c r="A447" s="3" t="s">
        <v>1112</v>
      </c>
      <c r="B447" s="2">
        <v>0.49652777777777779</v>
      </c>
      <c r="C447">
        <v>1.155</v>
      </c>
      <c r="F447" t="str">
        <f t="shared" si="99"/>
        <v>2021/02/22 11:55:00</v>
      </c>
      <c r="G447" t="s">
        <v>1520</v>
      </c>
    </row>
    <row r="448" spans="1:35" x14ac:dyDescent="0.25">
      <c r="A448" s="3" t="s">
        <v>1112</v>
      </c>
      <c r="B448" s="2">
        <v>0.88472222222222219</v>
      </c>
      <c r="C448">
        <v>2.4510000000000001</v>
      </c>
      <c r="F448" t="str">
        <f t="shared" si="99"/>
        <v>2021/02/22 21:14:00</v>
      </c>
      <c r="G448" t="s">
        <v>1521</v>
      </c>
    </row>
    <row r="449" spans="1:35" x14ac:dyDescent="0.25">
      <c r="A449" s="3" t="s">
        <v>1113</v>
      </c>
      <c r="B449" s="2">
        <v>1.4583333333333334E-2</v>
      </c>
      <c r="C449">
        <v>1.7949999999999999</v>
      </c>
      <c r="F449" t="str">
        <f t="shared" si="99"/>
        <v>2021/02/23 00:21:00</v>
      </c>
      <c r="G449" t="s">
        <v>1522</v>
      </c>
    </row>
    <row r="450" spans="1:35" x14ac:dyDescent="0.25">
      <c r="A450" s="3" t="s">
        <v>1114</v>
      </c>
      <c r="B450" s="2">
        <v>1.3888888888888888E-2</v>
      </c>
      <c r="C450">
        <v>1.101</v>
      </c>
      <c r="F450" t="str">
        <f t="shared" si="99"/>
        <v>2021/02/24 00:20:00</v>
      </c>
      <c r="G450" t="s">
        <v>1523</v>
      </c>
    </row>
    <row r="451" spans="1:35" x14ac:dyDescent="0.25">
      <c r="A451" s="3" t="s">
        <v>1115</v>
      </c>
      <c r="B451" s="2">
        <v>1.0416666666666666E-2</v>
      </c>
      <c r="C451">
        <v>0.8627999999999999</v>
      </c>
      <c r="F451" t="str">
        <f t="shared" si="99"/>
        <v>2021/02/25 00:15:00</v>
      </c>
      <c r="G451" t="s">
        <v>1524</v>
      </c>
    </row>
    <row r="452" spans="1:35" x14ac:dyDescent="0.25">
      <c r="A452" s="3" t="s">
        <v>1116</v>
      </c>
      <c r="B452" s="2">
        <v>2.9861111111111113E-2</v>
      </c>
      <c r="C452">
        <v>0.63149999999999995</v>
      </c>
      <c r="F452" t="str">
        <f t="shared" si="99"/>
        <v>2021/02/26 00:43:00</v>
      </c>
      <c r="G452" t="s">
        <v>1525</v>
      </c>
    </row>
    <row r="453" spans="1:35" x14ac:dyDescent="0.25">
      <c r="A453" s="3" t="s">
        <v>1117</v>
      </c>
      <c r="B453" s="2">
        <v>0.23749999999999999</v>
      </c>
      <c r="C453">
        <v>0.44930000000000003</v>
      </c>
      <c r="F453" t="str">
        <f t="shared" si="99"/>
        <v>2021/02/27 05:42:00</v>
      </c>
      <c r="G453" t="s">
        <v>1526</v>
      </c>
    </row>
    <row r="454" spans="1:35" s="12" customFormat="1" x14ac:dyDescent="0.25">
      <c r="A454" s="10" t="s">
        <v>1118</v>
      </c>
      <c r="B454" s="9">
        <v>6.9444444444444447E-4</v>
      </c>
      <c r="C454" s="12">
        <v>0.2802</v>
      </c>
      <c r="F454" t="str">
        <f t="shared" si="99"/>
        <v>2021/02/28 00:01:00</v>
      </c>
      <c r="G454" s="12" t="s">
        <v>1527</v>
      </c>
      <c r="AH454" s="32"/>
      <c r="AI454"/>
    </row>
    <row r="455" spans="1:35" x14ac:dyDescent="0.25">
      <c r="A455" s="3" t="s">
        <v>1119</v>
      </c>
      <c r="B455" s="2">
        <v>0.60069444444444442</v>
      </c>
      <c r="C455">
        <v>1.54</v>
      </c>
      <c r="F455" t="str">
        <f t="shared" si="99"/>
        <v>2017/04/05 14:25:00</v>
      </c>
      <c r="G455" t="s">
        <v>1528</v>
      </c>
    </row>
    <row r="456" spans="1:35" x14ac:dyDescent="0.25">
      <c r="A456" s="3" t="s">
        <v>1119</v>
      </c>
      <c r="B456" s="2">
        <v>0.98124999999999996</v>
      </c>
      <c r="C456">
        <v>3.16</v>
      </c>
      <c r="F456" t="str">
        <f t="shared" si="99"/>
        <v>2017/04/05 23:33:00</v>
      </c>
      <c r="G456" t="s">
        <v>1529</v>
      </c>
    </row>
    <row r="457" spans="1:35" x14ac:dyDescent="0.25">
      <c r="A457" s="3" t="s">
        <v>1120</v>
      </c>
      <c r="B457" s="2">
        <v>1.8749999999999999E-2</v>
      </c>
      <c r="C457">
        <v>2.41</v>
      </c>
      <c r="F457" t="str">
        <f t="shared" si="99"/>
        <v>2017/04/06 00:27:00</v>
      </c>
      <c r="G457" t="s">
        <v>1530</v>
      </c>
    </row>
    <row r="458" spans="1:35" x14ac:dyDescent="0.25">
      <c r="A458" s="3" t="s">
        <v>1121</v>
      </c>
      <c r="B458" s="2">
        <v>3.8194444444444448E-2</v>
      </c>
      <c r="C458">
        <v>3.38</v>
      </c>
      <c r="F458" t="str">
        <f t="shared" si="99"/>
        <v>2017/04/07 00:55:00</v>
      </c>
      <c r="G458" t="s">
        <v>1531</v>
      </c>
    </row>
    <row r="459" spans="1:35" x14ac:dyDescent="0.25">
      <c r="A459" s="3" t="s">
        <v>1122</v>
      </c>
      <c r="B459" s="2">
        <v>1.7361111111111112E-2</v>
      </c>
      <c r="C459">
        <v>3.09</v>
      </c>
      <c r="F459" t="str">
        <f t="shared" si="99"/>
        <v>2017/04/08 00:25:00</v>
      </c>
      <c r="G459" t="s">
        <v>1532</v>
      </c>
    </row>
    <row r="460" spans="1:35" x14ac:dyDescent="0.25">
      <c r="A460" s="3" t="s">
        <v>1123</v>
      </c>
      <c r="B460" s="2">
        <v>9.0277777777777769E-3</v>
      </c>
      <c r="C460">
        <v>2</v>
      </c>
      <c r="F460" t="str">
        <f t="shared" si="99"/>
        <v>2017/04/09 00:13:00</v>
      </c>
      <c r="G460" t="s">
        <v>1533</v>
      </c>
    </row>
    <row r="461" spans="1:35" x14ac:dyDescent="0.25">
      <c r="A461" s="3" t="s">
        <v>1124</v>
      </c>
      <c r="B461" s="2">
        <v>7.6388888888888886E-3</v>
      </c>
      <c r="C461">
        <v>0.63700000000000001</v>
      </c>
      <c r="F461" t="str">
        <f t="shared" si="99"/>
        <v>2017/04/10 00:11:00</v>
      </c>
      <c r="G461" t="s">
        <v>1534</v>
      </c>
    </row>
    <row r="462" spans="1:35" x14ac:dyDescent="0.25">
      <c r="A462" s="3" t="s">
        <v>1125</v>
      </c>
      <c r="B462" s="2">
        <v>2.1527777777777778E-2</v>
      </c>
      <c r="C462">
        <v>0.22500000000000001</v>
      </c>
      <c r="F462" t="str">
        <f t="shared" si="99"/>
        <v>2017/04/11 00:31:00</v>
      </c>
      <c r="G462" t="s">
        <v>1535</v>
      </c>
    </row>
    <row r="463" spans="1:35" x14ac:dyDescent="0.25">
      <c r="A463" s="3" t="s">
        <v>1126</v>
      </c>
      <c r="B463" s="2">
        <v>0.25277777777777777</v>
      </c>
      <c r="C463">
        <v>0.115</v>
      </c>
      <c r="F463" t="str">
        <f t="shared" si="99"/>
        <v>2017/04/12 06:04:00</v>
      </c>
      <c r="G463" t="s">
        <v>1536</v>
      </c>
    </row>
    <row r="464" spans="1:35" x14ac:dyDescent="0.25">
      <c r="A464" s="3" t="s">
        <v>1127</v>
      </c>
      <c r="B464" s="2">
        <v>0.24027777777777778</v>
      </c>
      <c r="C464">
        <v>7.0999999999999994E-2</v>
      </c>
      <c r="F464" t="str">
        <f t="shared" si="99"/>
        <v>2017/04/13 05:46:00</v>
      </c>
      <c r="G464" t="s">
        <v>1537</v>
      </c>
    </row>
    <row r="465" spans="1:35" x14ac:dyDescent="0.25">
      <c r="A465" s="3" t="s">
        <v>1128</v>
      </c>
      <c r="B465" s="2">
        <v>0.23472222222222222</v>
      </c>
      <c r="C465">
        <v>5.0999999999999997E-2</v>
      </c>
      <c r="F465" t="str">
        <f t="shared" si="99"/>
        <v>2017/04/14 05:38:00</v>
      </c>
      <c r="G465" t="s">
        <v>1538</v>
      </c>
    </row>
    <row r="466" spans="1:35" s="12" customFormat="1" x14ac:dyDescent="0.25">
      <c r="A466" s="10" t="s">
        <v>1129</v>
      </c>
      <c r="B466" s="9">
        <v>2.7777777777777779E-3</v>
      </c>
      <c r="C466" s="12">
        <v>3.6999999999999998E-2</v>
      </c>
      <c r="F466" t="str">
        <f t="shared" si="99"/>
        <v>2017/04/15 00:04:00</v>
      </c>
      <c r="G466" s="12" t="s">
        <v>1539</v>
      </c>
      <c r="AH466" s="32"/>
      <c r="AI466"/>
    </row>
    <row r="467" spans="1:35" x14ac:dyDescent="0.25">
      <c r="A467" s="3" t="s">
        <v>1130</v>
      </c>
      <c r="B467" s="2">
        <v>0.57986111111111116</v>
      </c>
      <c r="C467">
        <v>0.28399999999999997</v>
      </c>
      <c r="F467" t="str">
        <f t="shared" si="99"/>
        <v>2018/01/04 13:55:00</v>
      </c>
      <c r="G467" t="s">
        <v>1540</v>
      </c>
    </row>
    <row r="468" spans="1:35" x14ac:dyDescent="0.25">
      <c r="A468" s="3" t="s">
        <v>1130</v>
      </c>
      <c r="B468" s="2">
        <v>0.75</v>
      </c>
      <c r="C468">
        <v>0.76400000000000001</v>
      </c>
      <c r="F468" t="str">
        <f t="shared" si="99"/>
        <v>2018/01/04 18:00:00</v>
      </c>
      <c r="G468" t="s">
        <v>1541</v>
      </c>
    </row>
    <row r="469" spans="1:35" x14ac:dyDescent="0.25">
      <c r="A469" s="3" t="s">
        <v>99</v>
      </c>
      <c r="B469" s="2">
        <v>1.4583333333333334E-2</v>
      </c>
      <c r="C469">
        <v>0.73899999999999999</v>
      </c>
      <c r="F469" t="str">
        <f t="shared" si="99"/>
        <v>2018/01/05 00:21:00</v>
      </c>
      <c r="G469" t="s">
        <v>1542</v>
      </c>
    </row>
    <row r="470" spans="1:35" x14ac:dyDescent="0.25">
      <c r="A470" s="3" t="s">
        <v>221</v>
      </c>
      <c r="B470" s="2">
        <v>2.2916666666666665E-2</v>
      </c>
      <c r="C470">
        <v>0.495</v>
      </c>
      <c r="F470" t="str">
        <f t="shared" si="99"/>
        <v>2018/01/06 00:33:00</v>
      </c>
      <c r="G470" t="s">
        <v>465</v>
      </c>
    </row>
    <row r="471" spans="1:35" x14ac:dyDescent="0.25">
      <c r="A471" s="3" t="s">
        <v>222</v>
      </c>
      <c r="B471" s="2">
        <v>0.23958333333333334</v>
      </c>
      <c r="C471">
        <v>0.48899999999999999</v>
      </c>
      <c r="F471" t="str">
        <f t="shared" si="99"/>
        <v>2018/01/07 05:45:00</v>
      </c>
      <c r="G471" t="s">
        <v>1543</v>
      </c>
    </row>
    <row r="472" spans="1:35" x14ac:dyDescent="0.25">
      <c r="A472" s="3" t="s">
        <v>223</v>
      </c>
      <c r="B472" s="2">
        <v>0.23749999999999999</v>
      </c>
      <c r="C472">
        <v>0.46700000000000003</v>
      </c>
      <c r="F472" t="str">
        <f t="shared" si="99"/>
        <v>2018/01/08 05:42:00</v>
      </c>
      <c r="G472" t="s">
        <v>467</v>
      </c>
    </row>
    <row r="473" spans="1:35" s="12" customFormat="1" x14ac:dyDescent="0.25">
      <c r="A473" s="10" t="s">
        <v>224</v>
      </c>
      <c r="B473" s="9">
        <v>9.0277777777777769E-3</v>
      </c>
      <c r="C473" s="12">
        <v>0.183</v>
      </c>
      <c r="F473" t="str">
        <f t="shared" si="99"/>
        <v>2018/01/09 00:13:00</v>
      </c>
      <c r="G473" s="12" t="s">
        <v>468</v>
      </c>
      <c r="AH473" s="32"/>
      <c r="AI473"/>
    </row>
    <row r="474" spans="1:35" x14ac:dyDescent="0.25">
      <c r="A474" s="3" t="s">
        <v>1131</v>
      </c>
      <c r="B474" s="2">
        <v>0.71111111111111114</v>
      </c>
      <c r="C474">
        <v>0.26300000000000001</v>
      </c>
      <c r="F474" t="str">
        <f t="shared" si="99"/>
        <v>2017/10/09 17:04:00</v>
      </c>
      <c r="G474" t="s">
        <v>1544</v>
      </c>
    </row>
    <row r="475" spans="1:35" x14ac:dyDescent="0.25">
      <c r="A475" s="3" t="s">
        <v>1131</v>
      </c>
      <c r="B475" s="2">
        <v>0.93888888888888888</v>
      </c>
      <c r="C475">
        <v>0.36599999999999999</v>
      </c>
      <c r="F475" t="str">
        <f t="shared" si="99"/>
        <v>2017/10/09 22:32:00</v>
      </c>
      <c r="G475" t="s">
        <v>1545</v>
      </c>
    </row>
    <row r="476" spans="1:35" x14ac:dyDescent="0.25">
      <c r="A476" s="3" t="s">
        <v>1132</v>
      </c>
      <c r="B476" s="2">
        <v>1.3194444444444444E-2</v>
      </c>
      <c r="C476">
        <v>0.93</v>
      </c>
      <c r="F476" t="str">
        <f t="shared" si="99"/>
        <v>2017/10/10 00:19:00</v>
      </c>
      <c r="G476" t="s">
        <v>1546</v>
      </c>
    </row>
    <row r="477" spans="1:35" x14ac:dyDescent="0.25">
      <c r="A477" s="3" t="s">
        <v>1133</v>
      </c>
      <c r="B477" s="2">
        <v>7.6388888888888886E-3</v>
      </c>
      <c r="C477">
        <v>1.28</v>
      </c>
      <c r="F477" t="str">
        <f t="shared" si="99"/>
        <v>2017/10/11 00:11:00</v>
      </c>
      <c r="G477" t="s">
        <v>1547</v>
      </c>
    </row>
    <row r="478" spans="1:35" x14ac:dyDescent="0.25">
      <c r="A478" s="3" t="s">
        <v>1134</v>
      </c>
      <c r="B478" s="2">
        <v>8.3333333333333332E-3</v>
      </c>
      <c r="C478">
        <v>1.01</v>
      </c>
      <c r="F478" t="str">
        <f t="shared" si="99"/>
        <v>2017/10/12 00:12:00</v>
      </c>
      <c r="G478" t="s">
        <v>1548</v>
      </c>
    </row>
    <row r="479" spans="1:35" x14ac:dyDescent="0.25">
      <c r="A479" s="3" t="s">
        <v>1135</v>
      </c>
      <c r="B479" s="2">
        <v>3.472222222222222E-3</v>
      </c>
      <c r="C479">
        <v>0.78400000000000003</v>
      </c>
      <c r="F479" t="str">
        <f t="shared" si="99"/>
        <v>2017/10/13 00:05:00</v>
      </c>
      <c r="G479" t="s">
        <v>1549</v>
      </c>
    </row>
    <row r="480" spans="1:35" x14ac:dyDescent="0.25">
      <c r="A480" s="3" t="s">
        <v>1136</v>
      </c>
      <c r="B480" s="2">
        <v>3.472222222222222E-3</v>
      </c>
      <c r="C480">
        <v>0.41299999999999998</v>
      </c>
      <c r="F480" t="str">
        <f t="shared" si="99"/>
        <v>2017/10/14 00:05:00</v>
      </c>
      <c r="G480" t="s">
        <v>1550</v>
      </c>
    </row>
    <row r="481" spans="1:35" x14ac:dyDescent="0.25">
      <c r="A481" s="3" t="s">
        <v>1137</v>
      </c>
      <c r="B481" s="2">
        <v>0.23125000000000001</v>
      </c>
      <c r="C481">
        <v>0.23699999999999999</v>
      </c>
      <c r="F481" t="str">
        <f t="shared" si="99"/>
        <v>2017/10/15 05:33:00</v>
      </c>
      <c r="G481" t="s">
        <v>1551</v>
      </c>
    </row>
    <row r="482" spans="1:35" x14ac:dyDescent="0.25">
      <c r="A482" s="3" t="s">
        <v>1138</v>
      </c>
      <c r="B482" s="2">
        <v>3.472222222222222E-3</v>
      </c>
      <c r="C482">
        <v>0.18099999999999999</v>
      </c>
      <c r="F482" t="str">
        <f t="shared" si="99"/>
        <v>2017/10/16 00:05:00</v>
      </c>
      <c r="G482" t="s">
        <v>1552</v>
      </c>
    </row>
    <row r="483" spans="1:35" s="12" customFormat="1" x14ac:dyDescent="0.25">
      <c r="A483" s="10" t="s">
        <v>1139</v>
      </c>
      <c r="B483" s="9">
        <v>8.3333333333333332E-3</v>
      </c>
      <c r="C483" s="12">
        <v>0.13900000000000001</v>
      </c>
      <c r="F483" t="str">
        <f t="shared" si="99"/>
        <v>2017/10/17 00:12:00</v>
      </c>
      <c r="G483" s="12" t="s">
        <v>1553</v>
      </c>
      <c r="AH483" s="32"/>
      <c r="AI483"/>
    </row>
    <row r="484" spans="1:35" x14ac:dyDescent="0.25">
      <c r="A484" s="3" t="s">
        <v>1140</v>
      </c>
      <c r="B484" s="2">
        <v>0.83819444444444446</v>
      </c>
      <c r="C484">
        <v>0.21199999999999999</v>
      </c>
      <c r="F484" t="str">
        <f t="shared" si="99"/>
        <v>2017/06/12 20:07:00</v>
      </c>
      <c r="G484" t="s">
        <v>1554</v>
      </c>
    </row>
    <row r="485" spans="1:35" x14ac:dyDescent="0.25">
      <c r="A485" s="3" t="s">
        <v>1140</v>
      </c>
      <c r="B485" s="2">
        <v>0.91249999999999998</v>
      </c>
      <c r="C485">
        <v>0.27600000000000002</v>
      </c>
      <c r="F485" t="str">
        <f t="shared" si="99"/>
        <v>2017/06/12 21:54:00</v>
      </c>
      <c r="G485" t="s">
        <v>1555</v>
      </c>
    </row>
    <row r="486" spans="1:35" x14ac:dyDescent="0.25">
      <c r="A486" s="3" t="s">
        <v>1141</v>
      </c>
      <c r="B486" s="2">
        <v>1.1805555555555555E-2</v>
      </c>
      <c r="C486">
        <v>0.61199999999999999</v>
      </c>
      <c r="F486" t="str">
        <f t="shared" si="99"/>
        <v>2017/06/13 00:17:00</v>
      </c>
      <c r="G486" t="s">
        <v>1556</v>
      </c>
    </row>
    <row r="487" spans="1:35" x14ac:dyDescent="0.25">
      <c r="A487" s="3" t="s">
        <v>1142</v>
      </c>
      <c r="B487" s="2">
        <v>1.6666666666666666E-2</v>
      </c>
      <c r="C487">
        <v>0.75700000000000001</v>
      </c>
      <c r="F487" t="str">
        <f t="shared" si="99"/>
        <v>2017/06/14 00:24:00</v>
      </c>
      <c r="G487" t="s">
        <v>1557</v>
      </c>
    </row>
    <row r="488" spans="1:35" x14ac:dyDescent="0.25">
      <c r="A488" s="3" t="s">
        <v>1143</v>
      </c>
      <c r="B488" s="2">
        <v>2.2222222222222223E-2</v>
      </c>
      <c r="C488">
        <v>0.47899999999999998</v>
      </c>
      <c r="F488" t="str">
        <f t="shared" si="99"/>
        <v>2017/06/15 00:32:00</v>
      </c>
      <c r="G488" t="s">
        <v>1558</v>
      </c>
    </row>
    <row r="489" spans="1:35" x14ac:dyDescent="0.25">
      <c r="A489" s="11" t="s">
        <v>1144</v>
      </c>
      <c r="B489" s="2">
        <v>1.9444444444444445E-2</v>
      </c>
      <c r="C489">
        <v>0.43</v>
      </c>
      <c r="F489" t="str">
        <f t="shared" si="99"/>
        <v>2017/06/16 00:28:00</v>
      </c>
      <c r="G489" t="s">
        <v>1559</v>
      </c>
    </row>
    <row r="490" spans="1:35" x14ac:dyDescent="0.25">
      <c r="A490" s="3" t="s">
        <v>1145</v>
      </c>
      <c r="B490" s="2">
        <v>2.0833333333333333E-3</v>
      </c>
      <c r="C490">
        <v>0.39400000000000002</v>
      </c>
      <c r="F490" t="str">
        <f t="shared" si="99"/>
        <v>2017/06/17 00:03:00</v>
      </c>
      <c r="G490" t="s">
        <v>1560</v>
      </c>
    </row>
    <row r="491" spans="1:35" x14ac:dyDescent="0.25">
      <c r="A491" s="3" t="s">
        <v>1146</v>
      </c>
      <c r="B491" s="2">
        <v>6.9444444444444447E-4</v>
      </c>
      <c r="C491">
        <v>0.22800000000000001</v>
      </c>
      <c r="F491" t="str">
        <f t="shared" si="99"/>
        <v>2017/06/18 00:01:00</v>
      </c>
      <c r="G491" t="s">
        <v>1561</v>
      </c>
    </row>
    <row r="492" spans="1:35" s="12" customFormat="1" x14ac:dyDescent="0.25">
      <c r="A492" s="10" t="s">
        <v>1147</v>
      </c>
      <c r="B492" s="9">
        <v>6.2500000000000003E-3</v>
      </c>
      <c r="C492" s="12">
        <v>0.125</v>
      </c>
      <c r="F492" t="str">
        <f t="shared" si="99"/>
        <v>2017/06/19 00:09:00</v>
      </c>
      <c r="G492" s="12" t="s">
        <v>1562</v>
      </c>
      <c r="AH492" s="32"/>
      <c r="AI492"/>
    </row>
    <row r="493" spans="1:35" x14ac:dyDescent="0.25">
      <c r="A493" s="3" t="s">
        <v>1148</v>
      </c>
      <c r="B493" s="2">
        <v>0.73124999999999996</v>
      </c>
      <c r="C493">
        <v>3.6</v>
      </c>
      <c r="F493" t="str">
        <f t="shared" si="99"/>
        <v>2019/05/06 17:33:00</v>
      </c>
      <c r="G493" t="s">
        <v>1563</v>
      </c>
    </row>
    <row r="494" spans="1:35" x14ac:dyDescent="0.25">
      <c r="A494" s="3" t="s">
        <v>1148</v>
      </c>
      <c r="B494" s="2">
        <v>0.91736111111111107</v>
      </c>
      <c r="C494">
        <v>14.44</v>
      </c>
      <c r="F494" t="str">
        <f t="shared" si="99"/>
        <v>2019/05/06 22:01:00</v>
      </c>
      <c r="G494" t="s">
        <v>1564</v>
      </c>
    </row>
    <row r="495" spans="1:35" x14ac:dyDescent="0.25">
      <c r="A495" s="3" t="s">
        <v>1149</v>
      </c>
      <c r="B495" s="2">
        <v>1.3888888888888888E-2</v>
      </c>
      <c r="C495">
        <v>6.84</v>
      </c>
      <c r="F495" t="str">
        <f t="shared" si="99"/>
        <v>2019/05/07 00:20:00</v>
      </c>
      <c r="G495" t="s">
        <v>1565</v>
      </c>
    </row>
    <row r="496" spans="1:35" x14ac:dyDescent="0.25">
      <c r="A496" s="3" t="s">
        <v>1150</v>
      </c>
      <c r="B496" s="2">
        <v>1.5277777777777777E-2</v>
      </c>
      <c r="C496">
        <v>7.14</v>
      </c>
      <c r="F496" t="str">
        <f t="shared" si="99"/>
        <v>2019/05/08 00:22:00</v>
      </c>
      <c r="G496" t="s">
        <v>1566</v>
      </c>
    </row>
    <row r="497" spans="1:7" x14ac:dyDescent="0.25">
      <c r="A497" s="3" t="s">
        <v>1151</v>
      </c>
      <c r="B497" s="2">
        <v>8.3333333333333332E-3</v>
      </c>
      <c r="C497">
        <v>6.84</v>
      </c>
      <c r="F497" t="str">
        <f t="shared" si="99"/>
        <v>2019/05/09 00:12:00</v>
      </c>
      <c r="G497" t="s">
        <v>1567</v>
      </c>
    </row>
    <row r="498" spans="1:7" x14ac:dyDescent="0.25">
      <c r="A498" s="3" t="s">
        <v>1152</v>
      </c>
      <c r="B498" s="2">
        <v>1.8749999999999999E-2</v>
      </c>
      <c r="C498">
        <v>5.49</v>
      </c>
      <c r="F498" t="str">
        <f t="shared" ref="F498:F510" si="100">TEXT(A498,"yyyy/mm/dd") &amp; " " &amp; TEXT(B498,"hh:mm:ss")</f>
        <v>2019/05/10 00:27:00</v>
      </c>
      <c r="G498" t="s">
        <v>1568</v>
      </c>
    </row>
    <row r="499" spans="1:7" x14ac:dyDescent="0.25">
      <c r="A499" s="3" t="s">
        <v>1153</v>
      </c>
      <c r="B499" s="2">
        <v>2.361111111111111E-2</v>
      </c>
      <c r="C499">
        <v>3.87</v>
      </c>
      <c r="F499" t="str">
        <f t="shared" si="100"/>
        <v>2019/05/11 00:34:00</v>
      </c>
      <c r="G499" t="s">
        <v>1569</v>
      </c>
    </row>
    <row r="500" spans="1:7" x14ac:dyDescent="0.25">
      <c r="A500" s="3" t="s">
        <v>1154</v>
      </c>
      <c r="B500" s="2">
        <v>2.7777777777777779E-3</v>
      </c>
      <c r="C500">
        <v>2.2999999999999998</v>
      </c>
      <c r="F500" t="str">
        <f t="shared" si="100"/>
        <v>2019/05/12 00:04:00</v>
      </c>
      <c r="G500" t="s">
        <v>1570</v>
      </c>
    </row>
    <row r="501" spans="1:7" x14ac:dyDescent="0.25">
      <c r="A501" s="3" t="s">
        <v>1155</v>
      </c>
      <c r="B501" s="2">
        <v>7.6388888888888886E-3</v>
      </c>
      <c r="C501">
        <v>1.54</v>
      </c>
      <c r="F501" t="str">
        <f t="shared" si="100"/>
        <v>2019/05/13 00:11:00</v>
      </c>
      <c r="G501" t="s">
        <v>1571</v>
      </c>
    </row>
    <row r="502" spans="1:7" x14ac:dyDescent="0.25">
      <c r="A502" s="3" t="s">
        <v>1156</v>
      </c>
      <c r="B502" s="2">
        <v>0.23541666666666666</v>
      </c>
      <c r="C502">
        <v>1.1499999999999999</v>
      </c>
      <c r="F502" t="str">
        <f t="shared" si="100"/>
        <v>2019/05/14 05:39:00</v>
      </c>
      <c r="G502" t="s">
        <v>1572</v>
      </c>
    </row>
    <row r="503" spans="1:7" x14ac:dyDescent="0.25">
      <c r="A503" s="3" t="s">
        <v>1157</v>
      </c>
      <c r="B503" s="2">
        <v>1.3888888888888889E-3</v>
      </c>
      <c r="C503">
        <v>0.72699999999999998</v>
      </c>
      <c r="F503" t="str">
        <f t="shared" si="100"/>
        <v>2019/05/15 00:02:00</v>
      </c>
      <c r="G503" t="s">
        <v>1573</v>
      </c>
    </row>
    <row r="504" spans="1:7" x14ac:dyDescent="0.25">
      <c r="A504" s="3" t="s">
        <v>111</v>
      </c>
      <c r="B504" s="2">
        <v>1.3888888888888889E-3</v>
      </c>
      <c r="C504">
        <v>0.48199999999999998</v>
      </c>
      <c r="F504" t="str">
        <f t="shared" si="100"/>
        <v>2019/05/16 00:02:00</v>
      </c>
      <c r="G504" t="s">
        <v>1574</v>
      </c>
    </row>
    <row r="505" spans="1:7" x14ac:dyDescent="0.25">
      <c r="A505" s="3" t="s">
        <v>281</v>
      </c>
      <c r="B505" s="2">
        <v>2.7777777777777779E-3</v>
      </c>
      <c r="C505">
        <v>0.36399999999999999</v>
      </c>
      <c r="F505" t="str">
        <f t="shared" si="100"/>
        <v>2019/05/17 00:04:00</v>
      </c>
      <c r="G505" t="s">
        <v>1575</v>
      </c>
    </row>
    <row r="506" spans="1:7" x14ac:dyDescent="0.25">
      <c r="A506" s="3" t="s">
        <v>282</v>
      </c>
      <c r="B506" s="2">
        <v>4.8611111111111112E-3</v>
      </c>
      <c r="C506">
        <v>0.26700000000000002</v>
      </c>
      <c r="F506" t="str">
        <f t="shared" si="100"/>
        <v>2019/05/18 00:07:00</v>
      </c>
      <c r="G506" t="s">
        <v>562</v>
      </c>
    </row>
    <row r="507" spans="1:7" x14ac:dyDescent="0.25">
      <c r="A507" s="3" t="s">
        <v>283</v>
      </c>
      <c r="B507" s="5">
        <v>0.25</v>
      </c>
      <c r="C507">
        <v>0.217</v>
      </c>
      <c r="F507" t="str">
        <f t="shared" si="100"/>
        <v>2019/05/19 06:00:00</v>
      </c>
      <c r="G507" t="s">
        <v>563</v>
      </c>
    </row>
    <row r="508" spans="1:7" x14ac:dyDescent="0.25">
      <c r="A508" s="3" t="s">
        <v>284</v>
      </c>
      <c r="B508" s="2">
        <v>2.0833333333333333E-3</v>
      </c>
      <c r="C508">
        <v>0.16</v>
      </c>
      <c r="F508" t="str">
        <f t="shared" si="100"/>
        <v>2019/05/20 00:03:00</v>
      </c>
      <c r="G508" t="s">
        <v>564</v>
      </c>
    </row>
    <row r="509" spans="1:7" x14ac:dyDescent="0.25">
      <c r="A509" s="3" t="s">
        <v>284</v>
      </c>
      <c r="B509" s="2">
        <v>0.65208333333333335</v>
      </c>
      <c r="C509">
        <v>0.14699999999999999</v>
      </c>
      <c r="F509" t="str">
        <f t="shared" si="100"/>
        <v>2019/05/20 15:39:00</v>
      </c>
      <c r="G509" t="s">
        <v>1576</v>
      </c>
    </row>
    <row r="510" spans="1:7" x14ac:dyDescent="0.25">
      <c r="A510" s="3" t="s">
        <v>1158</v>
      </c>
      <c r="B510" s="2">
        <v>4.1666666666666666E-3</v>
      </c>
      <c r="C510">
        <v>0.14299999999999999</v>
      </c>
      <c r="F510" t="str">
        <f t="shared" si="100"/>
        <v>2019/05/21 00:06:00</v>
      </c>
      <c r="G510" t="s">
        <v>1577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2D53-31C3-4AFC-B165-6AEDB8EB995F}">
  <dimension ref="A1:AE56"/>
  <sheetViews>
    <sheetView topLeftCell="D1" workbookViewId="0">
      <selection activeCell="Q20" sqref="Q20:AE37"/>
    </sheetView>
  </sheetViews>
  <sheetFormatPr defaultRowHeight="15" x14ac:dyDescent="0.25"/>
  <sheetData>
    <row r="1" spans="1:29" x14ac:dyDescent="0.25">
      <c r="A1" t="s">
        <v>1578</v>
      </c>
      <c r="B1" s="7">
        <v>0.25</v>
      </c>
      <c r="C1">
        <v>12.9</v>
      </c>
      <c r="D1" s="7">
        <v>0.43611111110658385</v>
      </c>
      <c r="E1">
        <v>6.94</v>
      </c>
      <c r="F1" s="7">
        <v>0.788888888884685</v>
      </c>
      <c r="G1">
        <v>4.58</v>
      </c>
      <c r="H1" s="7">
        <v>1.8111111111065838</v>
      </c>
      <c r="I1">
        <v>2.93</v>
      </c>
      <c r="J1" s="7">
        <v>2.8090277777737356</v>
      </c>
      <c r="K1">
        <v>4.08</v>
      </c>
      <c r="L1" s="7">
        <v>3.8576388888832298</v>
      </c>
      <c r="M1">
        <v>3.72</v>
      </c>
      <c r="N1" s="7">
        <v>4.8416666666671517</v>
      </c>
      <c r="O1">
        <v>2.41</v>
      </c>
      <c r="P1" s="7">
        <v>6.8374999999941792</v>
      </c>
      <c r="Q1">
        <v>0.67400000000000004</v>
      </c>
      <c r="R1" s="7"/>
      <c r="T1" s="7"/>
      <c r="V1" s="7"/>
    </row>
    <row r="2" spans="1:29" x14ac:dyDescent="0.25">
      <c r="A2" t="s">
        <v>1579</v>
      </c>
      <c r="B2" s="7">
        <v>0.21111111110803904</v>
      </c>
      <c r="C2">
        <v>0.189</v>
      </c>
      <c r="D2" s="7">
        <v>0.42986111110803904</v>
      </c>
      <c r="E2">
        <v>0.46800000000000003</v>
      </c>
      <c r="F2" s="7">
        <v>0.95138888888322981</v>
      </c>
      <c r="G2">
        <v>0.32200000000000001</v>
      </c>
      <c r="H2" s="7">
        <v>2.0048611111051287</v>
      </c>
      <c r="I2">
        <v>0.23200000000000001</v>
      </c>
      <c r="J2" s="7">
        <v>3.0034722222189885</v>
      </c>
      <c r="K2">
        <v>0.24</v>
      </c>
      <c r="L2" s="7">
        <v>4.0527777777751908</v>
      </c>
      <c r="M2">
        <v>0.23100000000000001</v>
      </c>
      <c r="N2" s="7">
        <v>5.0319444444394321</v>
      </c>
      <c r="O2">
        <v>0.19900000000000001</v>
      </c>
      <c r="P2" s="7">
        <v>6.0270833333343035</v>
      </c>
      <c r="Q2">
        <v>0.14599999999999999</v>
      </c>
      <c r="R2" s="7">
        <v>7.0291666666671517</v>
      </c>
      <c r="S2">
        <v>0.11</v>
      </c>
      <c r="T2" s="7"/>
      <c r="V2" s="7"/>
    </row>
    <row r="3" spans="1:29" x14ac:dyDescent="0.25">
      <c r="A3" t="s">
        <v>1580</v>
      </c>
      <c r="B3" s="7">
        <v>3.5416666665696539E-2</v>
      </c>
      <c r="C3">
        <v>2.2400000000000002</v>
      </c>
      <c r="D3" s="7">
        <v>0.16041666666569654</v>
      </c>
      <c r="E3">
        <v>6.93</v>
      </c>
      <c r="F3" s="7">
        <v>0.46180555555474712</v>
      </c>
      <c r="G3">
        <v>7.01</v>
      </c>
      <c r="H3" s="7">
        <v>1.4638888888875954</v>
      </c>
      <c r="I3">
        <v>2.4900000000000002</v>
      </c>
      <c r="J3" s="7">
        <v>2.4375</v>
      </c>
      <c r="K3">
        <v>3.16</v>
      </c>
      <c r="L3" s="7">
        <v>3.4159722222248092</v>
      </c>
      <c r="M3">
        <v>3.82</v>
      </c>
      <c r="N3" s="7">
        <v>4.429861111108039</v>
      </c>
      <c r="O3">
        <v>3.4</v>
      </c>
      <c r="P3" s="7"/>
      <c r="R3" s="7"/>
      <c r="T3" s="7"/>
      <c r="V3" s="7"/>
    </row>
    <row r="4" spans="1:29" x14ac:dyDescent="0.25">
      <c r="A4" t="s">
        <v>1581</v>
      </c>
      <c r="B4" s="7">
        <v>0.21458333333430346</v>
      </c>
      <c r="C4">
        <v>0.34499999999999997</v>
      </c>
      <c r="D4" s="7">
        <v>0.51527777777664596</v>
      </c>
      <c r="E4">
        <v>1.3</v>
      </c>
      <c r="F4" s="7">
        <v>0.81111111110658385</v>
      </c>
      <c r="G4">
        <v>0.89300000000000002</v>
      </c>
      <c r="H4" s="7">
        <v>1.8638888888890506</v>
      </c>
      <c r="I4">
        <v>0.75900000000000001</v>
      </c>
      <c r="J4" s="7">
        <v>2.84375</v>
      </c>
      <c r="K4">
        <v>1.02</v>
      </c>
      <c r="L4" s="7"/>
      <c r="N4" s="7"/>
      <c r="P4" s="7"/>
      <c r="R4" s="7"/>
      <c r="T4" s="7"/>
      <c r="V4" s="7"/>
    </row>
    <row r="5" spans="1:29" x14ac:dyDescent="0.25">
      <c r="A5" t="s">
        <v>1582</v>
      </c>
      <c r="B5" s="7">
        <v>0.21597222222771961</v>
      </c>
      <c r="C5">
        <v>9.6000000000000002E-2</v>
      </c>
      <c r="D5" s="7">
        <v>0.39375000000291038</v>
      </c>
      <c r="E5">
        <v>0.245</v>
      </c>
      <c r="F5" s="7">
        <v>1.2319444444437977</v>
      </c>
      <c r="G5">
        <v>0.63600000000000001</v>
      </c>
      <c r="H5" s="7">
        <v>2.2902777777781012</v>
      </c>
      <c r="I5">
        <v>0.47399999999999998</v>
      </c>
      <c r="J5" s="7">
        <v>3.2770833333343035</v>
      </c>
      <c r="K5">
        <v>0.61399999999999999</v>
      </c>
      <c r="L5" s="7">
        <v>4.2694444444496185</v>
      </c>
      <c r="M5">
        <v>0.628</v>
      </c>
      <c r="N5" s="7">
        <v>5.2715277777824667</v>
      </c>
      <c r="O5">
        <v>0.39</v>
      </c>
      <c r="P5" s="7"/>
      <c r="R5" s="7"/>
      <c r="T5" s="7"/>
      <c r="V5" s="7"/>
    </row>
    <row r="6" spans="1:29" x14ac:dyDescent="0.25">
      <c r="A6" t="s">
        <v>1583</v>
      </c>
      <c r="B6" s="7">
        <v>0.18263888888759539</v>
      </c>
      <c r="C6">
        <v>0.153</v>
      </c>
      <c r="D6" s="7">
        <v>0.50347222221898846</v>
      </c>
      <c r="E6">
        <v>0.155</v>
      </c>
      <c r="F6" s="7">
        <v>0.58819444444088731</v>
      </c>
      <c r="G6">
        <v>0.17399999999999999</v>
      </c>
      <c r="H6" s="7">
        <v>1.5944444444394321</v>
      </c>
      <c r="I6">
        <v>0.113</v>
      </c>
      <c r="J6" s="7">
        <v>2.5763888888832298</v>
      </c>
      <c r="K6">
        <v>0.114</v>
      </c>
      <c r="L6" s="7">
        <v>3.5847222222218988</v>
      </c>
      <c r="M6">
        <v>0.14199999999999999</v>
      </c>
      <c r="N6" s="7">
        <v>4.5986111111051287</v>
      </c>
      <c r="O6">
        <v>7.0000000000000007E-2</v>
      </c>
      <c r="P6" s="7"/>
      <c r="R6" s="7"/>
      <c r="T6" s="7"/>
      <c r="V6" s="7"/>
    </row>
    <row r="7" spans="1:29" x14ac:dyDescent="0.25">
      <c r="A7" t="s">
        <v>1584</v>
      </c>
      <c r="B7" s="7">
        <v>0.3631944444423425</v>
      </c>
      <c r="C7">
        <v>2.9000000000000001E-2</v>
      </c>
      <c r="D7" s="7">
        <v>1.0847222222218988</v>
      </c>
      <c r="E7">
        <v>3.1E-2</v>
      </c>
      <c r="F7" s="7">
        <v>2.1180555555547471</v>
      </c>
      <c r="G7">
        <v>3.5999999999999997E-2</v>
      </c>
      <c r="H7" s="7"/>
      <c r="J7" s="7"/>
      <c r="L7" s="7"/>
      <c r="N7" s="7"/>
      <c r="P7" s="7"/>
      <c r="R7" s="7"/>
      <c r="T7" s="7"/>
      <c r="V7" s="7"/>
    </row>
    <row r="8" spans="1:29" x14ac:dyDescent="0.25">
      <c r="A8" t="s">
        <v>1585</v>
      </c>
      <c r="B8" s="7">
        <v>1.3493055555591127</v>
      </c>
      <c r="C8">
        <v>1.78</v>
      </c>
      <c r="D8" s="7">
        <v>1.7930555555576575</v>
      </c>
      <c r="E8">
        <v>2.06</v>
      </c>
      <c r="F8" s="7">
        <v>2.8263888888905058</v>
      </c>
      <c r="G8">
        <v>2.17</v>
      </c>
      <c r="H8" s="7">
        <v>3.1437500000029104</v>
      </c>
      <c r="I8">
        <v>1.96</v>
      </c>
      <c r="J8" s="7">
        <v>3.7770833333343035</v>
      </c>
      <c r="K8">
        <v>1.67</v>
      </c>
      <c r="L8" s="7">
        <v>4.8138888888861402</v>
      </c>
      <c r="M8">
        <v>1.06</v>
      </c>
      <c r="N8" s="7"/>
      <c r="P8" s="7"/>
      <c r="R8" s="7"/>
      <c r="T8" s="7"/>
      <c r="V8" s="7"/>
    </row>
    <row r="9" spans="1:29" x14ac:dyDescent="0.25">
      <c r="A9" t="s">
        <v>1586</v>
      </c>
      <c r="B9" s="7">
        <v>0.20555555555620231</v>
      </c>
      <c r="C9">
        <v>9.6000000000000002E-2</v>
      </c>
      <c r="D9" s="7">
        <v>0.36597222222189885</v>
      </c>
      <c r="E9">
        <v>0.38900000000000001</v>
      </c>
      <c r="F9" s="7">
        <v>0.79097222222480923</v>
      </c>
      <c r="G9">
        <v>0.79600000000000004</v>
      </c>
      <c r="H9" s="7">
        <v>1.8111111111138598</v>
      </c>
      <c r="I9">
        <v>0.436</v>
      </c>
      <c r="J9" s="7">
        <v>2.8090277777810115</v>
      </c>
      <c r="K9">
        <v>0.48699999999999999</v>
      </c>
      <c r="L9" s="7">
        <v>3.773611111108039</v>
      </c>
      <c r="M9">
        <v>0.52100000000000002</v>
      </c>
      <c r="N9" s="7"/>
      <c r="P9" s="7"/>
      <c r="R9" s="7"/>
      <c r="T9" s="7"/>
      <c r="V9" s="7"/>
    </row>
    <row r="10" spans="1:29" x14ac:dyDescent="0.25">
      <c r="A10" t="s">
        <v>1587</v>
      </c>
      <c r="B10" s="7">
        <v>0.30694444444816327</v>
      </c>
      <c r="C10">
        <v>18.239999999999998</v>
      </c>
      <c r="D10" s="7">
        <v>0.65625</v>
      </c>
      <c r="E10">
        <v>11.91</v>
      </c>
      <c r="F10" s="7">
        <v>1.0638888888934162</v>
      </c>
      <c r="G10">
        <v>8.33</v>
      </c>
      <c r="H10" s="7">
        <v>1.8034722222218988</v>
      </c>
      <c r="I10">
        <v>6.01</v>
      </c>
      <c r="J10" s="7">
        <v>2.7673611111167702</v>
      </c>
      <c r="K10">
        <v>5.64</v>
      </c>
      <c r="L10" s="7">
        <v>3.7319444444437977</v>
      </c>
      <c r="M10">
        <v>5.68</v>
      </c>
      <c r="N10" s="7">
        <v>4.788888888891961</v>
      </c>
      <c r="O10">
        <v>5.45</v>
      </c>
      <c r="P10" s="7">
        <v>6.7756944444481633</v>
      </c>
      <c r="Q10">
        <v>2.0699999999999998</v>
      </c>
      <c r="R10" s="7"/>
      <c r="T10" s="7"/>
      <c r="V10" s="7"/>
    </row>
    <row r="11" spans="1:29" x14ac:dyDescent="0.25">
      <c r="A11" t="s">
        <v>1588</v>
      </c>
      <c r="B11" s="7">
        <v>0.99166666666860692</v>
      </c>
      <c r="C11">
        <v>3.87</v>
      </c>
      <c r="D11" s="7">
        <v>0.99027777778246673</v>
      </c>
      <c r="E11">
        <v>3.87</v>
      </c>
      <c r="F11" s="7">
        <v>1.2173611111138598</v>
      </c>
      <c r="G11">
        <v>2.9</v>
      </c>
      <c r="H11" s="7">
        <v>1.7694444444496185</v>
      </c>
      <c r="I11">
        <v>3.1</v>
      </c>
      <c r="J11" s="7">
        <v>2.7673611111167702</v>
      </c>
      <c r="K11">
        <v>2.38</v>
      </c>
      <c r="L11" s="7">
        <v>3.711111111115315</v>
      </c>
      <c r="M11">
        <v>2.64</v>
      </c>
      <c r="N11" s="7">
        <v>4.765277777776646</v>
      </c>
      <c r="O11">
        <v>2.4900000000000002</v>
      </c>
      <c r="P11" s="7">
        <v>5.7805555555605679</v>
      </c>
      <c r="Q11">
        <v>0.01</v>
      </c>
      <c r="R11" s="7">
        <v>5.7805555555605679</v>
      </c>
      <c r="S11">
        <v>2.0299999999999998</v>
      </c>
      <c r="T11" s="7"/>
      <c r="V11" s="7"/>
    </row>
    <row r="12" spans="1:29" x14ac:dyDescent="0.25">
      <c r="A12" t="s">
        <v>1589</v>
      </c>
      <c r="B12" s="7">
        <v>0.56458333333284827</v>
      </c>
      <c r="C12">
        <v>2.83</v>
      </c>
      <c r="D12" s="7">
        <v>0.77291666666860692</v>
      </c>
      <c r="E12">
        <v>4.0999999999999996</v>
      </c>
      <c r="F12" s="7">
        <v>1.1548611111138598</v>
      </c>
      <c r="G12">
        <v>2.44</v>
      </c>
      <c r="H12" s="7">
        <v>1.6041666666642413</v>
      </c>
      <c r="I12">
        <v>1.68</v>
      </c>
      <c r="J12" s="7">
        <v>2.1374999999970896</v>
      </c>
      <c r="K12">
        <v>2.16</v>
      </c>
      <c r="L12" s="7">
        <v>3.1381944444437977</v>
      </c>
      <c r="M12">
        <v>2.87</v>
      </c>
      <c r="N12" s="7">
        <v>4.203472222223354</v>
      </c>
      <c r="O12">
        <v>2.09</v>
      </c>
      <c r="P12" s="7">
        <v>5.1645833333313931</v>
      </c>
      <c r="Q12">
        <v>0.99199999999999999</v>
      </c>
      <c r="R12" s="7">
        <v>6.171527777776646</v>
      </c>
      <c r="S12">
        <v>0.45100000000000001</v>
      </c>
      <c r="T12" s="7">
        <v>7.1513888888875954</v>
      </c>
      <c r="U12">
        <v>0.20499999999999999</v>
      </c>
      <c r="V12" s="7"/>
    </row>
    <row r="13" spans="1:29" x14ac:dyDescent="0.25">
      <c r="A13" t="s">
        <v>1590</v>
      </c>
      <c r="B13" s="7">
        <v>0.74722222222044365</v>
      </c>
      <c r="C13">
        <v>1.44</v>
      </c>
      <c r="D13" s="7">
        <v>1.2729166666686069</v>
      </c>
      <c r="E13">
        <v>2.0099999999999998</v>
      </c>
      <c r="F13" s="7">
        <v>1.6159722222218988</v>
      </c>
      <c r="G13">
        <v>1.7</v>
      </c>
      <c r="H13" s="7">
        <v>2.6374999999970896</v>
      </c>
      <c r="I13">
        <v>1.89</v>
      </c>
      <c r="J13" s="7">
        <v>3.0104166666642413</v>
      </c>
      <c r="K13">
        <v>1.72</v>
      </c>
      <c r="L13" s="7">
        <v>3.6479166666686069</v>
      </c>
      <c r="M13">
        <v>1.69</v>
      </c>
      <c r="N13" s="7">
        <v>5.6770833333357587</v>
      </c>
      <c r="O13">
        <v>0.73099999999999998</v>
      </c>
      <c r="P13" s="7"/>
      <c r="R13" s="7"/>
      <c r="T13" s="7"/>
      <c r="V13" s="7"/>
    </row>
    <row r="14" spans="1:29" x14ac:dyDescent="0.25">
      <c r="A14" t="s">
        <v>1591</v>
      </c>
      <c r="B14" s="7">
        <v>0.48611111111677019</v>
      </c>
      <c r="C14">
        <v>3.94</v>
      </c>
      <c r="D14" s="7">
        <v>0.50625000000582077</v>
      </c>
      <c r="E14">
        <v>10</v>
      </c>
      <c r="F14" s="7">
        <v>0.80625000000145519</v>
      </c>
      <c r="G14">
        <v>10.68</v>
      </c>
      <c r="H14" s="7">
        <v>1.3548611111109494</v>
      </c>
      <c r="I14">
        <v>7.18</v>
      </c>
      <c r="J14" s="7">
        <v>2.3562500000043656</v>
      </c>
      <c r="K14">
        <v>4.9800000000000004</v>
      </c>
      <c r="L14" s="7">
        <v>3.382638888891961</v>
      </c>
      <c r="M14">
        <v>5.0999999999999996</v>
      </c>
      <c r="N14" s="7">
        <v>4.3729166666671517</v>
      </c>
      <c r="O14">
        <v>4.45</v>
      </c>
      <c r="P14" s="7">
        <v>5.3236111111109494</v>
      </c>
      <c r="Q14">
        <v>3.22</v>
      </c>
      <c r="R14" s="7">
        <v>7.4284722222218988</v>
      </c>
      <c r="S14">
        <v>1.25</v>
      </c>
      <c r="T14" s="7">
        <v>8.3680555555547471</v>
      </c>
      <c r="U14">
        <v>0.74399999999999999</v>
      </c>
      <c r="V14" s="7"/>
    </row>
    <row r="15" spans="1:29" x14ac:dyDescent="0.25">
      <c r="A15" t="s">
        <v>1592</v>
      </c>
      <c r="B15" s="7">
        <v>0.375</v>
      </c>
      <c r="C15">
        <v>7.01</v>
      </c>
      <c r="D15" s="7">
        <v>0.85069444444525288</v>
      </c>
      <c r="E15">
        <v>5.27</v>
      </c>
      <c r="F15" s="7">
        <v>1.3583333333372138</v>
      </c>
      <c r="G15">
        <v>4.95</v>
      </c>
      <c r="H15" s="7">
        <v>2.3562500000043656</v>
      </c>
      <c r="I15">
        <v>3.43</v>
      </c>
      <c r="J15" s="7">
        <v>3.4118055555591127</v>
      </c>
      <c r="K15">
        <v>4.01</v>
      </c>
      <c r="L15" s="7">
        <v>4.375</v>
      </c>
      <c r="M15">
        <v>4.7</v>
      </c>
      <c r="N15" s="7">
        <v>5.3194444444452529</v>
      </c>
      <c r="O15">
        <v>3.72</v>
      </c>
      <c r="P15" s="7">
        <v>6.3548611111109494</v>
      </c>
      <c r="Q15">
        <v>3.06</v>
      </c>
      <c r="R15" s="7"/>
      <c r="T15" s="7"/>
      <c r="V15" s="7"/>
    </row>
    <row r="16" spans="1:29" x14ac:dyDescent="0.25">
      <c r="A16" t="s">
        <v>1593</v>
      </c>
      <c r="B16" s="7">
        <v>0.74861111111385981</v>
      </c>
      <c r="C16">
        <v>11.24</v>
      </c>
      <c r="D16" s="7">
        <v>0.86527777778246673</v>
      </c>
      <c r="E16">
        <v>7.79</v>
      </c>
      <c r="F16" s="7">
        <v>1.3625000000029104</v>
      </c>
      <c r="G16">
        <v>5.03</v>
      </c>
      <c r="H16" s="7">
        <v>2.4118055555591127</v>
      </c>
      <c r="I16">
        <v>2.84</v>
      </c>
      <c r="J16" s="7">
        <v>3.3729166666671517</v>
      </c>
      <c r="K16">
        <v>3.69</v>
      </c>
      <c r="L16" s="7">
        <v>4.3270833333372138</v>
      </c>
      <c r="M16">
        <v>4.5599999999999996</v>
      </c>
      <c r="N16" s="7">
        <v>5.3548611111109494</v>
      </c>
      <c r="O16">
        <v>3.98</v>
      </c>
      <c r="P16" s="7">
        <v>6.3881944444437977</v>
      </c>
      <c r="Q16">
        <v>2.27</v>
      </c>
      <c r="R16" s="7">
        <v>7.3354166666686069</v>
      </c>
      <c r="S16">
        <v>1.65</v>
      </c>
      <c r="T16" s="7">
        <v>7.9361111111138598</v>
      </c>
      <c r="U16">
        <v>1.5</v>
      </c>
      <c r="V16" s="7">
        <v>8.3479166666656965</v>
      </c>
      <c r="W16">
        <v>1.3</v>
      </c>
      <c r="X16" s="7">
        <v>8.7145833333343035</v>
      </c>
      <c r="Y16">
        <v>1.1599999999999999</v>
      </c>
      <c r="Z16" s="7">
        <v>10.351388888891961</v>
      </c>
      <c r="AA16">
        <v>0.71099999999999997</v>
      </c>
      <c r="AB16" s="7">
        <v>11.355555555557657</v>
      </c>
      <c r="AC16">
        <v>0.54</v>
      </c>
    </row>
    <row r="17" spans="1:27" x14ac:dyDescent="0.25">
      <c r="A17" t="s">
        <v>1594</v>
      </c>
      <c r="B17" s="7">
        <v>0.45138888889050577</v>
      </c>
      <c r="C17">
        <v>28.39</v>
      </c>
      <c r="D17" s="7">
        <v>0.61250000000291038</v>
      </c>
      <c r="E17">
        <v>15.65</v>
      </c>
      <c r="F17" s="7">
        <v>0.95555555555620231</v>
      </c>
      <c r="G17">
        <v>9.9700000000000006</v>
      </c>
      <c r="H17" s="7">
        <v>2.9597222222218988</v>
      </c>
      <c r="I17">
        <v>2.66</v>
      </c>
      <c r="J17" s="7">
        <v>3.9472222222248092</v>
      </c>
      <c r="K17">
        <v>2.27</v>
      </c>
      <c r="L17" s="7">
        <v>4.9548611111094942</v>
      </c>
      <c r="M17">
        <v>1.76</v>
      </c>
      <c r="N17" s="7">
        <v>5.9965277777810115</v>
      </c>
      <c r="O17">
        <v>1.46</v>
      </c>
      <c r="P17" s="7"/>
      <c r="R17" s="7"/>
      <c r="T17" s="7"/>
      <c r="V17" s="7"/>
    </row>
    <row r="18" spans="1:27" x14ac:dyDescent="0.25">
      <c r="A18" t="s">
        <v>1595</v>
      </c>
      <c r="B18" s="7">
        <v>1.6236111111138598</v>
      </c>
      <c r="C18">
        <v>5.74</v>
      </c>
      <c r="D18" s="7">
        <v>1.8333333333357587</v>
      </c>
      <c r="E18">
        <v>8.74</v>
      </c>
      <c r="F18" s="7">
        <v>2.4937500000014552</v>
      </c>
      <c r="G18">
        <v>3.3</v>
      </c>
      <c r="H18" s="7">
        <v>3.4034722222204437</v>
      </c>
      <c r="I18">
        <v>3.26</v>
      </c>
      <c r="J18" s="7">
        <v>4.3812499999985448</v>
      </c>
      <c r="K18">
        <v>3.36</v>
      </c>
      <c r="L18" s="7">
        <v>5.4340277777810115</v>
      </c>
      <c r="M18">
        <v>3.01</v>
      </c>
      <c r="N18" s="7">
        <v>5.7937499999970896</v>
      </c>
      <c r="O18">
        <v>2.57</v>
      </c>
      <c r="P18" s="7">
        <v>6.4666666666671517</v>
      </c>
      <c r="Q18">
        <v>1.29</v>
      </c>
      <c r="R18" s="7">
        <v>7.46875</v>
      </c>
      <c r="S18">
        <v>0.57899999999999996</v>
      </c>
      <c r="T18" s="7">
        <v>8.4479166666642413</v>
      </c>
      <c r="U18">
        <v>0.30499999999999999</v>
      </c>
      <c r="V18" s="7"/>
    </row>
    <row r="20" spans="1:27" x14ac:dyDescent="0.25">
      <c r="A20" t="s">
        <v>1578</v>
      </c>
      <c r="B20" s="7">
        <v>0.25</v>
      </c>
      <c r="C20" s="7">
        <v>0.43611111110658385</v>
      </c>
      <c r="D20" s="7">
        <v>0.788888888884685</v>
      </c>
      <c r="E20" s="7">
        <v>1.8111111111065838</v>
      </c>
      <c r="F20" s="7">
        <v>2.8090277777737356</v>
      </c>
      <c r="G20" s="7">
        <v>3.8576388888832298</v>
      </c>
      <c r="H20" s="7">
        <v>4.8416666666671517</v>
      </c>
      <c r="I20" s="7">
        <v>6.8374999999941792</v>
      </c>
      <c r="J20" s="7"/>
      <c r="K20" s="7"/>
      <c r="L20" s="7"/>
      <c r="Q20" t="s">
        <v>1578</v>
      </c>
      <c r="R20">
        <v>12.9</v>
      </c>
      <c r="S20">
        <v>6.94</v>
      </c>
      <c r="T20">
        <v>4.58</v>
      </c>
      <c r="U20">
        <v>2.93</v>
      </c>
      <c r="V20">
        <v>4.08</v>
      </c>
      <c r="W20">
        <v>3.72</v>
      </c>
      <c r="X20">
        <v>2.41</v>
      </c>
      <c r="Y20">
        <v>0.67400000000000004</v>
      </c>
    </row>
    <row r="21" spans="1:27" x14ac:dyDescent="0.25">
      <c r="A21" t="s">
        <v>1579</v>
      </c>
      <c r="B21" s="7">
        <v>0.21111111110803904</v>
      </c>
      <c r="C21" s="7">
        <v>0.42986111110803904</v>
      </c>
      <c r="D21" s="7">
        <v>0.95138888888322981</v>
      </c>
      <c r="E21" s="7">
        <v>2.0048611111051287</v>
      </c>
      <c r="F21" s="7">
        <v>3.0034722222189885</v>
      </c>
      <c r="G21" s="7">
        <v>4.0527777777751908</v>
      </c>
      <c r="H21" s="7">
        <v>5.0319444444394321</v>
      </c>
      <c r="I21" s="7">
        <v>6.0270833333343035</v>
      </c>
      <c r="J21" s="7">
        <v>7.0291666666671517</v>
      </c>
      <c r="K21" s="7"/>
      <c r="L21" s="7"/>
      <c r="Q21" t="s">
        <v>1579</v>
      </c>
      <c r="R21">
        <v>0.189</v>
      </c>
      <c r="S21">
        <v>0.46800000000000003</v>
      </c>
      <c r="T21">
        <v>0.32200000000000001</v>
      </c>
      <c r="U21">
        <v>0.23200000000000001</v>
      </c>
      <c r="V21">
        <v>0.24</v>
      </c>
      <c r="W21">
        <v>0.23100000000000001</v>
      </c>
      <c r="X21">
        <v>0.19900000000000001</v>
      </c>
      <c r="Y21">
        <v>0.14599999999999999</v>
      </c>
      <c r="Z21">
        <v>0.11</v>
      </c>
    </row>
    <row r="22" spans="1:27" x14ac:dyDescent="0.25">
      <c r="A22" t="s">
        <v>1580</v>
      </c>
      <c r="B22" s="7">
        <v>3.5416666665696539E-2</v>
      </c>
      <c r="C22" s="7">
        <v>0.16041666666569654</v>
      </c>
      <c r="D22" s="7">
        <v>0.46180555555474712</v>
      </c>
      <c r="E22" s="7">
        <v>1.4638888888875954</v>
      </c>
      <c r="F22" s="7">
        <v>2.4375</v>
      </c>
      <c r="G22" s="7">
        <v>3.4159722222248092</v>
      </c>
      <c r="H22" s="7">
        <v>4.429861111108039</v>
      </c>
      <c r="I22" s="7"/>
      <c r="J22" s="7"/>
      <c r="K22" s="7"/>
      <c r="L22" s="7"/>
      <c r="Q22" t="s">
        <v>1580</v>
      </c>
      <c r="R22">
        <v>2.2400000000000002</v>
      </c>
      <c r="S22">
        <v>6.93</v>
      </c>
      <c r="T22">
        <v>7.01</v>
      </c>
      <c r="U22">
        <v>2.4900000000000002</v>
      </c>
      <c r="V22">
        <v>3.16</v>
      </c>
      <c r="W22">
        <v>3.82</v>
      </c>
      <c r="X22">
        <v>3.4</v>
      </c>
    </row>
    <row r="23" spans="1:27" x14ac:dyDescent="0.25">
      <c r="A23" t="s">
        <v>1581</v>
      </c>
      <c r="B23" s="7">
        <v>0.21458333333430346</v>
      </c>
      <c r="C23" s="7">
        <v>0.51527777777664596</v>
      </c>
      <c r="D23" s="7">
        <v>0.81111111110658385</v>
      </c>
      <c r="E23" s="7">
        <v>1.8638888888890506</v>
      </c>
      <c r="F23" s="7">
        <v>2.84375</v>
      </c>
      <c r="G23" s="7"/>
      <c r="H23" s="7"/>
      <c r="I23" s="7"/>
      <c r="J23" s="7"/>
      <c r="K23" s="7"/>
      <c r="L23" s="7"/>
      <c r="Q23" t="s">
        <v>1581</v>
      </c>
      <c r="R23">
        <v>0.34499999999999997</v>
      </c>
      <c r="S23">
        <v>1.3</v>
      </c>
      <c r="T23">
        <v>0.89300000000000002</v>
      </c>
      <c r="U23">
        <v>0.75900000000000001</v>
      </c>
      <c r="V23">
        <v>1.02</v>
      </c>
    </row>
    <row r="24" spans="1:27" x14ac:dyDescent="0.25">
      <c r="A24" t="s">
        <v>1582</v>
      </c>
      <c r="B24" s="7">
        <v>0.21597222222771961</v>
      </c>
      <c r="C24" s="7">
        <v>0.39375000000291038</v>
      </c>
      <c r="D24" s="7">
        <v>1.2319444444437977</v>
      </c>
      <c r="E24" s="7">
        <v>2.2902777777781012</v>
      </c>
      <c r="F24" s="7">
        <v>3.2770833333343035</v>
      </c>
      <c r="G24" s="7">
        <v>4.2694444444496185</v>
      </c>
      <c r="H24" s="7">
        <v>5.2715277777824667</v>
      </c>
      <c r="I24" s="7"/>
      <c r="J24" s="7"/>
      <c r="K24" s="7"/>
      <c r="L24" s="7"/>
      <c r="Q24" t="s">
        <v>1582</v>
      </c>
      <c r="R24">
        <v>9.6000000000000002E-2</v>
      </c>
      <c r="S24">
        <v>0.245</v>
      </c>
      <c r="T24">
        <v>0.63600000000000001</v>
      </c>
      <c r="U24">
        <v>0.47399999999999998</v>
      </c>
      <c r="V24">
        <v>0.61399999999999999</v>
      </c>
      <c r="W24">
        <v>0.628</v>
      </c>
      <c r="X24">
        <v>0.39</v>
      </c>
    </row>
    <row r="25" spans="1:27" x14ac:dyDescent="0.25">
      <c r="A25" t="s">
        <v>1583</v>
      </c>
      <c r="B25" s="7">
        <v>0.18263888888759539</v>
      </c>
      <c r="C25" s="7">
        <v>0.50347222221898846</v>
      </c>
      <c r="D25" s="7">
        <v>0.58819444444088731</v>
      </c>
      <c r="E25" s="7">
        <v>1.5944444444394321</v>
      </c>
      <c r="F25" s="7">
        <v>2.5763888888832298</v>
      </c>
      <c r="G25" s="7">
        <v>3.5847222222218988</v>
      </c>
      <c r="H25" s="7">
        <v>4.5986111111051287</v>
      </c>
      <c r="I25" s="7"/>
      <c r="J25" s="7"/>
      <c r="K25" s="7"/>
      <c r="L25" s="7"/>
      <c r="Q25" t="s">
        <v>1583</v>
      </c>
      <c r="R25">
        <v>0.153</v>
      </c>
      <c r="S25">
        <v>0.155</v>
      </c>
      <c r="T25">
        <v>0.17399999999999999</v>
      </c>
      <c r="U25">
        <v>0.113</v>
      </c>
      <c r="V25">
        <v>0.114</v>
      </c>
      <c r="W25">
        <v>0.14199999999999999</v>
      </c>
      <c r="X25">
        <v>7.0000000000000007E-2</v>
      </c>
    </row>
    <row r="26" spans="1:27" x14ac:dyDescent="0.25">
      <c r="A26" t="s">
        <v>1584</v>
      </c>
      <c r="B26" s="7">
        <v>0.3631944444423425</v>
      </c>
      <c r="C26" s="7">
        <v>1.0847222222218988</v>
      </c>
      <c r="D26" s="7">
        <v>2.1180555555547471</v>
      </c>
      <c r="E26" s="7"/>
      <c r="F26" s="7"/>
      <c r="G26" s="7"/>
      <c r="H26" s="7"/>
      <c r="I26" s="7"/>
      <c r="J26" s="7"/>
      <c r="K26" s="7"/>
      <c r="L26" s="7"/>
      <c r="Q26" t="s">
        <v>1584</v>
      </c>
      <c r="R26">
        <v>2.9000000000000001E-2</v>
      </c>
      <c r="S26">
        <v>3.1E-2</v>
      </c>
      <c r="T26">
        <v>3.5999999999999997E-2</v>
      </c>
    </row>
    <row r="27" spans="1:27" x14ac:dyDescent="0.25">
      <c r="A27" t="s">
        <v>1585</v>
      </c>
      <c r="B27" s="7">
        <v>1.3493055555591127</v>
      </c>
      <c r="C27" s="7">
        <v>1.7930555555576575</v>
      </c>
      <c r="D27" s="7">
        <v>2.8263888888905058</v>
      </c>
      <c r="E27" s="7">
        <v>3.1437500000029104</v>
      </c>
      <c r="F27" s="7">
        <v>3.7770833333343035</v>
      </c>
      <c r="G27" s="7">
        <v>4.8138888888861402</v>
      </c>
      <c r="H27" s="7"/>
      <c r="I27" s="7"/>
      <c r="J27" s="7"/>
      <c r="K27" s="7"/>
      <c r="L27" s="7"/>
      <c r="Q27" t="s">
        <v>1585</v>
      </c>
      <c r="R27">
        <v>1.78</v>
      </c>
      <c r="S27">
        <v>2.06</v>
      </c>
      <c r="T27">
        <v>2.17</v>
      </c>
      <c r="U27">
        <v>1.96</v>
      </c>
      <c r="V27">
        <v>1.67</v>
      </c>
      <c r="W27">
        <v>1.06</v>
      </c>
    </row>
    <row r="28" spans="1:27" x14ac:dyDescent="0.25">
      <c r="A28" t="s">
        <v>1586</v>
      </c>
      <c r="B28" s="7">
        <v>0.20555555555620231</v>
      </c>
      <c r="C28" s="7">
        <v>0.36597222222189885</v>
      </c>
      <c r="D28" s="7">
        <v>0.79097222222480923</v>
      </c>
      <c r="E28" s="7">
        <v>1.8111111111138598</v>
      </c>
      <c r="F28" s="7">
        <v>2.8090277777810115</v>
      </c>
      <c r="G28" s="7">
        <v>3.773611111108039</v>
      </c>
      <c r="H28" s="7"/>
      <c r="I28" s="7"/>
      <c r="J28" s="7"/>
      <c r="K28" s="7"/>
      <c r="L28" s="7"/>
      <c r="Q28" t="s">
        <v>1586</v>
      </c>
      <c r="R28">
        <v>9.6000000000000002E-2</v>
      </c>
      <c r="S28">
        <v>0.38900000000000001</v>
      </c>
      <c r="T28">
        <v>0.79600000000000004</v>
      </c>
      <c r="U28">
        <v>0.436</v>
      </c>
      <c r="V28">
        <v>0.48699999999999999</v>
      </c>
      <c r="W28">
        <v>0.52100000000000002</v>
      </c>
    </row>
    <row r="29" spans="1:27" x14ac:dyDescent="0.25">
      <c r="A29" t="s">
        <v>1587</v>
      </c>
      <c r="B29" s="7">
        <v>0.30694444444816327</v>
      </c>
      <c r="C29" s="7">
        <v>0.65625</v>
      </c>
      <c r="D29" s="7">
        <v>1.0638888888934162</v>
      </c>
      <c r="E29" s="7">
        <v>1.8034722222218988</v>
      </c>
      <c r="F29" s="7">
        <v>2.7673611111167702</v>
      </c>
      <c r="G29" s="7">
        <v>3.7319444444437977</v>
      </c>
      <c r="H29" s="7">
        <v>4.788888888891961</v>
      </c>
      <c r="I29" s="7">
        <v>6.7756944444481633</v>
      </c>
      <c r="J29" s="7"/>
      <c r="K29" s="7"/>
      <c r="L29" s="7"/>
      <c r="Q29" t="s">
        <v>1587</v>
      </c>
      <c r="R29">
        <v>18.239999999999998</v>
      </c>
      <c r="S29">
        <v>11.91</v>
      </c>
      <c r="T29">
        <v>8.33</v>
      </c>
      <c r="U29">
        <v>6.01</v>
      </c>
      <c r="V29">
        <v>5.64</v>
      </c>
      <c r="W29">
        <v>5.68</v>
      </c>
      <c r="X29">
        <v>5.45</v>
      </c>
      <c r="Y29">
        <v>2.0699999999999998</v>
      </c>
    </row>
    <row r="30" spans="1:27" x14ac:dyDescent="0.25">
      <c r="A30" t="s">
        <v>1588</v>
      </c>
      <c r="B30" s="7">
        <v>0.99166666666860692</v>
      </c>
      <c r="C30" s="7">
        <v>0.99027777778246673</v>
      </c>
      <c r="D30" s="7">
        <v>1.2173611111138598</v>
      </c>
      <c r="E30" s="7">
        <v>1.7694444444496185</v>
      </c>
      <c r="F30" s="7">
        <v>2.7673611111167702</v>
      </c>
      <c r="G30" s="7">
        <v>3.711111111115315</v>
      </c>
      <c r="H30" s="7">
        <v>4.765277777776646</v>
      </c>
      <c r="I30" s="7">
        <v>5.7805555555605679</v>
      </c>
      <c r="J30" s="7">
        <v>5.7805555555605679</v>
      </c>
      <c r="K30" s="7"/>
      <c r="L30" s="7"/>
      <c r="Q30" t="s">
        <v>1588</v>
      </c>
      <c r="R30">
        <v>3.87</v>
      </c>
      <c r="S30">
        <v>3.87</v>
      </c>
      <c r="T30">
        <v>2.9</v>
      </c>
      <c r="U30">
        <v>3.1</v>
      </c>
      <c r="V30">
        <v>2.38</v>
      </c>
      <c r="W30">
        <v>2.64</v>
      </c>
      <c r="X30">
        <v>2.4900000000000002</v>
      </c>
      <c r="Y30">
        <v>0.01</v>
      </c>
      <c r="Z30">
        <v>2.0299999999999998</v>
      </c>
    </row>
    <row r="31" spans="1:27" x14ac:dyDescent="0.25">
      <c r="A31" t="s">
        <v>1589</v>
      </c>
      <c r="B31" s="7">
        <v>0.56458333333284827</v>
      </c>
      <c r="C31" s="7">
        <v>0.77291666666860692</v>
      </c>
      <c r="D31" s="7">
        <v>1.1548611111138598</v>
      </c>
      <c r="E31" s="7">
        <v>1.6041666666642413</v>
      </c>
      <c r="F31" s="7">
        <v>2.1374999999970896</v>
      </c>
      <c r="G31" s="7">
        <v>3.1381944444437977</v>
      </c>
      <c r="H31" s="7">
        <v>4.203472222223354</v>
      </c>
      <c r="I31" s="7">
        <v>5.1645833333313931</v>
      </c>
      <c r="J31" s="7">
        <v>6.171527777776646</v>
      </c>
      <c r="K31" s="7">
        <v>7.1513888888875954</v>
      </c>
      <c r="L31" s="7"/>
      <c r="Q31" t="s">
        <v>1589</v>
      </c>
      <c r="R31">
        <v>2.83</v>
      </c>
      <c r="S31">
        <v>4.0999999999999996</v>
      </c>
      <c r="T31">
        <v>2.44</v>
      </c>
      <c r="U31">
        <v>1.68</v>
      </c>
      <c r="V31">
        <v>2.16</v>
      </c>
      <c r="W31">
        <v>2.87</v>
      </c>
      <c r="X31">
        <v>2.09</v>
      </c>
      <c r="Y31">
        <v>0.99199999999999999</v>
      </c>
      <c r="Z31">
        <v>0.45100000000000001</v>
      </c>
      <c r="AA31">
        <v>0.20499999999999999</v>
      </c>
    </row>
    <row r="32" spans="1:27" x14ac:dyDescent="0.25">
      <c r="A32" t="s">
        <v>1590</v>
      </c>
      <c r="B32" s="7">
        <v>0.74722222222044365</v>
      </c>
      <c r="C32" s="7">
        <v>1.2729166666686069</v>
      </c>
      <c r="D32" s="7">
        <v>1.6159722222218988</v>
      </c>
      <c r="E32" s="7">
        <v>2.6374999999970896</v>
      </c>
      <c r="F32" s="7">
        <v>3.0104166666642413</v>
      </c>
      <c r="G32" s="7">
        <v>3.6479166666686069</v>
      </c>
      <c r="H32" s="7">
        <v>5.6770833333357587</v>
      </c>
      <c r="I32" s="7"/>
      <c r="J32" s="7"/>
      <c r="K32" s="7"/>
      <c r="L32" s="7"/>
      <c r="Q32" t="s">
        <v>1590</v>
      </c>
      <c r="R32">
        <v>1.44</v>
      </c>
      <c r="S32">
        <v>2.0099999999999998</v>
      </c>
      <c r="T32">
        <v>1.7</v>
      </c>
      <c r="U32">
        <v>1.89</v>
      </c>
      <c r="V32">
        <v>1.72</v>
      </c>
      <c r="W32">
        <v>1.69</v>
      </c>
      <c r="X32">
        <v>0.73099999999999998</v>
      </c>
    </row>
    <row r="33" spans="1:31" x14ac:dyDescent="0.25">
      <c r="A33" t="s">
        <v>1591</v>
      </c>
      <c r="B33" s="7">
        <v>0.48611111111677019</v>
      </c>
      <c r="C33" s="7">
        <v>0.50625000000582077</v>
      </c>
      <c r="D33" s="7">
        <v>0.80625000000145519</v>
      </c>
      <c r="E33" s="7">
        <v>1.3548611111109494</v>
      </c>
      <c r="F33" s="7">
        <v>2.3562500000043656</v>
      </c>
      <c r="G33" s="7">
        <v>3.382638888891961</v>
      </c>
      <c r="H33" s="7">
        <v>4.3729166666671517</v>
      </c>
      <c r="I33" s="7">
        <v>5.3236111111109494</v>
      </c>
      <c r="J33" s="7">
        <v>7.4284722222218988</v>
      </c>
      <c r="K33" s="7">
        <v>8.3680555555547471</v>
      </c>
      <c r="L33" s="7"/>
      <c r="Q33" t="s">
        <v>1591</v>
      </c>
      <c r="R33">
        <v>3.94</v>
      </c>
      <c r="S33">
        <v>10</v>
      </c>
      <c r="T33">
        <v>10.68</v>
      </c>
      <c r="U33">
        <v>7.18</v>
      </c>
      <c r="V33">
        <v>4.9800000000000004</v>
      </c>
      <c r="W33">
        <v>5.0999999999999996</v>
      </c>
      <c r="X33">
        <v>4.45</v>
      </c>
      <c r="Y33">
        <v>3.22</v>
      </c>
      <c r="Z33">
        <v>1.25</v>
      </c>
      <c r="AA33">
        <v>0.74399999999999999</v>
      </c>
    </row>
    <row r="34" spans="1:31" x14ac:dyDescent="0.25">
      <c r="A34" t="s">
        <v>1592</v>
      </c>
      <c r="B34" s="7">
        <v>0.375</v>
      </c>
      <c r="C34" s="7">
        <v>0.85069444444525288</v>
      </c>
      <c r="D34" s="7">
        <v>1.3583333333372138</v>
      </c>
      <c r="E34" s="7">
        <v>2.3562500000043656</v>
      </c>
      <c r="F34" s="7">
        <v>3.4118055555591127</v>
      </c>
      <c r="G34" s="7">
        <v>4.375</v>
      </c>
      <c r="H34" s="7">
        <v>5.3194444444452529</v>
      </c>
      <c r="I34" s="7">
        <v>6.3548611111109494</v>
      </c>
      <c r="J34" s="7"/>
      <c r="K34" s="7"/>
      <c r="L34" s="7"/>
      <c r="Q34" t="s">
        <v>1592</v>
      </c>
      <c r="R34">
        <v>7.01</v>
      </c>
      <c r="S34">
        <v>5.27</v>
      </c>
      <c r="T34">
        <v>4.95</v>
      </c>
      <c r="U34">
        <v>3.43</v>
      </c>
      <c r="V34">
        <v>4.01</v>
      </c>
      <c r="W34">
        <v>4.7</v>
      </c>
      <c r="X34">
        <v>3.72</v>
      </c>
      <c r="Y34">
        <v>3.06</v>
      </c>
    </row>
    <row r="35" spans="1:31" x14ac:dyDescent="0.25">
      <c r="A35" t="s">
        <v>1593</v>
      </c>
      <c r="B35" s="7">
        <v>0.74861111111385981</v>
      </c>
      <c r="C35" s="7">
        <v>0.86527777778246673</v>
      </c>
      <c r="D35" s="7">
        <v>1.3625000000029104</v>
      </c>
      <c r="E35" s="7">
        <v>2.4118055555591127</v>
      </c>
      <c r="F35" s="7">
        <v>3.3729166666671517</v>
      </c>
      <c r="G35" s="7">
        <v>4.3270833333372138</v>
      </c>
      <c r="H35" s="7">
        <v>5.3548611111109494</v>
      </c>
      <c r="I35" s="7">
        <v>6.3881944444437977</v>
      </c>
      <c r="J35" s="7">
        <v>7.3354166666686069</v>
      </c>
      <c r="K35" s="7">
        <v>7.9361111111138598</v>
      </c>
      <c r="L35" s="7">
        <v>8.3479166666656965</v>
      </c>
      <c r="M35" s="7">
        <v>8.7145833333343035</v>
      </c>
      <c r="N35" s="7">
        <v>10.351388888891961</v>
      </c>
      <c r="O35" s="7">
        <v>11.355555555557657</v>
      </c>
      <c r="Q35" t="s">
        <v>1593</v>
      </c>
      <c r="R35">
        <v>11.24</v>
      </c>
      <c r="S35">
        <v>7.79</v>
      </c>
      <c r="T35">
        <v>5.03</v>
      </c>
      <c r="U35">
        <v>2.84</v>
      </c>
      <c r="V35">
        <v>3.69</v>
      </c>
      <c r="W35">
        <v>4.5599999999999996</v>
      </c>
      <c r="X35">
        <v>3.98</v>
      </c>
      <c r="Y35">
        <v>2.27</v>
      </c>
      <c r="Z35">
        <v>1.65</v>
      </c>
      <c r="AA35">
        <v>1.5</v>
      </c>
      <c r="AB35">
        <v>1.3</v>
      </c>
      <c r="AC35">
        <v>1.1599999999999999</v>
      </c>
      <c r="AD35">
        <v>0.71099999999999997</v>
      </c>
      <c r="AE35">
        <v>0.54</v>
      </c>
    </row>
    <row r="36" spans="1:31" x14ac:dyDescent="0.25">
      <c r="A36" t="s">
        <v>1594</v>
      </c>
      <c r="B36" s="7">
        <v>0.45138888889050577</v>
      </c>
      <c r="C36" s="7">
        <v>0.61250000000291038</v>
      </c>
      <c r="D36" s="7">
        <v>0.95555555555620231</v>
      </c>
      <c r="E36" s="7">
        <v>2.9597222222218988</v>
      </c>
      <c r="F36" s="7">
        <v>3.9472222222248092</v>
      </c>
      <c r="G36" s="7">
        <v>4.9548611111094942</v>
      </c>
      <c r="H36" s="7">
        <v>5.9965277777810115</v>
      </c>
      <c r="I36" s="7"/>
      <c r="J36" s="7"/>
      <c r="K36" s="7"/>
      <c r="L36" s="7"/>
      <c r="Q36" t="s">
        <v>1594</v>
      </c>
      <c r="R36">
        <v>28.39</v>
      </c>
      <c r="S36">
        <v>15.65</v>
      </c>
      <c r="T36">
        <v>9.9700000000000006</v>
      </c>
      <c r="U36">
        <v>2.66</v>
      </c>
      <c r="V36">
        <v>2.27</v>
      </c>
      <c r="W36">
        <v>1.76</v>
      </c>
      <c r="X36">
        <v>1.46</v>
      </c>
    </row>
    <row r="37" spans="1:31" x14ac:dyDescent="0.25">
      <c r="A37" t="s">
        <v>1595</v>
      </c>
      <c r="B37" s="7">
        <v>1.6236111111138598</v>
      </c>
      <c r="C37" s="7">
        <v>1.8333333333357587</v>
      </c>
      <c r="D37" s="7">
        <v>2.4937500000014552</v>
      </c>
      <c r="E37" s="7">
        <v>3.4034722222204437</v>
      </c>
      <c r="F37" s="7">
        <v>4.3812499999985448</v>
      </c>
      <c r="G37" s="7">
        <v>5.4340277777810115</v>
      </c>
      <c r="H37" s="7">
        <v>5.7937499999970896</v>
      </c>
      <c r="I37" s="7">
        <v>6.4666666666671517</v>
      </c>
      <c r="J37" s="7">
        <v>7.46875</v>
      </c>
      <c r="K37" s="7">
        <v>8.4479166666642413</v>
      </c>
      <c r="L37" s="7"/>
      <c r="Q37" t="s">
        <v>1595</v>
      </c>
      <c r="R37">
        <v>5.74</v>
      </c>
      <c r="S37">
        <v>8.74</v>
      </c>
      <c r="T37">
        <v>3.3</v>
      </c>
      <c r="U37">
        <v>3.26</v>
      </c>
      <c r="V37">
        <v>3.36</v>
      </c>
      <c r="W37">
        <v>3.01</v>
      </c>
      <c r="X37">
        <v>2.57</v>
      </c>
      <c r="Y37">
        <v>1.29</v>
      </c>
      <c r="Z37">
        <v>0.57899999999999996</v>
      </c>
      <c r="AA37">
        <v>0.30499999999999999</v>
      </c>
    </row>
    <row r="39" spans="1:31" x14ac:dyDescent="0.25">
      <c r="A39" t="s">
        <v>1578</v>
      </c>
      <c r="B39" s="1">
        <f>B20*24</f>
        <v>6</v>
      </c>
      <c r="C39" s="1">
        <f t="shared" ref="C39:I39" si="0">C20*24</f>
        <v>10.466666666558012</v>
      </c>
      <c r="D39" s="1">
        <f t="shared" si="0"/>
        <v>18.93333333323244</v>
      </c>
      <c r="E39" s="1">
        <f t="shared" si="0"/>
        <v>43.466666666558012</v>
      </c>
      <c r="F39" s="1">
        <f t="shared" si="0"/>
        <v>67.416666666569654</v>
      </c>
      <c r="G39" s="1">
        <f t="shared" si="0"/>
        <v>92.583333333197515</v>
      </c>
      <c r="H39" s="1">
        <f t="shared" si="0"/>
        <v>116.20000000001164</v>
      </c>
      <c r="I39" s="1">
        <f t="shared" si="0"/>
        <v>164.0999999998603</v>
      </c>
      <c r="J39" s="1"/>
      <c r="K39" s="1"/>
      <c r="L39" s="1"/>
      <c r="M39" s="1"/>
      <c r="N39" s="1"/>
      <c r="O39" s="1"/>
    </row>
    <row r="40" spans="1:31" x14ac:dyDescent="0.25">
      <c r="A40" t="s">
        <v>1579</v>
      </c>
      <c r="B40" s="1">
        <f t="shared" ref="B40:O56" si="1">B21*24</f>
        <v>5.066666666592937</v>
      </c>
      <c r="C40" s="1">
        <f t="shared" si="1"/>
        <v>10.316666666592937</v>
      </c>
      <c r="D40" s="1">
        <f t="shared" si="1"/>
        <v>22.833333333197515</v>
      </c>
      <c r="E40" s="1">
        <f t="shared" si="1"/>
        <v>48.116666666523088</v>
      </c>
      <c r="F40" s="1">
        <f t="shared" si="1"/>
        <v>72.083333333255723</v>
      </c>
      <c r="G40" s="1">
        <f t="shared" si="1"/>
        <v>97.266666666604578</v>
      </c>
      <c r="H40" s="1">
        <f t="shared" si="1"/>
        <v>120.76666666654637</v>
      </c>
      <c r="I40" s="1">
        <f t="shared" si="1"/>
        <v>144.65000000002328</v>
      </c>
      <c r="J40" s="1">
        <f t="shared" si="1"/>
        <v>168.70000000001164</v>
      </c>
      <c r="K40" s="1"/>
      <c r="L40" s="1"/>
      <c r="M40" s="1"/>
      <c r="N40" s="1"/>
      <c r="O40" s="1"/>
    </row>
    <row r="41" spans="1:31" x14ac:dyDescent="0.25">
      <c r="A41" t="s">
        <v>1580</v>
      </c>
      <c r="B41" s="1">
        <f t="shared" si="1"/>
        <v>0.84999999997671694</v>
      </c>
      <c r="C41" s="1">
        <f t="shared" si="1"/>
        <v>3.8499999999767169</v>
      </c>
      <c r="D41" s="1">
        <f t="shared" si="1"/>
        <v>11.083333333313931</v>
      </c>
      <c r="E41" s="1">
        <f t="shared" si="1"/>
        <v>35.133333333302289</v>
      </c>
      <c r="F41" s="1">
        <f t="shared" si="1"/>
        <v>58.5</v>
      </c>
      <c r="G41" s="1">
        <f t="shared" si="1"/>
        <v>81.983333333395422</v>
      </c>
      <c r="H41" s="1">
        <f t="shared" si="1"/>
        <v>106.31666666659294</v>
      </c>
      <c r="I41" s="1"/>
      <c r="J41" s="1"/>
      <c r="K41" s="1"/>
      <c r="L41" s="1"/>
      <c r="M41" s="1"/>
      <c r="N41" s="1"/>
      <c r="O41" s="1"/>
    </row>
    <row r="42" spans="1:31" x14ac:dyDescent="0.25">
      <c r="A42" t="s">
        <v>1581</v>
      </c>
      <c r="B42" s="1">
        <f t="shared" si="1"/>
        <v>5.1500000000232831</v>
      </c>
      <c r="C42" s="1">
        <f t="shared" si="1"/>
        <v>12.366666666639503</v>
      </c>
      <c r="D42" s="1">
        <f t="shared" si="1"/>
        <v>19.466666666558012</v>
      </c>
      <c r="E42" s="1">
        <f t="shared" si="1"/>
        <v>44.733333333337214</v>
      </c>
      <c r="F42" s="1">
        <f t="shared" si="1"/>
        <v>68.25</v>
      </c>
      <c r="G42" s="1"/>
      <c r="H42" s="1"/>
      <c r="I42" s="1"/>
      <c r="J42" s="1"/>
      <c r="K42" s="1"/>
      <c r="L42" s="1"/>
      <c r="M42" s="1"/>
      <c r="N42" s="1"/>
      <c r="O42" s="1"/>
    </row>
    <row r="43" spans="1:31" x14ac:dyDescent="0.25">
      <c r="A43" t="s">
        <v>1582</v>
      </c>
      <c r="B43" s="1">
        <f t="shared" si="1"/>
        <v>5.1833333334652707</v>
      </c>
      <c r="C43" s="1">
        <f t="shared" si="1"/>
        <v>9.4500000000698492</v>
      </c>
      <c r="D43" s="1">
        <f t="shared" si="1"/>
        <v>29.566666666651145</v>
      </c>
      <c r="E43" s="1">
        <f t="shared" si="1"/>
        <v>54.966666666674428</v>
      </c>
      <c r="F43" s="1">
        <f t="shared" si="1"/>
        <v>78.650000000023283</v>
      </c>
      <c r="G43" s="1">
        <f t="shared" si="1"/>
        <v>102.46666666679084</v>
      </c>
      <c r="H43" s="1">
        <f t="shared" si="1"/>
        <v>126.5166666667792</v>
      </c>
      <c r="I43" s="1"/>
      <c r="J43" s="1"/>
      <c r="K43" s="1"/>
      <c r="L43" s="1"/>
      <c r="M43" s="1"/>
      <c r="N43" s="1"/>
      <c r="O43" s="1"/>
    </row>
    <row r="44" spans="1:31" x14ac:dyDescent="0.25">
      <c r="A44" t="s">
        <v>1583</v>
      </c>
      <c r="B44" s="1">
        <f t="shared" si="1"/>
        <v>4.3833333333022892</v>
      </c>
      <c r="C44" s="1">
        <f t="shared" si="1"/>
        <v>12.083333333255723</v>
      </c>
      <c r="D44" s="1">
        <f t="shared" si="1"/>
        <v>14.116666666581295</v>
      </c>
      <c r="E44" s="1">
        <f t="shared" si="1"/>
        <v>38.266666666546371</v>
      </c>
      <c r="F44" s="1">
        <f t="shared" si="1"/>
        <v>61.833333333197515</v>
      </c>
      <c r="G44" s="1">
        <f t="shared" si="1"/>
        <v>86.033333333325572</v>
      </c>
      <c r="H44" s="1">
        <f t="shared" si="1"/>
        <v>110.36666666652309</v>
      </c>
      <c r="I44" s="1"/>
      <c r="J44" s="1"/>
      <c r="K44" s="1"/>
      <c r="L44" s="1"/>
      <c r="M44" s="1"/>
      <c r="N44" s="1"/>
      <c r="O44" s="1"/>
    </row>
    <row r="45" spans="1:31" x14ac:dyDescent="0.25">
      <c r="A45" t="s">
        <v>1584</v>
      </c>
      <c r="B45" s="1">
        <f t="shared" si="1"/>
        <v>8.71666666661622</v>
      </c>
      <c r="C45" s="1">
        <f t="shared" si="1"/>
        <v>26.033333333325572</v>
      </c>
      <c r="D45" s="1">
        <f t="shared" si="1"/>
        <v>50.833333333313931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31" x14ac:dyDescent="0.25">
      <c r="A46" t="s">
        <v>1585</v>
      </c>
      <c r="B46" s="1">
        <f t="shared" si="1"/>
        <v>32.383333333418705</v>
      </c>
      <c r="C46" s="1">
        <f t="shared" si="1"/>
        <v>43.03333333338378</v>
      </c>
      <c r="D46" s="1">
        <f t="shared" si="1"/>
        <v>67.833333333372138</v>
      </c>
      <c r="E46" s="1">
        <f t="shared" si="1"/>
        <v>75.450000000069849</v>
      </c>
      <c r="F46" s="1">
        <f t="shared" si="1"/>
        <v>90.650000000023283</v>
      </c>
      <c r="G46" s="1">
        <f t="shared" si="1"/>
        <v>115.53333333326736</v>
      </c>
      <c r="H46" s="1"/>
      <c r="I46" s="1"/>
      <c r="J46" s="1"/>
      <c r="K46" s="1"/>
      <c r="L46" s="1"/>
      <c r="M46" s="1"/>
      <c r="N46" s="1"/>
      <c r="O46" s="1"/>
    </row>
    <row r="47" spans="1:31" x14ac:dyDescent="0.25">
      <c r="A47" t="s">
        <v>1586</v>
      </c>
      <c r="B47" s="1">
        <f t="shared" si="1"/>
        <v>4.9333333333488554</v>
      </c>
      <c r="C47" s="1">
        <f t="shared" si="1"/>
        <v>8.7833333333255723</v>
      </c>
      <c r="D47" s="1">
        <f t="shared" si="1"/>
        <v>18.983333333395422</v>
      </c>
      <c r="E47" s="1">
        <f t="shared" si="1"/>
        <v>43.466666666732635</v>
      </c>
      <c r="F47" s="1">
        <f t="shared" si="1"/>
        <v>67.416666666744277</v>
      </c>
      <c r="G47" s="1">
        <f t="shared" si="1"/>
        <v>90.566666666592937</v>
      </c>
      <c r="H47" s="1"/>
      <c r="I47" s="1"/>
      <c r="J47" s="1"/>
      <c r="K47" s="1"/>
      <c r="L47" s="1"/>
      <c r="M47" s="1"/>
      <c r="N47" s="1"/>
      <c r="O47" s="1"/>
    </row>
    <row r="48" spans="1:31" x14ac:dyDescent="0.25">
      <c r="A48" t="s">
        <v>1587</v>
      </c>
      <c r="B48" s="1">
        <f t="shared" si="1"/>
        <v>7.3666666667559184</v>
      </c>
      <c r="C48" s="1">
        <f t="shared" si="1"/>
        <v>15.75</v>
      </c>
      <c r="D48" s="1">
        <f t="shared" si="1"/>
        <v>25.533333333441988</v>
      </c>
      <c r="E48" s="1">
        <f t="shared" si="1"/>
        <v>43.283333333325572</v>
      </c>
      <c r="F48" s="1">
        <f t="shared" si="1"/>
        <v>66.416666666802485</v>
      </c>
      <c r="G48" s="1">
        <f t="shared" si="1"/>
        <v>89.566666666651145</v>
      </c>
      <c r="H48" s="1">
        <f t="shared" si="1"/>
        <v>114.93333333340706</v>
      </c>
      <c r="I48" s="1">
        <f t="shared" si="1"/>
        <v>162.61666666675592</v>
      </c>
      <c r="J48" s="1"/>
      <c r="K48" s="1"/>
      <c r="L48" s="1"/>
      <c r="M48" s="1"/>
      <c r="N48" s="1"/>
      <c r="O48" s="1"/>
    </row>
    <row r="49" spans="1:15" x14ac:dyDescent="0.25">
      <c r="A49" t="s">
        <v>1588</v>
      </c>
      <c r="B49" s="1">
        <f t="shared" si="1"/>
        <v>23.800000000046566</v>
      </c>
      <c r="C49" s="1">
        <f t="shared" si="1"/>
        <v>23.766666666779201</v>
      </c>
      <c r="D49" s="1">
        <f t="shared" si="1"/>
        <v>29.216666666732635</v>
      </c>
      <c r="E49" s="1">
        <f t="shared" si="1"/>
        <v>42.466666666790843</v>
      </c>
      <c r="F49" s="1">
        <f t="shared" si="1"/>
        <v>66.416666666802485</v>
      </c>
      <c r="G49" s="1">
        <f t="shared" si="1"/>
        <v>89.06666666676756</v>
      </c>
      <c r="H49" s="1">
        <f t="shared" si="1"/>
        <v>114.3666666666395</v>
      </c>
      <c r="I49" s="1">
        <f t="shared" si="1"/>
        <v>138.73333333345363</v>
      </c>
      <c r="J49" s="1">
        <f t="shared" si="1"/>
        <v>138.73333333345363</v>
      </c>
      <c r="K49" s="1"/>
      <c r="L49" s="1"/>
      <c r="M49" s="1"/>
      <c r="N49" s="1"/>
      <c r="O49" s="1"/>
    </row>
    <row r="50" spans="1:15" x14ac:dyDescent="0.25">
      <c r="A50" t="s">
        <v>1589</v>
      </c>
      <c r="B50" s="1">
        <f t="shared" si="1"/>
        <v>13.549999999988358</v>
      </c>
      <c r="C50" s="1">
        <f t="shared" si="1"/>
        <v>18.550000000046566</v>
      </c>
      <c r="D50" s="1">
        <f t="shared" si="1"/>
        <v>27.716666666732635</v>
      </c>
      <c r="E50" s="1">
        <f t="shared" si="1"/>
        <v>38.499999999941792</v>
      </c>
      <c r="F50" s="1">
        <f t="shared" si="1"/>
        <v>51.299999999930151</v>
      </c>
      <c r="G50" s="1">
        <f t="shared" si="1"/>
        <v>75.316666666651145</v>
      </c>
      <c r="H50" s="1">
        <f t="shared" si="1"/>
        <v>100.8833333333605</v>
      </c>
      <c r="I50" s="1">
        <f t="shared" si="1"/>
        <v>123.94999999995343</v>
      </c>
      <c r="J50" s="1">
        <f t="shared" si="1"/>
        <v>148.1166666666395</v>
      </c>
      <c r="K50" s="1">
        <f t="shared" si="1"/>
        <v>171.63333333330229</v>
      </c>
      <c r="L50" s="1"/>
      <c r="M50" s="1"/>
      <c r="N50" s="1"/>
      <c r="O50" s="1"/>
    </row>
    <row r="51" spans="1:15" x14ac:dyDescent="0.25">
      <c r="A51" t="s">
        <v>1590</v>
      </c>
      <c r="B51" s="1">
        <f t="shared" si="1"/>
        <v>17.933333333290648</v>
      </c>
      <c r="C51" s="1">
        <f t="shared" si="1"/>
        <v>30.550000000046566</v>
      </c>
      <c r="D51" s="1">
        <f t="shared" si="1"/>
        <v>38.783333333325572</v>
      </c>
      <c r="E51" s="1">
        <f t="shared" si="1"/>
        <v>63.299999999930151</v>
      </c>
      <c r="F51" s="1">
        <f t="shared" si="1"/>
        <v>72.249999999941792</v>
      </c>
      <c r="G51" s="1">
        <f t="shared" si="1"/>
        <v>87.550000000046566</v>
      </c>
      <c r="H51" s="1">
        <f t="shared" si="1"/>
        <v>136.25000000005821</v>
      </c>
      <c r="I51" s="1"/>
      <c r="J51" s="1"/>
      <c r="K51" s="1"/>
      <c r="L51" s="1"/>
      <c r="M51" s="1"/>
      <c r="N51" s="1"/>
      <c r="O51" s="1"/>
    </row>
    <row r="52" spans="1:15" x14ac:dyDescent="0.25">
      <c r="A52" t="s">
        <v>1591</v>
      </c>
      <c r="B52" s="1">
        <f t="shared" si="1"/>
        <v>11.666666666802485</v>
      </c>
      <c r="C52" s="1">
        <f t="shared" si="1"/>
        <v>12.150000000139698</v>
      </c>
      <c r="D52" s="1">
        <f t="shared" si="1"/>
        <v>19.350000000034925</v>
      </c>
      <c r="E52" s="1">
        <f t="shared" si="1"/>
        <v>32.516666666662786</v>
      </c>
      <c r="F52" s="1">
        <f t="shared" si="1"/>
        <v>56.550000000104774</v>
      </c>
      <c r="G52" s="1">
        <f t="shared" si="1"/>
        <v>81.183333333407063</v>
      </c>
      <c r="H52" s="1">
        <f t="shared" si="1"/>
        <v>104.95000000001164</v>
      </c>
      <c r="I52" s="1">
        <f t="shared" si="1"/>
        <v>127.76666666666279</v>
      </c>
      <c r="J52" s="1">
        <f t="shared" si="1"/>
        <v>178.28333333332557</v>
      </c>
      <c r="K52" s="1">
        <f t="shared" si="1"/>
        <v>200.83333333331393</v>
      </c>
      <c r="L52" s="1"/>
      <c r="M52" s="1"/>
      <c r="N52" s="1"/>
      <c r="O52" s="1"/>
    </row>
    <row r="53" spans="1:15" x14ac:dyDescent="0.25">
      <c r="A53" t="s">
        <v>1592</v>
      </c>
      <c r="B53" s="1">
        <f t="shared" si="1"/>
        <v>9</v>
      </c>
      <c r="C53" s="1">
        <f t="shared" si="1"/>
        <v>20.416666666686069</v>
      </c>
      <c r="D53" s="1">
        <f t="shared" si="1"/>
        <v>32.600000000093132</v>
      </c>
      <c r="E53" s="1">
        <f t="shared" si="1"/>
        <v>56.550000000104774</v>
      </c>
      <c r="F53" s="1">
        <f t="shared" si="1"/>
        <v>81.883333333418705</v>
      </c>
      <c r="G53" s="1">
        <f t="shared" si="1"/>
        <v>105</v>
      </c>
      <c r="H53" s="1">
        <f t="shared" si="1"/>
        <v>127.66666666668607</v>
      </c>
      <c r="I53" s="1">
        <f t="shared" si="1"/>
        <v>152.51666666666279</v>
      </c>
      <c r="J53" s="1"/>
      <c r="K53" s="1"/>
      <c r="L53" s="1"/>
      <c r="M53" s="1"/>
      <c r="N53" s="1"/>
      <c r="O53" s="1"/>
    </row>
    <row r="54" spans="1:15" x14ac:dyDescent="0.25">
      <c r="A54" t="s">
        <v>1593</v>
      </c>
      <c r="B54" s="1">
        <f t="shared" si="1"/>
        <v>17.966666666732635</v>
      </c>
      <c r="C54" s="1">
        <f t="shared" si="1"/>
        <v>20.766666666779201</v>
      </c>
      <c r="D54" s="1">
        <f t="shared" si="1"/>
        <v>32.700000000069849</v>
      </c>
      <c r="E54" s="1">
        <f t="shared" si="1"/>
        <v>57.883333333418705</v>
      </c>
      <c r="F54" s="1">
        <f t="shared" si="1"/>
        <v>80.950000000011642</v>
      </c>
      <c r="G54" s="1">
        <f t="shared" si="1"/>
        <v>103.85000000009313</v>
      </c>
      <c r="H54" s="1">
        <f t="shared" si="1"/>
        <v>128.51666666666279</v>
      </c>
      <c r="I54" s="1">
        <f t="shared" si="1"/>
        <v>153.31666666665114</v>
      </c>
      <c r="J54" s="1">
        <f t="shared" si="1"/>
        <v>176.05000000004657</v>
      </c>
      <c r="K54" s="1">
        <f t="shared" si="1"/>
        <v>190.46666666673264</v>
      </c>
      <c r="L54" s="1">
        <f t="shared" si="1"/>
        <v>200.34999999997672</v>
      </c>
      <c r="M54" s="1">
        <f t="shared" si="1"/>
        <v>209.15000000002328</v>
      </c>
      <c r="N54" s="1">
        <f t="shared" si="1"/>
        <v>248.43333333340706</v>
      </c>
      <c r="O54" s="1">
        <f t="shared" si="1"/>
        <v>272.53333333338378</v>
      </c>
    </row>
    <row r="55" spans="1:15" x14ac:dyDescent="0.25">
      <c r="A55" t="s">
        <v>1594</v>
      </c>
      <c r="B55" s="1">
        <f t="shared" si="1"/>
        <v>10.833333333372138</v>
      </c>
      <c r="C55" s="1">
        <f t="shared" si="1"/>
        <v>14.700000000069849</v>
      </c>
      <c r="D55" s="1">
        <f t="shared" si="1"/>
        <v>22.933333333348855</v>
      </c>
      <c r="E55" s="1">
        <f t="shared" si="1"/>
        <v>71.033333333325572</v>
      </c>
      <c r="F55" s="1">
        <f t="shared" si="1"/>
        <v>94.733333333395422</v>
      </c>
      <c r="G55" s="1">
        <f t="shared" si="1"/>
        <v>118.91666666662786</v>
      </c>
      <c r="H55" s="1">
        <f t="shared" si="1"/>
        <v>143.91666666674428</v>
      </c>
      <c r="I55" s="1"/>
      <c r="J55" s="1"/>
      <c r="K55" s="1"/>
      <c r="L55" s="1"/>
      <c r="M55" s="1"/>
      <c r="N55" s="1"/>
      <c r="O55" s="1"/>
    </row>
    <row r="56" spans="1:15" x14ac:dyDescent="0.25">
      <c r="A56" t="s">
        <v>1595</v>
      </c>
      <c r="B56" s="1">
        <f t="shared" si="1"/>
        <v>38.966666666732635</v>
      </c>
      <c r="C56" s="1">
        <f t="shared" si="1"/>
        <v>44.000000000058208</v>
      </c>
      <c r="D56" s="1">
        <f t="shared" si="1"/>
        <v>59.850000000034925</v>
      </c>
      <c r="E56" s="1">
        <f t="shared" si="1"/>
        <v>81.683333333290648</v>
      </c>
      <c r="F56" s="1">
        <f t="shared" si="1"/>
        <v>105.14999999996508</v>
      </c>
      <c r="G56" s="1">
        <f t="shared" si="1"/>
        <v>130.41666666674428</v>
      </c>
      <c r="H56" s="1">
        <f t="shared" si="1"/>
        <v>139.04999999993015</v>
      </c>
      <c r="I56" s="1">
        <f t="shared" si="1"/>
        <v>155.20000000001164</v>
      </c>
      <c r="J56" s="1">
        <f t="shared" si="1"/>
        <v>179.25</v>
      </c>
      <c r="K56" s="1">
        <f t="shared" si="1"/>
        <v>202.74999999994179</v>
      </c>
      <c r="L56" s="1"/>
      <c r="M56" s="1"/>
      <c r="N56" s="1"/>
      <c r="O56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Description</vt:lpstr>
      <vt:lpstr>STEMI_times</vt:lpstr>
      <vt:lpstr>STEMI_values</vt:lpstr>
      <vt:lpstr>NSTEMI_times</vt:lpstr>
      <vt:lpstr>NSTEMI_values</vt:lpstr>
      <vt:lpstr>Deleted</vt:lpstr>
      <vt:lpstr>dt_2_NSTEMI working...</vt:lpstr>
      <vt:lpstr>dt2_STEMI_working</vt:lpstr>
      <vt:lpstr>CBRA NSTEMI working...</vt:lpstr>
      <vt:lpstr>n_cbra_times_1_working</vt:lpstr>
      <vt:lpstr>n_cbra_times_2_working</vt:lpstr>
      <vt:lpstr>CBRA STEMI working...</vt:lpstr>
      <vt:lpstr>dt3_STEMI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Cortese</dc:creator>
  <cp:lastModifiedBy>Nicola Cortese</cp:lastModifiedBy>
  <dcterms:created xsi:type="dcterms:W3CDTF">2015-06-05T18:17:20Z</dcterms:created>
  <dcterms:modified xsi:type="dcterms:W3CDTF">2025-03-11T15:17:19Z</dcterms:modified>
</cp:coreProperties>
</file>