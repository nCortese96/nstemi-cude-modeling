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4"/>
  </bookViews>
  <sheets>
    <sheet r:id="rId1" sheetId="1" name="Description"/>
    <sheet r:id="rId2" sheetId="2" name="STEMI_times"/>
    <sheet r:id="rId3" sheetId="3" name="STEMI_values"/>
    <sheet r:id="rId4" sheetId="4" name="NSTEMI_times"/>
    <sheet r:id="rId5" sheetId="5" name="NSTEMI_values"/>
    <sheet r:id="rId6" sheetId="6" name="Deleted"/>
    <sheet r:id="rId7" sheetId="7" name="dt_2_NSTEMI working..."/>
    <sheet r:id="rId8" sheetId="8" name="dt2_STEMI_working"/>
    <sheet r:id="rId9" sheetId="9" name="CBRA NSTEMI working..."/>
    <sheet r:id="rId10" sheetId="10" name="n_cbra_times_1_working"/>
    <sheet r:id="rId11" sheetId="11" name="n_cbra_times_2_working"/>
    <sheet r:id="rId12" sheetId="12" name="CBRA STEMI working..."/>
    <sheet r:id="rId13" sheetId="13" name="dt3_STEMI"/>
  </sheets>
  <calcPr fullCalcOnLoad="1"/>
</workbook>
</file>

<file path=xl/sharedStrings.xml><?xml version="1.0" encoding="utf-8"?>
<sst xmlns="http://schemas.openxmlformats.org/spreadsheetml/2006/main" count="4898" uniqueCount="1712">
  <si>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</si>
  <si>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</si>
  <si>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</si>
  <si>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</si>
  <si>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</si>
  <si>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</si>
  <si>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</si>
  <si>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</si>
  <si>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</si>
  <si>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</si>
  <si>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</si>
  <si>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</si>
  <si>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</si>
  <si>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</si>
  <si>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</si>
  <si>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</si>
  <si>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</si>
  <si>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</si>
  <si>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ID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</si>
  <si>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</si>
  <si>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</si>
  <si>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</si>
  <si>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</si>
  <si>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</si>
  <si>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</si>
  <si>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</si>
  <si>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</si>
  <si>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</si>
  <si>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</si>
  <si>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</si>
  <si>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</si>
  <si>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</si>
  <si>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</si>
  <si>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</si>
  <si>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</si>
  <si>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</si>
  <si>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</si>
  <si>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</si>
  <si>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</si>
  <si>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</si>
  <si>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</si>
  <si>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</si>
  <si>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</si>
  <si>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</si>
  <si>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</si>
  <si>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</si>
  <si>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</si>
  <si>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</si>
  <si>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</si>
  <si>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</si>
  <si>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</si>
  <si>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</si>
  <si>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</si>
  <si>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</si>
  <si>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</si>
  <si>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</si>
  <si>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</si>
  <si>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</si>
  <si>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</si>
  <si>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</si>
  <si>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</si>
  <si>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</si>
  <si>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</si>
  <si>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</si>
  <si>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</si>
  <si>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AcquisitionsDate</t>
  </si>
  <si>
    <t>AcquisitionTime</t>
  </si>
  <si>
    <t>cTnT</t>
  </si>
  <si>
    <t>2019/11/16</t>
  </si>
  <si>
    <t>2019/11/16 18:50:00</t>
  </si>
  <si>
    <t>2019/11/16 23:17:00</t>
  </si>
  <si>
    <t>2019/11/17 00:41:00</t>
  </si>
  <si>
    <t>2019/11/18 00:32:00</t>
  </si>
  <si>
    <t>2019/11/20 00:28:00</t>
  </si>
  <si>
    <t>2019/11/21 00:02:00</t>
  </si>
  <si>
    <t>2019/01/31 20:31:00</t>
  </si>
  <si>
    <t>2019/01/31 23:56:00</t>
  </si>
  <si>
    <t>2019/02/01 00:16:00</t>
  </si>
  <si>
    <t>2019/02/02 00:12:00</t>
  </si>
  <si>
    <t>2019/02/03 00:09:00</t>
  </si>
  <si>
    <t>2019/02/04 00:01:00</t>
  </si>
  <si>
    <t>2019/02/05 00:03:00</t>
  </si>
  <si>
    <t>2019/11/17</t>
  </si>
  <si>
    <t>2019/01/02 07:44:00</t>
  </si>
  <si>
    <t>2019/01/02 18:04:00</t>
  </si>
  <si>
    <t>2019/01/03 00:34:00</t>
  </si>
  <si>
    <t>2019/01/04 05:37:00</t>
  </si>
  <si>
    <t>2019/01/05 00:03:00</t>
  </si>
  <si>
    <t>2019/01/06 00:11:00</t>
  </si>
  <si>
    <t>2019/11/18</t>
  </si>
  <si>
    <t>2019/02/24 10:33:00</t>
  </si>
  <si>
    <t>2019/02/24 15:39:00</t>
  </si>
  <si>
    <t>2019/02/24 23:37:00</t>
  </si>
  <si>
    <t>2019/02/25 00:23:00</t>
  </si>
  <si>
    <t>2019/02/26 00:16:00</t>
  </si>
  <si>
    <t>2019/02/27 00:13:00</t>
  </si>
  <si>
    <t>2019/02/28 00:05:00</t>
  </si>
  <si>
    <t>2019/03/01 00:49:00</t>
  </si>
  <si>
    <t>2019/03/02 00:03:00</t>
  </si>
  <si>
    <t>2019/03/03 00:39:00</t>
  </si>
  <si>
    <t>2019/03/04 05:42:00</t>
  </si>
  <si>
    <t>2019/11/20</t>
  </si>
  <si>
    <t>2019/09/15 07:51:00</t>
  </si>
  <si>
    <t>2019/09/15 16:35:00</t>
  </si>
  <si>
    <t>2019/09/16 00:23:00</t>
  </si>
  <si>
    <t>2019/09/17 00:11:00</t>
  </si>
  <si>
    <t>2019/09/18 00:09:00</t>
  </si>
  <si>
    <t>2019/09/19 00:54:00</t>
  </si>
  <si>
    <t>2019/09/20 00:03:00</t>
  </si>
  <si>
    <t>2019/11/21</t>
  </si>
  <si>
    <t>2019/12/22 02:43:00</t>
  </si>
  <si>
    <t>2019/12/22 08:52:00</t>
  </si>
  <si>
    <t>2019/12/22 15:41:00</t>
  </si>
  <si>
    <t>2019/12/23 00:05:00</t>
  </si>
  <si>
    <t>2019/12/24 00:07:00</t>
  </si>
  <si>
    <t>2019/12/25 00:21:00</t>
  </si>
  <si>
    <t>2019/12/26 00:27:00</t>
  </si>
  <si>
    <t>2019/12/27 00:04:00</t>
  </si>
  <si>
    <t>2019/12/28 00:26:00</t>
  </si>
  <si>
    <t>2019/12/29 06:07:00</t>
  </si>
  <si>
    <t>2019/12/30 06:12:00</t>
  </si>
  <si>
    <t>2019/01/31</t>
  </si>
  <si>
    <t>2019/08/27 07:13:00</t>
  </si>
  <si>
    <t>2019/08/27 12:30:00</t>
  </si>
  <si>
    <t>2019/08/27 17:48:00</t>
  </si>
  <si>
    <t>2019/08/28 00:07:00</t>
  </si>
  <si>
    <t>2019/08/29 00:35:00</t>
  </si>
  <si>
    <t>2019/08/30 00:05:00</t>
  </si>
  <si>
    <t>2019/08/31 00:10:00</t>
  </si>
  <si>
    <t>2019/09/01 05:58:00</t>
  </si>
  <si>
    <t>2019/09/02 00:04:00</t>
  </si>
  <si>
    <t>2019/09/02 17:33:00</t>
  </si>
  <si>
    <t>2019/09/03 00:03:00</t>
  </si>
  <si>
    <t>2019/09/04 00:05:00</t>
  </si>
  <si>
    <t>2018/06/12 02:16:00</t>
  </si>
  <si>
    <t>2018/06/12 02:30:00</t>
  </si>
  <si>
    <t>2018/06/12 08:36:00</t>
  </si>
  <si>
    <t>2018/06/12 16:12:00</t>
  </si>
  <si>
    <t>2018/06/13 00:34:00</t>
  </si>
  <si>
    <t>2018/06/14 00:20:00</t>
  </si>
  <si>
    <t>2018/06/15 00:19:00</t>
  </si>
  <si>
    <t>2018/06/16 00:03:00</t>
  </si>
  <si>
    <t>2019/02/01</t>
  </si>
  <si>
    <t>2015/12/19 02:56:00</t>
  </si>
  <si>
    <t>2015/12/19 03:14:00</t>
  </si>
  <si>
    <t>2015/12/19 16:53:00</t>
  </si>
  <si>
    <t>2015/12/20 00:20:00</t>
  </si>
  <si>
    <t>2015/12/21 00:01:00</t>
  </si>
  <si>
    <t>2015/12/22 00:10:00</t>
  </si>
  <si>
    <t>2015/12/22 16:37:00</t>
  </si>
  <si>
    <t>2015/12/23 00:05:00</t>
  </si>
  <si>
    <t>2015/12/24 00:04:00</t>
  </si>
  <si>
    <t>2015/12/25 00:16:00</t>
  </si>
  <si>
    <t>2015/12/26 05:49:00</t>
  </si>
  <si>
    <t>2015/12/27 00:29:00</t>
  </si>
  <si>
    <t>2015/12/28 00:04:00</t>
  </si>
  <si>
    <t>2015/12/29 05:46:00</t>
  </si>
  <si>
    <t>2015/12/30 05:51:00</t>
  </si>
  <si>
    <t>2019/02/02</t>
  </si>
  <si>
    <t>2018/12/08 11:05:00</t>
  </si>
  <si>
    <t>2018/12/08 16:54:00</t>
  </si>
  <si>
    <t>2018/12/09 00:31:00</t>
  </si>
  <si>
    <t>2018/12/10 00:09:00</t>
  </si>
  <si>
    <t>2018/12/11 00:06:00</t>
  </si>
  <si>
    <t>2018/12/12 00:11:00</t>
  </si>
  <si>
    <t>2018/12/13 00:09:00</t>
  </si>
  <si>
    <t>2018/12/14 00:03:00</t>
  </si>
  <si>
    <t>2018/12/15 05:40:00</t>
  </si>
  <si>
    <t>2018/12/17 00:06:00</t>
  </si>
  <si>
    <t>2019/02/03</t>
  </si>
  <si>
    <t>2019/01/16 11:35:00</t>
  </si>
  <si>
    <t>2019/01/16 16:25:00</t>
  </si>
  <si>
    <t>2019/01/17 00:24:00</t>
  </si>
  <si>
    <t>2019/01/18 00:14:00</t>
  </si>
  <si>
    <t>2019/01/19 00:04:00</t>
  </si>
  <si>
    <t>2019/01/20 00:01:00</t>
  </si>
  <si>
    <t>2019/02/04</t>
  </si>
  <si>
    <t>2018/02/28 13:47:00</t>
  </si>
  <si>
    <t>2018/02/28 18:54:00</t>
  </si>
  <si>
    <t>2018/03/01 00:22:00</t>
  </si>
  <si>
    <t>2018/03/02 00:26:00</t>
  </si>
  <si>
    <t>2018/03/03 00:33:00</t>
  </si>
  <si>
    <t>2018/03/04 00:15:00</t>
  </si>
  <si>
    <t>2018/03/05 00:22:00</t>
  </si>
  <si>
    <t>2018/03/06 00:02:00</t>
  </si>
  <si>
    <t>2018/03/07 00:03:00</t>
  </si>
  <si>
    <t>2019/02/05</t>
  </si>
  <si>
    <t>2018/05/05 11:14:00</t>
  </si>
  <si>
    <t>2018/05/05 17:37:00</t>
  </si>
  <si>
    <t>2018/05/06 00:07:00</t>
  </si>
  <si>
    <t>2018/05/06 15:37:00</t>
  </si>
  <si>
    <t>2018/05/07 00:03:00</t>
  </si>
  <si>
    <t>2018/05/08 00:14:00</t>
  </si>
  <si>
    <t>2018/05/09 05:46:00</t>
  </si>
  <si>
    <t>2019/01/02</t>
  </si>
  <si>
    <t>2018/05/19 11:26:00</t>
  </si>
  <si>
    <t>2018/05/19 16:58:00</t>
  </si>
  <si>
    <t>2018/05/20 00:16:00</t>
  </si>
  <si>
    <t>2018/05/21 00:12:00</t>
  </si>
  <si>
    <t>2018/05/22 00:34:00</t>
  </si>
  <si>
    <t>2018/05/23 00:10:00</t>
  </si>
  <si>
    <t>2018/05/24 05:29:00</t>
  </si>
  <si>
    <t>2018/05/25 00:11:00</t>
  </si>
  <si>
    <t>2023/05/22 15:04:00</t>
  </si>
  <si>
    <t>2023/05/22 18:45:00</t>
  </si>
  <si>
    <t>2023/05/23 00:00:00</t>
  </si>
  <si>
    <t>2023/05/24 00:08:00</t>
  </si>
  <si>
    <t>2023/05/25 00:57:00</t>
  </si>
  <si>
    <t>2023/05/25 15:18:00</t>
  </si>
  <si>
    <t>2023/05/26 05:45:00</t>
  </si>
  <si>
    <t>2023/05/27 05:50:00</t>
  </si>
  <si>
    <t>2019/01/03</t>
  </si>
  <si>
    <t>2023/03/05 18:35:00</t>
  </si>
  <si>
    <t>2023/03/05 23:21:00</t>
  </si>
  <si>
    <t>2023/03/06 00:06:00</t>
  </si>
  <si>
    <t>2023/03/07 00:21:00</t>
  </si>
  <si>
    <t>2023/03/08 00:11:00</t>
  </si>
  <si>
    <t>2023/03/09 05:50:00</t>
  </si>
  <si>
    <t>2019/01/04</t>
  </si>
  <si>
    <t>2023/01/19 19:51:00</t>
  </si>
  <si>
    <t>2023/01/20 00:02:00</t>
  </si>
  <si>
    <t>2023/01/20 00:20:00</t>
  </si>
  <si>
    <t>2023/01/20 15:56:00</t>
  </si>
  <si>
    <t>2023/01/21 06:19:00</t>
  </si>
  <si>
    <t>2023/01/22 00:09:00</t>
  </si>
  <si>
    <t>2023/01/23 00:13:00</t>
  </si>
  <si>
    <t>2023/01/24 00:07:00</t>
  </si>
  <si>
    <t>2019/01/05</t>
  </si>
  <si>
    <t>2021/10/31 17:21:00</t>
  </si>
  <si>
    <t>2021/10/31 23:24:00</t>
  </si>
  <si>
    <t>2021/11/01 00:28:00</t>
  </si>
  <si>
    <t>2021/11/01 16:52:00</t>
  </si>
  <si>
    <t>2021/11/02 00:34:00</t>
  </si>
  <si>
    <t>2021/11/03 00:03:00</t>
  </si>
  <si>
    <t>2021/11/04 00:17:00</t>
  </si>
  <si>
    <t>2021/11/05 00:14:00</t>
  </si>
  <si>
    <t>2021/11/06 00:01:00</t>
  </si>
  <si>
    <t>2021/11/07 00:01:00</t>
  </si>
  <si>
    <t>2021/11/08 00:06:00</t>
  </si>
  <si>
    <t>2019/01/06</t>
  </si>
  <si>
    <t>2021/06/01 18:03:00</t>
  </si>
  <si>
    <t>2021/06/01 23:08:00</t>
  </si>
  <si>
    <t>2021/06/02 00:11:00</t>
  </si>
  <si>
    <t>2021/06/03 00:36:00</t>
  </si>
  <si>
    <t>2021/06/04 00:56:00</t>
  </si>
  <si>
    <t>2021/06/05 00:17:00</t>
  </si>
  <si>
    <t>2021/06/06 00:03:00</t>
  </si>
  <si>
    <t>2021/06/07 05:45:00</t>
  </si>
  <si>
    <t>2019/02/24</t>
  </si>
  <si>
    <t>2017/04/24 20:21:00</t>
  </si>
  <si>
    <t>2017/04/24 21:32:00</t>
  </si>
  <si>
    <t>2017/04/25 00:17:00</t>
  </si>
  <si>
    <t>2017/04/26 00:31:00</t>
  </si>
  <si>
    <t>2017/04/27 00:08:00</t>
  </si>
  <si>
    <t>2017/04/28 00:40:00</t>
  </si>
  <si>
    <t>2017/04/28 18:52:00</t>
  </si>
  <si>
    <t>2017/04/29 00:17:00</t>
  </si>
  <si>
    <t>2017/04/30 00:25:00</t>
  </si>
  <si>
    <t>2017/05/01 00:18:00</t>
  </si>
  <si>
    <t>2017/05/02 00:31:00</t>
  </si>
  <si>
    <t>2017/06/01 10:04:00</t>
  </si>
  <si>
    <t>2017/06/01 13:08:00</t>
  </si>
  <si>
    <t>2022/11/28 21:24:00</t>
  </si>
  <si>
    <t>2022/11/29 01:00:00</t>
  </si>
  <si>
    <t>2022/11/29 17:41:00</t>
  </si>
  <si>
    <t>2022/11/30 06:10:00</t>
  </si>
  <si>
    <t>2022/12/01 00:03:00</t>
  </si>
  <si>
    <t>2022/12/02 05:58:00</t>
  </si>
  <si>
    <t>2022/12/03 05:49:00</t>
  </si>
  <si>
    <t>2022/12/05 00:04:00</t>
  </si>
  <si>
    <t>2022/12/06 00:03:00</t>
  </si>
  <si>
    <t>2022/12/06 18:54:00</t>
  </si>
  <si>
    <t>2022/12/07 10:38:00</t>
  </si>
  <si>
    <t>2015/06/24 02:31:00</t>
  </si>
  <si>
    <t>2015/06/24 02:32:00</t>
  </si>
  <si>
    <t>2015/06/24 16:14:00</t>
  </si>
  <si>
    <t>2015/06/25 00:12:00</t>
  </si>
  <si>
    <t>2015/06/26 00:20:00</t>
  </si>
  <si>
    <t>2015/06/27 00:05:00</t>
  </si>
  <si>
    <t>2015/06/28 00:02:00</t>
  </si>
  <si>
    <t>2015/06/29 00:06:00</t>
  </si>
  <si>
    <t>2015/06/29 20:37:00</t>
  </si>
  <si>
    <t>2015/06/30 00:29:00</t>
  </si>
  <si>
    <t>2015/07/01 08:52:00</t>
  </si>
  <si>
    <t>2019/02/25</t>
  </si>
  <si>
    <t>2021/03/31 14:21:00</t>
  </si>
  <si>
    <t>2021/03/31 19:29:00</t>
  </si>
  <si>
    <t>2021/04/01 00:18:00</t>
  </si>
  <si>
    <t>2021/04/02 01:01:00</t>
  </si>
  <si>
    <t>2021/04/03 00:21:00</t>
  </si>
  <si>
    <t>2021/04/04 05:36:00</t>
  </si>
  <si>
    <t>2021/04/05 00:02:00</t>
  </si>
  <si>
    <t>2021/04/06 00:03:00</t>
  </si>
  <si>
    <t>2021/04/07 00:02:00</t>
  </si>
  <si>
    <t>2019/02/26</t>
  </si>
  <si>
    <t>2021/05/02 19:04:00</t>
  </si>
  <si>
    <t>2021/05/02 23:41:00</t>
  </si>
  <si>
    <t>2021/05/03 00:13:00</t>
  </si>
  <si>
    <t>2021/05/04 00:24:00</t>
  </si>
  <si>
    <t>2021/05/05 00:02:00</t>
  </si>
  <si>
    <t>2021/05/06 00:10:00</t>
  </si>
  <si>
    <t>2021/05/07 00:07:00</t>
  </si>
  <si>
    <t>2021/05/08 05:57:00</t>
  </si>
  <si>
    <t>2021/05/09 00:03:00</t>
  </si>
  <si>
    <t>2021/05/10 00:04:00</t>
  </si>
  <si>
    <t>2021/05/10 18:27:00</t>
  </si>
  <si>
    <t>2021/05/11 00:12:00</t>
  </si>
  <si>
    <t>2019/02/27</t>
  </si>
  <si>
    <t>2021/06/30 21:54:00</t>
  </si>
  <si>
    <t>2021/07/01 00:30:00</t>
  </si>
  <si>
    <t>2021/07/01 17:43:00</t>
  </si>
  <si>
    <t>2021/07/02 00:16:00</t>
  </si>
  <si>
    <t>2021/07/03 00:36:00</t>
  </si>
  <si>
    <t>2021/07/04 00:32:00</t>
  </si>
  <si>
    <t>2021/07/05 00:23:00</t>
  </si>
  <si>
    <t>2021/07/05 18:14:00</t>
  </si>
  <si>
    <t>2021/07/06 00:29:00</t>
  </si>
  <si>
    <t>2021/07/07 00:06:00</t>
  </si>
  <si>
    <t>2019/02/28</t>
  </si>
  <si>
    <t>2021/08/22 08:33:00</t>
  </si>
  <si>
    <t>2021/08/22 14:11:00</t>
  </si>
  <si>
    <t>2021/08/23 00:24:00</t>
  </si>
  <si>
    <t>2021/08/24 00:24:00</t>
  </si>
  <si>
    <t>2021/08/25 00:13:00</t>
  </si>
  <si>
    <t>2021/08/26 00:17:00</t>
  </si>
  <si>
    <t>2021/08/27 05:48:00</t>
  </si>
  <si>
    <t>2021/08/28 00:02:00</t>
  </si>
  <si>
    <t>2021/08/29 00:03:00</t>
  </si>
  <si>
    <t>2021/08/30 06:05:00</t>
  </si>
  <si>
    <t>2021/08/31 05:42:00</t>
  </si>
  <si>
    <t>2021/09/01 05:50:00</t>
  </si>
  <si>
    <t>2021/09/02 00:02:00</t>
  </si>
  <si>
    <t>2021/09/03 00:04:00</t>
  </si>
  <si>
    <t>2021/09/05 05:52:00</t>
  </si>
  <si>
    <t>2021/09/06 05:46:00</t>
  </si>
  <si>
    <t>2021/09/07 00:05:00</t>
  </si>
  <si>
    <t>2019/03/01</t>
  </si>
  <si>
    <t>2021/05/12 12:43:00</t>
  </si>
  <si>
    <t>2021/05/12 14:31:00</t>
  </si>
  <si>
    <t>2021/05/13 00:56:00</t>
  </si>
  <si>
    <t>2021/05/14 00:14:00</t>
  </si>
  <si>
    <t>2021/05/15 00:24:00</t>
  </si>
  <si>
    <t>2021/05/16 00:00:00</t>
  </si>
  <si>
    <t>2021/05/17 00:02:00</t>
  </si>
  <si>
    <t>2021/05/18 05:52:00</t>
  </si>
  <si>
    <t>2019/03/02</t>
  </si>
  <si>
    <t>2021/07/27 17:03:00</t>
  </si>
  <si>
    <t>2021/07/27 21:41:00</t>
  </si>
  <si>
    <t>2021/07/28 00:25:00</t>
  </si>
  <si>
    <t>2021/07/28 00:26:00</t>
  </si>
  <si>
    <t>2021/07/29 00:34:00</t>
  </si>
  <si>
    <t>2021/07/30 00:30:00</t>
  </si>
  <si>
    <t>2021/07/31 00:49:00</t>
  </si>
  <si>
    <t>2021/08/01 00:10:00</t>
  </si>
  <si>
    <t>2021/08/02 00:10:00</t>
  </si>
  <si>
    <t>2021/08/03 00:46:00</t>
  </si>
  <si>
    <t>2021/08/04 08:23:00</t>
  </si>
  <si>
    <t>2021/08/05 00:01:00</t>
  </si>
  <si>
    <t>2021/08/06 00:03:00</t>
  </si>
  <si>
    <t>2021/08/07 00:13:00</t>
  </si>
  <si>
    <t>2021/08/08 00:08:00</t>
  </si>
  <si>
    <t>2021/08/09 00:07:00</t>
  </si>
  <si>
    <t>2021/08/10 00:05:00</t>
  </si>
  <si>
    <t>2021/08/11 00:03:00</t>
  </si>
  <si>
    <t>2021/08/12 05:45:00</t>
  </si>
  <si>
    <t>2021/08/13 00:05:00</t>
  </si>
  <si>
    <t>2021/08/14 00:06:00</t>
  </si>
  <si>
    <t>2021/08/15 06:05:00</t>
  </si>
  <si>
    <t>2021/08/16 06:01:00</t>
  </si>
  <si>
    <t>2019/03/03</t>
  </si>
  <si>
    <t>2021/04/06 15:42:00</t>
  </si>
  <si>
    <t>2021/04/06 22:49:00</t>
  </si>
  <si>
    <t>2021/04/07 00:52:00</t>
  </si>
  <si>
    <t>2021/04/08 00:36:00</t>
  </si>
  <si>
    <t>2021/04/09 00:17:00</t>
  </si>
  <si>
    <t>2021/04/10 00:39:00</t>
  </si>
  <si>
    <t>2021/04/11 00:01:00</t>
  </si>
  <si>
    <t>2021/04/12 00:02:00</t>
  </si>
  <si>
    <t>2021/04/12 16:43:00</t>
  </si>
  <si>
    <t>2021/04/13 05:37:00</t>
  </si>
  <si>
    <t>2019/03/04</t>
  </si>
  <si>
    <t>2021/07/07 23:03:00</t>
  </si>
  <si>
    <t>2021/07/08 00:18:00</t>
  </si>
  <si>
    <t>2021/07/09 00:27:00</t>
  </si>
  <si>
    <t>2021/07/10 00:26:00</t>
  </si>
  <si>
    <t>2021/07/11 00:08:00</t>
  </si>
  <si>
    <t>2021/07/12 00:10:00</t>
  </si>
  <si>
    <t>2021/07/13 00:34:00</t>
  </si>
  <si>
    <t>2021/07/14 00:05:00</t>
  </si>
  <si>
    <t>2021/07/15 00:04:00</t>
  </si>
  <si>
    <t>2019/09/15</t>
  </si>
  <si>
    <t>2021/07/12 22:59:00</t>
  </si>
  <si>
    <t>2021/07/13 01:30:00</t>
  </si>
  <si>
    <t>2021/07/13 17:58:00</t>
  </si>
  <si>
    <t>2021/07/15 00:21:00</t>
  </si>
  <si>
    <t>2021/07/16 00:18:00</t>
  </si>
  <si>
    <t>2021/07/17 00:04:00</t>
  </si>
  <si>
    <t>2021/07/18 00:15:00</t>
  </si>
  <si>
    <t>2021/07/19 00:01:00</t>
  </si>
  <si>
    <t>2018/04/06 16:02:00</t>
  </si>
  <si>
    <t>2018/04/06 21:45:00</t>
  </si>
  <si>
    <t>2018/04/07 00:05:00</t>
  </si>
  <si>
    <t>2018/04/08 00:13:00</t>
  </si>
  <si>
    <t>2018/04/09 00:26:00</t>
  </si>
  <si>
    <t>2018/04/10 00:10:00</t>
  </si>
  <si>
    <t>2018/04/11 00:08:00</t>
  </si>
  <si>
    <t>2019/09/16</t>
  </si>
  <si>
    <t>2019/02/19 11:42:00</t>
  </si>
  <si>
    <t>2019/02/19 17:29:00</t>
  </si>
  <si>
    <t>2019/02/20 00:07:00</t>
  </si>
  <si>
    <t>2019/02/21 00:17:00</t>
  </si>
  <si>
    <t>2019/02/22 00:17:00</t>
  </si>
  <si>
    <t>2019/02/23 00:16:00</t>
  </si>
  <si>
    <t>2019/02/24 11:43:00</t>
  </si>
  <si>
    <t>2019/02/26 00:05:00</t>
  </si>
  <si>
    <t>2019/09/17</t>
  </si>
  <si>
    <t>2019/10/31 01:01:00</t>
  </si>
  <si>
    <t>2019/10/31 01:21:00</t>
  </si>
  <si>
    <t>2019/10/31 15:40:00</t>
  </si>
  <si>
    <t>2019/11/01 02:29:00</t>
  </si>
  <si>
    <t>2019/11/02 00:29:00</t>
  </si>
  <si>
    <t>2019/11/03 00:31:00</t>
  </si>
  <si>
    <t>2019/11/04 00:04:00</t>
  </si>
  <si>
    <t>2019/11/05 00:20:00</t>
  </si>
  <si>
    <t>2019/11/06 00:04:00</t>
  </si>
  <si>
    <t>2019/11/07 00:05:00</t>
  </si>
  <si>
    <t>2019/11/08 00:05:00</t>
  </si>
  <si>
    <t>2019/11/09 00:04:00</t>
  </si>
  <si>
    <t>2019/11/10 05:47:00</t>
  </si>
  <si>
    <t>2019/11/11 00:03:00</t>
  </si>
  <si>
    <t>2019/11/12 00:04:00</t>
  </si>
  <si>
    <t>2019/11/13 01:05:00</t>
  </si>
  <si>
    <t>2019/11/14 00:08:00</t>
  </si>
  <si>
    <t>2019/11/15 00:13:00</t>
  </si>
  <si>
    <t>2019/09/18</t>
  </si>
  <si>
    <t>2019/11/25 16:23:00</t>
  </si>
  <si>
    <t>2019/11/25 21:32:00</t>
  </si>
  <si>
    <t>2019/11/26 00:10:00</t>
  </si>
  <si>
    <t>2019/11/27 00:28:00</t>
  </si>
  <si>
    <t>2019/11/28 00:29:00</t>
  </si>
  <si>
    <t>2019/11/29 00:06:00</t>
  </si>
  <si>
    <t>2019/12/01 00:03:00</t>
  </si>
  <si>
    <t>2019/12/02 00:04:00</t>
  </si>
  <si>
    <t>2019/12/03 00:07:00</t>
  </si>
  <si>
    <t>2019/09/19</t>
  </si>
  <si>
    <t>2019/11/21 21:03:00</t>
  </si>
  <si>
    <t>2019/11/22 00:02:00</t>
  </si>
  <si>
    <t>2019/11/22 00:07:00</t>
  </si>
  <si>
    <t>2019/11/22 16:40:00</t>
  </si>
  <si>
    <t>2019/11/23 00:02:00</t>
  </si>
  <si>
    <t>2019/11/24 00:15:00</t>
  </si>
  <si>
    <t>2019/11/25 00:42:00</t>
  </si>
  <si>
    <t>2019/11/25 15:48:00</t>
  </si>
  <si>
    <t>2019/11/27 00:05:00</t>
  </si>
  <si>
    <t>2019/09/20</t>
  </si>
  <si>
    <t>2019/12/20 11:12:00</t>
  </si>
  <si>
    <t>2019/12/20 17:26:00</t>
  </si>
  <si>
    <t>2019/12/21 00:08:00</t>
  </si>
  <si>
    <t>2019/12/22 00:09:00</t>
  </si>
  <si>
    <t>2019/12/27 00:16:00</t>
  </si>
  <si>
    <t>2019/12/27 22:02:00</t>
  </si>
  <si>
    <t>2019/12/28 00:14:00</t>
  </si>
  <si>
    <t>2019/12/22</t>
  </si>
  <si>
    <t>2020/06/25 20:21:00</t>
  </si>
  <si>
    <t>2020/06/25 23:10:00</t>
  </si>
  <si>
    <t>2020/06/26 00:07:00</t>
  </si>
  <si>
    <t>2020/06/27 00:18:00</t>
  </si>
  <si>
    <t>2020/06/28 00:21:00</t>
  </si>
  <si>
    <t>2020/06/29 00:14:00</t>
  </si>
  <si>
    <t>2020/06/30 00:06:00</t>
  </si>
  <si>
    <t>2020/07/01 00:05:00</t>
  </si>
  <si>
    <t>2021/07/07 14:45:00</t>
  </si>
  <si>
    <t>2021/07/07 19:01:00</t>
  </si>
  <si>
    <t>2021/07/09 17:20:00</t>
  </si>
  <si>
    <t>2021/07/12 00:19:00</t>
  </si>
  <si>
    <t>2021/07/07 18:41:00</t>
  </si>
  <si>
    <t>2021/07/07 23:04:00</t>
  </si>
  <si>
    <t>2021/07/13 00:01:00</t>
  </si>
  <si>
    <t>2019/12/23</t>
  </si>
  <si>
    <t>2021/02/22 11:55:00</t>
  </si>
  <si>
    <t>2021/02/22 21:14:00</t>
  </si>
  <si>
    <t>2021/02/23 00:21:00</t>
  </si>
  <si>
    <t>2021/02/24 00:20:00</t>
  </si>
  <si>
    <t>2021/02/25 00:15:00</t>
  </si>
  <si>
    <t>2021/02/26 00:43:00</t>
  </si>
  <si>
    <t>2021/02/27 05:42:00</t>
  </si>
  <si>
    <t>2021/02/28 00:01:00</t>
  </si>
  <si>
    <t>2019/12/24</t>
  </si>
  <si>
    <t>2017/04/05 14:25:00</t>
  </si>
  <si>
    <t>2017/04/05 23:33:00</t>
  </si>
  <si>
    <t>2017/04/06 00:27:00</t>
  </si>
  <si>
    <t>2017/04/07 00:55:00</t>
  </si>
  <si>
    <t>2017/04/08 00:25:00</t>
  </si>
  <si>
    <t>2017/04/09 00:13:00</t>
  </si>
  <si>
    <t>2017/04/10 00:11:00</t>
  </si>
  <si>
    <t>2017/04/11 00:31:00</t>
  </si>
  <si>
    <t>2017/04/12 06:04:00</t>
  </si>
  <si>
    <t>2017/04/13 05:46:00</t>
  </si>
  <si>
    <t>2017/04/14 05:38:00</t>
  </si>
  <si>
    <t>2017/04/15 00:04:00</t>
  </si>
  <si>
    <t>2019/12/25</t>
  </si>
  <si>
    <t>2018/01/04 13:55:00</t>
  </si>
  <si>
    <t>2018/01/04 18:00:00</t>
  </si>
  <si>
    <t>2018/01/05 00:21:00</t>
  </si>
  <si>
    <t>2018/01/06 00:33:00</t>
  </si>
  <si>
    <t>2018/01/07 05:45:00</t>
  </si>
  <si>
    <t>2018/01/08 05:42:00</t>
  </si>
  <si>
    <t>2018/01/09 00:13:00</t>
  </si>
  <si>
    <t>2019/12/26</t>
  </si>
  <si>
    <t>2017/10/09 17:04:00</t>
  </si>
  <si>
    <t>2017/10/09 22:32:00</t>
  </si>
  <si>
    <t>2017/10/10 00:19:00</t>
  </si>
  <si>
    <t>2017/10/11 00:11:00</t>
  </si>
  <si>
    <t>2017/10/12 00:12:00</t>
  </si>
  <si>
    <t>2017/10/13 00:05:00</t>
  </si>
  <si>
    <t>2017/10/14 00:05:00</t>
  </si>
  <si>
    <t>2017/10/15 05:33:00</t>
  </si>
  <si>
    <t>2017/10/16 00:05:00</t>
  </si>
  <si>
    <t>2017/10/17 00:12:00</t>
  </si>
  <si>
    <t>2019/12/27</t>
  </si>
  <si>
    <t>2017/06/12 20:07:00</t>
  </si>
  <si>
    <t>2017/06/12 21:54:00</t>
  </si>
  <si>
    <t>2017/06/13 00:17:00</t>
  </si>
  <si>
    <t>2017/06/14 00:24:00</t>
  </si>
  <si>
    <t>2017/06/15 00:32:00</t>
  </si>
  <si>
    <t>2017/06/16 00:28:00</t>
  </si>
  <si>
    <t>2017/06/17 00:03:00</t>
  </si>
  <si>
    <t>2017/06/18 00:01:00</t>
  </si>
  <si>
    <t>2017/06/19 00:09:00</t>
  </si>
  <si>
    <t>2019/12/28</t>
  </si>
  <si>
    <t>2019/05/06 17:33:00</t>
  </si>
  <si>
    <t>2019/05/06 22:01:00</t>
  </si>
  <si>
    <t>2019/05/07 00:20:00</t>
  </si>
  <si>
    <t>2019/05/08 00:22:00</t>
  </si>
  <si>
    <t>2019/05/09 00:12:00</t>
  </si>
  <si>
    <t>2019/05/10 00:27:00</t>
  </si>
  <si>
    <t>2019/05/11 00:34:00</t>
  </si>
  <si>
    <t>2019/05/12 00:04:00</t>
  </si>
  <si>
    <t>2019/05/13 00:11:00</t>
  </si>
  <si>
    <t>2019/05/14 05:39:00</t>
  </si>
  <si>
    <t>2019/05/15 00:02:00</t>
  </si>
  <si>
    <t>2019/05/16 00:02:00</t>
  </si>
  <si>
    <t>2019/05/17 00:04:00</t>
  </si>
  <si>
    <t>2019/05/18 00:07:00</t>
  </si>
  <si>
    <t>2019/05/19 06:00:00</t>
  </si>
  <si>
    <t>2019/05/20 00:03:00</t>
  </si>
  <si>
    <t>2019/05/20 15:39:00</t>
  </si>
  <si>
    <t>2019/05/21 00:06:00</t>
  </si>
  <si>
    <t>2019/12/29</t>
  </si>
  <si>
    <t>2019/12/30</t>
  </si>
  <si>
    <t>2019/08/27</t>
  </si>
  <si>
    <t>2019/08/28</t>
  </si>
  <si>
    <t>2019/08/29</t>
  </si>
  <si>
    <t>2019/08/30</t>
  </si>
  <si>
    <t>2019/08/31</t>
  </si>
  <si>
    <t>2019/09/01</t>
  </si>
  <si>
    <t>2019/09/02</t>
  </si>
  <si>
    <t>2019/09/03</t>
  </si>
  <si>
    <t>2019/09/04</t>
  </si>
  <si>
    <t>2018/06/12</t>
  </si>
  <si>
    <t>2018/06/13</t>
  </si>
  <si>
    <t>2018/06/14</t>
  </si>
  <si>
    <t>2018/06/15</t>
  </si>
  <si>
    <t>2018/06/16</t>
  </si>
  <si>
    <t>2015/12/19</t>
  </si>
  <si>
    <t>2015/12/20</t>
  </si>
  <si>
    <t>2015/12/21</t>
  </si>
  <si>
    <t>2015/12/22</t>
  </si>
  <si>
    <t>2015/12/23</t>
  </si>
  <si>
    <t>2015/12/24</t>
  </si>
  <si>
    <t>2015/12/25</t>
  </si>
  <si>
    <t>2015/12/26</t>
  </si>
  <si>
    <t>2015/12/27</t>
  </si>
  <si>
    <t>2015/12/28</t>
  </si>
  <si>
    <t>2015/12/29</t>
  </si>
  <si>
    <t>2015/12/30</t>
  </si>
  <si>
    <t>2018/12/08</t>
  </si>
  <si>
    <t>2018/12/09</t>
  </si>
  <si>
    <t>2018/12/10</t>
  </si>
  <si>
    <t>2018/12/11</t>
  </si>
  <si>
    <t>2018/12/12</t>
  </si>
  <si>
    <t>2018/12/13</t>
  </si>
  <si>
    <t>2018/12/14</t>
  </si>
  <si>
    <t>2018/12/15</t>
  </si>
  <si>
    <t>2018/12/17</t>
  </si>
  <si>
    <t>2019/01/16</t>
  </si>
  <si>
    <t>2019/01/17</t>
  </si>
  <si>
    <t>2019/01/18</t>
  </si>
  <si>
    <t>2019/01/19</t>
  </si>
  <si>
    <t>2019/01/20</t>
  </si>
  <si>
    <t>2018/02/28</t>
  </si>
  <si>
    <t>2018/03/01</t>
  </si>
  <si>
    <t>2018/03/02</t>
  </si>
  <si>
    <t>2018/03/03</t>
  </si>
  <si>
    <t>2018/03/04</t>
  </si>
  <si>
    <t>2018/03/05</t>
  </si>
  <si>
    <t>2018/03/06</t>
  </si>
  <si>
    <t>2018/03/07</t>
  </si>
  <si>
    <t>2018/05/05</t>
  </si>
  <si>
    <t>2018/05/06</t>
  </si>
  <si>
    <t>2018/05/07</t>
  </si>
  <si>
    <t>2018/05/08</t>
  </si>
  <si>
    <t>2018/05/09</t>
  </si>
  <si>
    <t>2018/05/19</t>
  </si>
  <si>
    <t>2018/05/20</t>
  </si>
  <si>
    <t>2018/05/21</t>
  </si>
  <si>
    <t>2018/05/22</t>
  </si>
  <si>
    <t>2018/05/23</t>
  </si>
  <si>
    <t>2018/05/24</t>
  </si>
  <si>
    <t>2018/05/25</t>
  </si>
  <si>
    <t>2023/05/22</t>
  </si>
  <si>
    <t>2023/05/23</t>
  </si>
  <si>
    <t>2023/05/24</t>
  </si>
  <si>
    <t>2023/05/25</t>
  </si>
  <si>
    <t>2023/05/26</t>
  </si>
  <si>
    <t>2023/05/27</t>
  </si>
  <si>
    <t>2023/03/05</t>
  </si>
  <si>
    <t>2023/03/06</t>
  </si>
  <si>
    <t>2023/03/07</t>
  </si>
  <si>
    <t>2023/03/08</t>
  </si>
  <si>
    <t>2023/03/09</t>
  </si>
  <si>
    <t>2023/01/19</t>
  </si>
  <si>
    <t>2023/01/20</t>
  </si>
  <si>
    <t>2023/01/21</t>
  </si>
  <si>
    <t>2023/01/22</t>
  </si>
  <si>
    <t>2023/01/23</t>
  </si>
  <si>
    <t>2023/01/24</t>
  </si>
  <si>
    <t>2021/10/31</t>
  </si>
  <si>
    <t>2021/11/01</t>
  </si>
  <si>
    <t>2021/11/02</t>
  </si>
  <si>
    <t>2021/11/03</t>
  </si>
  <si>
    <t>2021/11/04</t>
  </si>
  <si>
    <t>2021/11/05</t>
  </si>
  <si>
    <t>2021/11/06</t>
  </si>
  <si>
    <t>2021/11/07</t>
  </si>
  <si>
    <t>2021/11/08</t>
  </si>
  <si>
    <t>2021/06/01</t>
  </si>
  <si>
    <t>2021/06/02</t>
  </si>
  <si>
    <t>2021/06/03</t>
  </si>
  <si>
    <t>2021/06/04</t>
  </si>
  <si>
    <t>2021/06/05</t>
  </si>
  <si>
    <t>2021/06/06</t>
  </si>
  <si>
    <t>2021/06/07</t>
  </si>
  <si>
    <t>2017/04/24</t>
  </si>
  <si>
    <t>2017/04/25</t>
  </si>
  <si>
    <t>2017/04/26</t>
  </si>
  <si>
    <t>2017/04/27</t>
  </si>
  <si>
    <t>2017/04/28</t>
  </si>
  <si>
    <t>2017/04/29</t>
  </si>
  <si>
    <t>2017/04/30</t>
  </si>
  <si>
    <t>2017/05/01</t>
  </si>
  <si>
    <t>2017/05/02</t>
  </si>
  <si>
    <t>2017/06/01</t>
  </si>
  <si>
    <t>2022/11/28</t>
  </si>
  <si>
    <t>2022/11/29</t>
  </si>
  <si>
    <t>2022/11/30</t>
  </si>
  <si>
    <t>2022/12/01</t>
  </si>
  <si>
    <t>2022/12/02</t>
  </si>
  <si>
    <t>2022/12/03</t>
  </si>
  <si>
    <t>2022/12/05</t>
  </si>
  <si>
    <t>2022/12/06</t>
  </si>
  <si>
    <t>2022/12/07</t>
  </si>
  <si>
    <t>2015/06/24</t>
  </si>
  <si>
    <t>2015/06/25</t>
  </si>
  <si>
    <t>2015/06/26</t>
  </si>
  <si>
    <t>2015/06/27</t>
  </si>
  <si>
    <t>2015/06/28</t>
  </si>
  <si>
    <t>2015/06/29</t>
  </si>
  <si>
    <t>2015/06/30</t>
  </si>
  <si>
    <t>2015/07/01</t>
  </si>
  <si>
    <t>2021/03/31</t>
  </si>
  <si>
    <t>2021/04/01</t>
  </si>
  <si>
    <t>2021/04/02</t>
  </si>
  <si>
    <t>2021/04/03</t>
  </si>
  <si>
    <t>2021/04/04</t>
  </si>
  <si>
    <t>2021/04/05</t>
  </si>
  <si>
    <t>2021/04/06</t>
  </si>
  <si>
    <t>2021/04/07</t>
  </si>
  <si>
    <t>2021/05/02</t>
  </si>
  <si>
    <t>2021/05/03</t>
  </si>
  <si>
    <t>2021/05/04</t>
  </si>
  <si>
    <t>2021/05/05</t>
  </si>
  <si>
    <t>2021/05/06</t>
  </si>
  <si>
    <t>2021/05/07</t>
  </si>
  <si>
    <t>2021/05/08</t>
  </si>
  <si>
    <t>2021/05/09</t>
  </si>
  <si>
    <t>2021/05/10</t>
  </si>
  <si>
    <t>2021/05/11</t>
  </si>
  <si>
    <t>2021/06/30</t>
  </si>
  <si>
    <t>2021/07/01</t>
  </si>
  <si>
    <t>2021/07/02</t>
  </si>
  <si>
    <t>2021/07/03</t>
  </si>
  <si>
    <t>2021/07/04</t>
  </si>
  <si>
    <t>2021/07/05</t>
  </si>
  <si>
    <t>2021/07/06</t>
  </si>
  <si>
    <t>2021/07/07</t>
  </si>
  <si>
    <t>2021/08/22</t>
  </si>
  <si>
    <t>2021/08/23</t>
  </si>
  <si>
    <t>2021/08/24</t>
  </si>
  <si>
    <t>2021/08/25</t>
  </si>
  <si>
    <t>2021/08/26</t>
  </si>
  <si>
    <t>2021/08/27</t>
  </si>
  <si>
    <t>2021/08/28</t>
  </si>
  <si>
    <t>2021/08/29</t>
  </si>
  <si>
    <t>2021/08/30</t>
  </si>
  <si>
    <t>2021/08/31</t>
  </si>
  <si>
    <t>2021/09/01</t>
  </si>
  <si>
    <t>2021/09/02</t>
  </si>
  <si>
    <t>2021/09/03</t>
  </si>
  <si>
    <t>2021/09/05</t>
  </si>
  <si>
    <t>2021/09/06</t>
  </si>
  <si>
    <t>2021/09/07</t>
  </si>
  <si>
    <t>2021/05/12</t>
  </si>
  <si>
    <t>2021/05/13</t>
  </si>
  <si>
    <t>2021/05/14</t>
  </si>
  <si>
    <t>2021/05/15</t>
  </si>
  <si>
    <t>2021/05/16</t>
  </si>
  <si>
    <t>2021/05/17</t>
  </si>
  <si>
    <t>2021/05/18</t>
  </si>
  <si>
    <t>2021/07/27</t>
  </si>
  <si>
    <t>2021/07/28</t>
  </si>
  <si>
    <t>2021/07/29</t>
  </si>
  <si>
    <t>2021/07/30</t>
  </si>
  <si>
    <t>2021/07/31</t>
  </si>
  <si>
    <t>2021/08/01</t>
  </si>
  <si>
    <t>2021/08/02</t>
  </si>
  <si>
    <t>2021/08/03</t>
  </si>
  <si>
    <t>2021/08/04</t>
  </si>
  <si>
    <t>2021/08/05</t>
  </si>
  <si>
    <t>2021/08/06</t>
  </si>
  <si>
    <t>2021/08/07</t>
  </si>
  <si>
    <t>2021/08/08</t>
  </si>
  <si>
    <t>2021/08/09</t>
  </si>
  <si>
    <t>2021/08/10</t>
  </si>
  <si>
    <t>2021/08/11</t>
  </si>
  <si>
    <t>2021/08/12</t>
  </si>
  <si>
    <t>2021/08/13</t>
  </si>
  <si>
    <t>2021/08/14</t>
  </si>
  <si>
    <t>2021/08/15</t>
  </si>
  <si>
    <t>2021/08/16</t>
  </si>
  <si>
    <t>2021/04/08</t>
  </si>
  <si>
    <t>2021/04/09</t>
  </si>
  <si>
    <t>2021/04/10</t>
  </si>
  <si>
    <t>2021/04/11</t>
  </si>
  <si>
    <t>2021/04/12</t>
  </si>
  <si>
    <t>2021/04/13</t>
  </si>
  <si>
    <t>2021/07/08</t>
  </si>
  <si>
    <t>2021/07/09</t>
  </si>
  <si>
    <t>2021/07/10</t>
  </si>
  <si>
    <t>2021/07/11</t>
  </si>
  <si>
    <t>2021/07/12</t>
  </si>
  <si>
    <t>2021/07/13</t>
  </si>
  <si>
    <t>2021/07/14</t>
  </si>
  <si>
    <t>2021/07/15</t>
  </si>
  <si>
    <t>2021/07/16</t>
  </si>
  <si>
    <t>2021/07/17</t>
  </si>
  <si>
    <t>2021/07/18</t>
  </si>
  <si>
    <t>2021/07/19</t>
  </si>
  <si>
    <t>2018/04/06</t>
  </si>
  <si>
    <t>2018/04/07</t>
  </si>
  <si>
    <t>2018/04/08</t>
  </si>
  <si>
    <t>2018/04/09</t>
  </si>
  <si>
    <t>2018/04/10</t>
  </si>
  <si>
    <t>2018/04/11</t>
  </si>
  <si>
    <t>2019/02/19</t>
  </si>
  <si>
    <t>2019/02/20</t>
  </si>
  <si>
    <t>2019/02/21</t>
  </si>
  <si>
    <t>2019/02/22</t>
  </si>
  <si>
    <t>2019/02/23</t>
  </si>
  <si>
    <t>2019/10/31</t>
  </si>
  <si>
    <t>2019/11/01</t>
  </si>
  <si>
    <t>2019/11/02</t>
  </si>
  <si>
    <t>2019/11/03</t>
  </si>
  <si>
    <t>2019/11/04</t>
  </si>
  <si>
    <t>2019/11/05</t>
  </si>
  <si>
    <t>2019/11/06</t>
  </si>
  <si>
    <t>2019/11/07</t>
  </si>
  <si>
    <t>2019/11/08</t>
  </si>
  <si>
    <t>2019/11/09</t>
  </si>
  <si>
    <t>2019/11/10</t>
  </si>
  <si>
    <t>2019/11/11</t>
  </si>
  <si>
    <t>2019/11/12</t>
  </si>
  <si>
    <t>2019/11/13</t>
  </si>
  <si>
    <t>2019/11/14</t>
  </si>
  <si>
    <t>2019/11/15</t>
  </si>
  <si>
    <t>2019/11/25</t>
  </si>
  <si>
    <t>2019/11/26</t>
  </si>
  <si>
    <t>2019/11/27</t>
  </si>
  <si>
    <t>2019/11/28</t>
  </si>
  <si>
    <t>2019/11/29</t>
  </si>
  <si>
    <t>2019/12/01</t>
  </si>
  <si>
    <t>2019/12/02</t>
  </si>
  <si>
    <t>2019/12/03</t>
  </si>
  <si>
    <t>2019/11/22</t>
  </si>
  <si>
    <t>2019/11/23</t>
  </si>
  <si>
    <t>2019/11/24</t>
  </si>
  <si>
    <t>2019/12/20</t>
  </si>
  <si>
    <t>2019/12/21</t>
  </si>
  <si>
    <t>2020/06/25</t>
  </si>
  <si>
    <t>2020/06/26</t>
  </si>
  <si>
    <t>2020/06/27</t>
  </si>
  <si>
    <t>2020/06/28</t>
  </si>
  <si>
    <t>2020/06/29</t>
  </si>
  <si>
    <t>2020/06/30</t>
  </si>
  <si>
    <t>2020/07/01</t>
  </si>
  <si>
    <t>2021/02/22</t>
  </si>
  <si>
    <t>2021/02/23</t>
  </si>
  <si>
    <t>2021/02/24</t>
  </si>
  <si>
    <t>2021/02/25</t>
  </si>
  <si>
    <t>2021/02/26</t>
  </si>
  <si>
    <t>2021/02/27</t>
  </si>
  <si>
    <t>2021/02/28</t>
  </si>
  <si>
    <t>2017/04/05</t>
  </si>
  <si>
    <t>2017/04/06</t>
  </si>
  <si>
    <t>2017/04/07</t>
  </si>
  <si>
    <t>2017/04/08</t>
  </si>
  <si>
    <t>2017/04/09</t>
  </si>
  <si>
    <t>2017/04/10</t>
  </si>
  <si>
    <t>2017/04/11</t>
  </si>
  <si>
    <t>2017/04/12</t>
  </si>
  <si>
    <t>2017/04/13</t>
  </si>
  <si>
    <t>2017/04/14</t>
  </si>
  <si>
    <t>2017/04/15</t>
  </si>
  <si>
    <t>2018/01/04</t>
  </si>
  <si>
    <t>2018/01/05</t>
  </si>
  <si>
    <t>2018/01/06</t>
  </si>
  <si>
    <t>2018/01/07</t>
  </si>
  <si>
    <t>2018/01/08</t>
  </si>
  <si>
    <t>2018/01/09</t>
  </si>
  <si>
    <t>2017/10/09</t>
  </si>
  <si>
    <t>2017/10/10</t>
  </si>
  <si>
    <t>2017/10/11</t>
  </si>
  <si>
    <t>2017/10/12</t>
  </si>
  <si>
    <t>2017/10/13</t>
  </si>
  <si>
    <t>2017/10/14</t>
  </si>
  <si>
    <t>2017/10/15</t>
  </si>
  <si>
    <t>2017/10/16</t>
  </si>
  <si>
    <t>2017/10/17</t>
  </si>
  <si>
    <t>2017/06/12</t>
  </si>
  <si>
    <t>2017/06/13</t>
  </si>
  <si>
    <t>2017/06/14</t>
  </si>
  <si>
    <t>2017/06/15</t>
  </si>
  <si>
    <t>2017/06/16</t>
  </si>
  <si>
    <t>2017/06/17</t>
  </si>
  <si>
    <t>2017/06/18</t>
  </si>
  <si>
    <t>2017/06/19</t>
  </si>
  <si>
    <t>2019/05/06</t>
  </si>
  <si>
    <t>2019/05/07</t>
  </si>
  <si>
    <t>2019/05/08</t>
  </si>
  <si>
    <t>2019/05/09</t>
  </si>
  <si>
    <t>2019/05/10</t>
  </si>
  <si>
    <t>2019/05/11</t>
  </si>
  <si>
    <t>2019/05/12</t>
  </si>
  <si>
    <t>2019/05/13</t>
  </si>
  <si>
    <t>2019/05/14</t>
  </si>
  <si>
    <t>2019/05/15</t>
  </si>
  <si>
    <t>2019/05/16</t>
  </si>
  <si>
    <t>2019/05/17</t>
  </si>
  <si>
    <t>2019/05/18</t>
  </si>
  <si>
    <t>2019/05/19</t>
  </si>
  <si>
    <t>2019/05/20</t>
  </si>
  <si>
    <t>2019/05/21</t>
  </si>
  <si>
    <t>AMI start date</t>
  </si>
  <si>
    <t>n66</t>
  </si>
  <si>
    <t>2019/10/26 12:10:00</t>
  </si>
  <si>
    <t>2019/10/26 16:49:00</t>
  </si>
  <si>
    <t>2019/10/27 00:46:00</t>
  </si>
  <si>
    <t>2019/10/28 00:09:00</t>
  </si>
  <si>
    <t>2019/10/28 15:53:00</t>
  </si>
  <si>
    <t>2019/10/29 00:10:00</t>
  </si>
  <si>
    <t>2019/10/30 00:16:00</t>
  </si>
  <si>
    <t>2019/10/31 05:43:00</t>
  </si>
  <si>
    <t>n67</t>
  </si>
  <si>
    <t>2019/07/05 22:25:00</t>
  </si>
  <si>
    <t>2019/07/06 00:15:00</t>
  </si>
  <si>
    <t>2019/07/07 00:09:00</t>
  </si>
  <si>
    <t>2019/07/08 00:18:00</t>
  </si>
  <si>
    <t>2019/07/08 17:17:00</t>
  </si>
  <si>
    <t>2019/07/09 00:20:00</t>
  </si>
  <si>
    <t>2019/07/10 00:02:00</t>
  </si>
  <si>
    <t>n68</t>
  </si>
  <si>
    <t>2019/01/24 16:23:00</t>
  </si>
  <si>
    <t>2019/01/25 00:02:00</t>
  </si>
  <si>
    <t>2019/01/25 17:30:00</t>
  </si>
  <si>
    <t>2019/01/26 00:12:00</t>
  </si>
  <si>
    <t>2019/01/27 00:18:00</t>
  </si>
  <si>
    <t>2019/01/28 05:43:00</t>
  </si>
  <si>
    <t>n69</t>
  </si>
  <si>
    <t>2019/03/24 17:08:00</t>
  </si>
  <si>
    <t>2019/03/25 00:16:00</t>
  </si>
  <si>
    <t>2019/03/25 16:47:00</t>
  </si>
  <si>
    <t>2019/03/26 00:13:00</t>
  </si>
  <si>
    <t>2019/03/27 00:11:00</t>
  </si>
  <si>
    <t>2019/03/28 00:03:00</t>
  </si>
  <si>
    <t>n70</t>
  </si>
  <si>
    <t>2019/03/02 23:32:00</t>
  </si>
  <si>
    <t>2019/03/03 00:18:00</t>
  </si>
  <si>
    <t>2019/03/04 00:23:00</t>
  </si>
  <si>
    <t>2019/03/04 16:44:00</t>
  </si>
  <si>
    <t>2019/03/05 00:33:00</t>
  </si>
  <si>
    <t>2019/03/06 00:09:00</t>
  </si>
  <si>
    <t>n71</t>
  </si>
  <si>
    <t>2019/12/17 22:21:00</t>
  </si>
  <si>
    <t>2019/12/18 00:12:00</t>
  </si>
  <si>
    <t>2019/12/18 17:50:00</t>
  </si>
  <si>
    <t>2019/12/19 00:05:00</t>
  </si>
  <si>
    <t>2019/12/20 00:43:00</t>
  </si>
  <si>
    <t>2019/12/21 00:05:00</t>
  </si>
  <si>
    <t>n72</t>
  </si>
  <si>
    <t>2019/03/16 11:32:00</t>
  </si>
  <si>
    <t>2019/03/16 16:04:00</t>
  </si>
  <si>
    <t>2019/03/16 21:07:00</t>
  </si>
  <si>
    <t>2019/03/17 00:12:00</t>
  </si>
  <si>
    <t>2019/03/18 00:09:00</t>
  </si>
  <si>
    <t>2019/03/18 16:35:00</t>
  </si>
  <si>
    <t>2019/03/19 00:26:00</t>
  </si>
  <si>
    <t>2019/03/20 00:10:00</t>
  </si>
  <si>
    <t>2019/03/21 00:20:00</t>
  </si>
  <si>
    <t>2019/03/22 00:05:00</t>
  </si>
  <si>
    <t>2019/03/23 00:42:00</t>
  </si>
  <si>
    <t>2019/03/24 00:05:00</t>
  </si>
  <si>
    <t>n73</t>
  </si>
  <si>
    <t>2018/01/05 11:12:00</t>
  </si>
  <si>
    <t>2018/01/05 21:37:00</t>
  </si>
  <si>
    <t>2018/01/07 00:04:00</t>
  </si>
  <si>
    <t>2018/01/09 15:28:00</t>
  </si>
  <si>
    <t>2018/01/10 00:04:00</t>
  </si>
  <si>
    <t>2018/01/11 00:08:00</t>
  </si>
  <si>
    <t>n74</t>
  </si>
  <si>
    <t>2018/07/06 03:21:00</t>
  </si>
  <si>
    <t>2018/07/06 21:55:00</t>
  </si>
  <si>
    <t>2018/07/07 00:07:00</t>
  </si>
  <si>
    <t>2018/07/08 05:50:00</t>
  </si>
  <si>
    <t>2018/07/09 00:17:00</t>
  </si>
  <si>
    <t>2018/07/10 00:03:00</t>
  </si>
  <si>
    <t>2018/07/11 00:05:00</t>
  </si>
  <si>
    <t>n75</t>
  </si>
  <si>
    <t>2018/10/03 23:35:00</t>
  </si>
  <si>
    <t>2018/10/04 00:26:00</t>
  </si>
  <si>
    <t>2018/10/04 15:58:00</t>
  </si>
  <si>
    <t>2018/10/05 00:24:00</t>
  </si>
  <si>
    <t>2018/10/06 00:24:00</t>
  </si>
  <si>
    <t>2018/10/07 00:17:00</t>
  </si>
  <si>
    <t>2018/10/08 00:33:00</t>
  </si>
  <si>
    <t>2018/10/09 00:06:00</t>
  </si>
  <si>
    <t>n76</t>
  </si>
  <si>
    <t>2018/06/18 16:24:00</t>
  </si>
  <si>
    <t>2018/06/19 00:19:00</t>
  </si>
  <si>
    <t>2018/06/19 20:08:00</t>
  </si>
  <si>
    <t>2018/06/20 00:31:00</t>
  </si>
  <si>
    <t>2018/06/21 01:01:00</t>
  </si>
  <si>
    <t>2018/06/22 00:04:00</t>
  </si>
  <si>
    <t>2018/06/23 00:03:00</t>
  </si>
  <si>
    <t>n77</t>
  </si>
  <si>
    <t>2019/02/23 16:13:00</t>
  </si>
  <si>
    <t>2019/02/23 21:38:00</t>
  </si>
  <si>
    <t>2019/02/24 00:12:00</t>
  </si>
  <si>
    <t>2019/02/25 17:24:00</t>
  </si>
  <si>
    <t>2019/02/27 16:04:00</t>
  </si>
  <si>
    <t>2019/03/01 00:02:00</t>
  </si>
  <si>
    <t>2019/03/04 05:41:00</t>
  </si>
  <si>
    <t>n78</t>
  </si>
  <si>
    <t>2019/08/16 17:55:00</t>
  </si>
  <si>
    <t>2019/08/17 00:30:00</t>
  </si>
  <si>
    <t>2019/08/17 00:35:00</t>
  </si>
  <si>
    <t>2019/08/18 00:12:00</t>
  </si>
  <si>
    <t>2019/08/19 00:10:00</t>
  </si>
  <si>
    <t>2019/08/20 00:04:00</t>
  </si>
  <si>
    <t>2019/08/20 18:35:00</t>
  </si>
  <si>
    <t>2019/08/21 00:19:00</t>
  </si>
  <si>
    <t>2019/08/22 00:11:00</t>
  </si>
  <si>
    <t>2019/08/23 05:47:00</t>
  </si>
  <si>
    <t>n79</t>
  </si>
  <si>
    <t>2019/08/01 02:29:00</t>
  </si>
  <si>
    <t>2019/08/01 03:21:00</t>
  </si>
  <si>
    <t>2019/08/01 17:05:00</t>
  </si>
  <si>
    <t>2019/08/02 00:02:00</t>
  </si>
  <si>
    <t>2019/08/03 00:06:00</t>
  </si>
  <si>
    <t>n80</t>
  </si>
  <si>
    <t>2018/03/02 16:42:00</t>
  </si>
  <si>
    <t>2018/03/02 21:30:00</t>
  </si>
  <si>
    <t>2018/03/05 00:01:00</t>
  </si>
  <si>
    <t>n81</t>
  </si>
  <si>
    <t>2018/06/14 03:22:00</t>
  </si>
  <si>
    <t>2018/06/14 03:23:00</t>
  </si>
  <si>
    <t>2018/06/14 16:47:00</t>
  </si>
  <si>
    <t>2018/06/16 00:15:00</t>
  </si>
  <si>
    <t>2018/06/17 05:34:00</t>
  </si>
  <si>
    <t>2018/06/18 00:20:00</t>
  </si>
  <si>
    <t>n82</t>
  </si>
  <si>
    <t>2018/05/09 07:02:00</t>
  </si>
  <si>
    <t>2018/05/09 07:03:00</t>
  </si>
  <si>
    <t>2018/05/09 15:47:00</t>
  </si>
  <si>
    <t>2018/05/10 00:20:00</t>
  </si>
  <si>
    <t>2018/05/11 00:11:00</t>
  </si>
  <si>
    <t>n83</t>
  </si>
  <si>
    <t>2018/10/07 11:00:00</t>
  </si>
  <si>
    <t>2018/10/07 21:54:00</t>
  </si>
  <si>
    <t>2018/10/10 00:49:00</t>
  </si>
  <si>
    <t>2018/10/10 18:07:00</t>
  </si>
  <si>
    <t>2018/10/11 00:13:00</t>
  </si>
  <si>
    <t>2018/10/12 00:40:00</t>
  </si>
  <si>
    <t>2018/10/13 00:06:00</t>
  </si>
  <si>
    <t>2018/10/14 00:09:00</t>
  </si>
  <si>
    <t>2018/10/15 00:08:00</t>
  </si>
  <si>
    <t>n84</t>
  </si>
  <si>
    <t>2018/10/22 17:52:00</t>
  </si>
  <si>
    <t>2018/10/23 00:52:00</t>
  </si>
  <si>
    <t>2018/10/23 15:52:00</t>
  </si>
  <si>
    <t>2018/10/24 00:38:00</t>
  </si>
  <si>
    <t>2018/10/25 00:21:00</t>
  </si>
  <si>
    <t>2018/10/25 17:10:00</t>
  </si>
  <si>
    <t>2018/10/26 05:50:00</t>
  </si>
  <si>
    <t>2018/10/26 11:32:00</t>
  </si>
  <si>
    <t>2018/10/27 00:02:00</t>
  </si>
  <si>
    <t>2018/10/28 00:06:00</t>
  </si>
  <si>
    <t>2018/10/29 00:03:00</t>
  </si>
  <si>
    <t>n85</t>
  </si>
  <si>
    <t>2019/05/16 16:07:00</t>
  </si>
  <si>
    <t>2019/05/16 21:53:00</t>
  </si>
  <si>
    <t>2019/05/17 00:27:00</t>
  </si>
  <si>
    <t>n86</t>
  </si>
  <si>
    <t>2018/04/09 12:01:00</t>
  </si>
  <si>
    <t>2018/04/09 21:08:00</t>
  </si>
  <si>
    <t>2018/04/10 00:01:00</t>
  </si>
  <si>
    <t>n87</t>
  </si>
  <si>
    <t>2018/07/30 08:45:00</t>
  </si>
  <si>
    <t>2018/08/01 00:05:00</t>
  </si>
  <si>
    <t>2018/08/02 00:23:00</t>
  </si>
  <si>
    <t>2018/08/03 00:08:00</t>
  </si>
  <si>
    <t>2018/08/03 17:34:00</t>
  </si>
  <si>
    <t>2018/08/04 00:06:00</t>
  </si>
  <si>
    <t>2018/08/05 00:07:00</t>
  </si>
  <si>
    <t>2018/08/06 00:02:00</t>
  </si>
  <si>
    <t>n88</t>
  </si>
  <si>
    <t>2018/09/03 04:21:00</t>
  </si>
  <si>
    <t>2018/09/03 04:22:00</t>
  </si>
  <si>
    <t>2018/09/03 15:39:00</t>
  </si>
  <si>
    <t>2018/09/04 00:27:00</t>
  </si>
  <si>
    <t>2018/09/05 00:26:00</t>
  </si>
  <si>
    <t>2018/09/06 00:12:00</t>
  </si>
  <si>
    <t>2018/09/07 00:53:00</t>
  </si>
  <si>
    <t>2018/09/08 00:46:00</t>
  </si>
  <si>
    <t>2018/09/09 00:13:00</t>
  </si>
  <si>
    <t>2018/09/10 00:02:00</t>
  </si>
  <si>
    <t>2018/09/11 00:06:00</t>
  </si>
  <si>
    <t>2018/09/12 00:14:00</t>
  </si>
  <si>
    <t>2018/09/14 01:29:00</t>
  </si>
  <si>
    <t>n89</t>
  </si>
  <si>
    <t>2018/10/21 11:06:00</t>
  </si>
  <si>
    <t>2018/10/21 17:09:00</t>
  </si>
  <si>
    <t>2018/10/22 00:16:00</t>
  </si>
  <si>
    <t>2018/10/24 00:04:00</t>
  </si>
  <si>
    <t>n90</t>
  </si>
  <si>
    <t>2018/05/10 07:06:00</t>
  </si>
  <si>
    <t>2018/05/10 07:08:00</t>
  </si>
  <si>
    <t>2018/05/10 17:44:00</t>
  </si>
  <si>
    <t>2018/05/11 00:09:00</t>
  </si>
  <si>
    <t>2018/05/12 00:05:00</t>
  </si>
  <si>
    <t>2018/05/13 00:16:00</t>
  </si>
  <si>
    <t>2018/05/14 00:34:00</t>
  </si>
  <si>
    <t>2018/05/15 00:28:00</t>
  </si>
  <si>
    <t>2018/05/16 00:59:00</t>
  </si>
  <si>
    <t>2018/05/16 01:07:00</t>
  </si>
  <si>
    <t>2018/05/17 00:05:00</t>
  </si>
  <si>
    <t>2018/05/18 00:02:00</t>
  </si>
  <si>
    <t>n91</t>
  </si>
  <si>
    <t>2018/09/14 06:23:00</t>
  </si>
  <si>
    <t>2018/09/14 06:24:00</t>
  </si>
  <si>
    <t>2018/09/14 15:30:00</t>
  </si>
  <si>
    <t>2018/09/15 00:16:00</t>
  </si>
  <si>
    <t>2018/09/16 00:06:00</t>
  </si>
  <si>
    <t>2018/09/17 01:04:00</t>
  </si>
  <si>
    <t>2018/09/18 00:10:00</t>
  </si>
  <si>
    <t>n92</t>
  </si>
  <si>
    <t>2019/07/14 17:38:00</t>
  </si>
  <si>
    <t>2019/07/15 00:11:00</t>
  </si>
  <si>
    <t>2019/07/15 14:52:00</t>
  </si>
  <si>
    <t>2019/07/16 00:08:00</t>
  </si>
  <si>
    <t>2019/07/17 00:13:00</t>
  </si>
  <si>
    <t>2019/07/18 00:04:00</t>
  </si>
  <si>
    <t>2019/07/19 00:01:00</t>
  </si>
  <si>
    <t>n93</t>
  </si>
  <si>
    <t>2022/08/18 04:45:00</t>
  </si>
  <si>
    <t>2022/08/18 10:08:00</t>
  </si>
  <si>
    <t>2022/08/18 17:44:00</t>
  </si>
  <si>
    <t>2022/08/19 00:34:00</t>
  </si>
  <si>
    <t>2022/08/20 00:34:00</t>
  </si>
  <si>
    <t>2022/08/21 06:18:00</t>
  </si>
  <si>
    <t>2022/08/22 06:17:00</t>
  </si>
  <si>
    <t>2022/08/23 00:02:00</t>
  </si>
  <si>
    <t>2022/08/24 00:04:00</t>
  </si>
  <si>
    <t>2022/08/25 05:53:00</t>
  </si>
  <si>
    <t>2022/08/26 00:03:00</t>
  </si>
  <si>
    <t>2022/08/27 00:00:00</t>
  </si>
  <si>
    <t>n94</t>
  </si>
  <si>
    <t>2016/09/29 22:25:00</t>
  </si>
  <si>
    <t>2016/09/30 00:33:00</t>
  </si>
  <si>
    <t>2016/09/30 11:43:00</t>
  </si>
  <si>
    <t>2016/10/01 00:11:00</t>
  </si>
  <si>
    <t>2016/10/02 00:47:00</t>
  </si>
  <si>
    <t>2016/10/03 00:27:00</t>
  </si>
  <si>
    <t>2016/10/04 00:13:00</t>
  </si>
  <si>
    <t>2016/10/20 13:27:00</t>
  </si>
  <si>
    <t>n95</t>
  </si>
  <si>
    <t>2015/07/19 05:59:00</t>
  </si>
  <si>
    <t>2015/07/19 18:12:00</t>
  </si>
  <si>
    <t>2015/07/20 00:09:00</t>
  </si>
  <si>
    <t>2015/07/21 00:02:00</t>
  </si>
  <si>
    <t>2015/07/22 00:17:00</t>
  </si>
  <si>
    <t>2015/07/22 18:12:00</t>
  </si>
  <si>
    <t>2015/07/23 00:19:00</t>
  </si>
  <si>
    <t>2015/07/24 05:49:00</t>
  </si>
  <si>
    <t>n96</t>
  </si>
  <si>
    <t>2016/02/23 13:13:00</t>
  </si>
  <si>
    <t>2016/02/23 21:51:00</t>
  </si>
  <si>
    <t>2016/02/24 00:05:00</t>
  </si>
  <si>
    <t>2016/02/25 00:11:00</t>
  </si>
  <si>
    <t>2016/02/25 16:40:00</t>
  </si>
  <si>
    <t>2016/02/26 00:08:00</t>
  </si>
  <si>
    <t>2016/02/27 00:34:00</t>
  </si>
  <si>
    <t>n97</t>
  </si>
  <si>
    <t>2021/04/26 17:48:00</t>
  </si>
  <si>
    <t>2021/04/27 00:24:00</t>
  </si>
  <si>
    <t>2021/04/27 17:32:00</t>
  </si>
  <si>
    <t>2021/04/28 00:22:00</t>
  </si>
  <si>
    <t>2021/04/29 00:34:00</t>
  </si>
  <si>
    <t>2021/04/30 00:27:00</t>
  </si>
  <si>
    <t>2021/04/30 17:20:00</t>
  </si>
  <si>
    <t>2021/05/01 00:01:00</t>
  </si>
  <si>
    <t>2021/05/02 00:03:00</t>
  </si>
  <si>
    <t>2021/05/03 05:36:00</t>
  </si>
  <si>
    <t>n98</t>
  </si>
  <si>
    <t>2021/08/23 11:33:00</t>
  </si>
  <si>
    <t>2021/08/23 21:43:00</t>
  </si>
  <si>
    <t>2021/08/26 00:26:00</t>
  </si>
  <si>
    <t>n99</t>
  </si>
  <si>
    <t>2021/04/27 23:04:00</t>
  </si>
  <si>
    <t>2021/04/28 17:21:00</t>
  </si>
  <si>
    <t>n100</t>
  </si>
  <si>
    <t>2021/05/12 20:22:00</t>
  </si>
  <si>
    <t>2021/05/13 05:58:00</t>
  </si>
  <si>
    <t>2021/05/13 11:56:00</t>
  </si>
  <si>
    <t>n101</t>
  </si>
  <si>
    <t>2021/11/16 11:00:00</t>
  </si>
  <si>
    <t>2021/11/17 00:17:00</t>
  </si>
  <si>
    <t>2021/11/17 19:14:00</t>
  </si>
  <si>
    <t>2021/11/18 00:10:00</t>
  </si>
  <si>
    <t>2021/11/19 00:21:00</t>
  </si>
  <si>
    <t>2021/11/20 00:13:00</t>
  </si>
  <si>
    <t>2021/11/21 00:11:00</t>
  </si>
  <si>
    <t>2021/11/22 00:05:00</t>
  </si>
  <si>
    <t>n102</t>
  </si>
  <si>
    <t>2018/02/06 20:08:00</t>
  </si>
  <si>
    <t>2018/02/07 03:13:00</t>
  </si>
  <si>
    <t>2018/02/07 03:32:00</t>
  </si>
  <si>
    <t>2018/02/07 15:22:00</t>
  </si>
  <si>
    <t>2018/02/08 01:06:00</t>
  </si>
  <si>
    <t>2018/02/09 00:18:00</t>
  </si>
  <si>
    <t>2018/02/10 00:34:00</t>
  </si>
  <si>
    <t>2018/02/11 00:03:00</t>
  </si>
  <si>
    <t>2018/02/12 00:11:00</t>
  </si>
  <si>
    <t>n103</t>
  </si>
  <si>
    <t>2018/05/22 13:50:00</t>
  </si>
  <si>
    <t>2018/05/23 00:44:00</t>
  </si>
  <si>
    <t>2018/05/24 00:09:00</t>
  </si>
  <si>
    <t>2018/05/24 16:10:00</t>
  </si>
  <si>
    <t>n104</t>
  </si>
  <si>
    <t>2018/05/08 20:32:00</t>
  </si>
  <si>
    <t>2018/05/08 23:49:00</t>
  </si>
  <si>
    <t>2018/05/09 00:30:00</t>
  </si>
  <si>
    <t>n105</t>
  </si>
  <si>
    <t>2019/12/04 21:10:00</t>
  </si>
  <si>
    <t>2019/12/05 00:35:00</t>
  </si>
  <si>
    <t>2019/12/05 15:59:00</t>
  </si>
  <si>
    <t>2019/12/06 00:05:00</t>
  </si>
  <si>
    <t>2019/12/07 00:03:00</t>
  </si>
  <si>
    <t>2019/12/08 00:20:00</t>
  </si>
  <si>
    <t>2019/12/09 00:04:00</t>
  </si>
  <si>
    <t>n106</t>
  </si>
  <si>
    <t>2021/10/19 16:02:00</t>
  </si>
  <si>
    <t>2021/10/20 00:31:00</t>
  </si>
  <si>
    <t>2021/10/20 16:21:00</t>
  </si>
  <si>
    <t>2021/10/21 00:39:00</t>
  </si>
  <si>
    <t>2021/10/22 00:05:00</t>
  </si>
  <si>
    <t>n107</t>
  </si>
  <si>
    <t>2017/07/11 14:50:00</t>
  </si>
  <si>
    <t>2017/07/11 21:25:00</t>
  </si>
  <si>
    <t>2017/07/12 00:57:00</t>
  </si>
  <si>
    <t>2017/07/13 00:05:00</t>
  </si>
  <si>
    <t>2017/07/13 18:47:00</t>
  </si>
  <si>
    <t>2017/07/14 00:24:00</t>
  </si>
  <si>
    <t>2017/07/15 00:09:00</t>
  </si>
  <si>
    <t>2017/07/16 00:03:00</t>
  </si>
  <si>
    <t>n108</t>
  </si>
  <si>
    <t>2019/07/05 12:10:00</t>
  </si>
  <si>
    <t>2019/07/05 16:44:00</t>
  </si>
  <si>
    <t>n109</t>
  </si>
  <si>
    <t>2022/07/11 12:55:00</t>
  </si>
  <si>
    <t>2022/07/12 06:18:00</t>
  </si>
  <si>
    <t>2022/07/13 00:05:00</t>
  </si>
  <si>
    <t>2022/07/14 06:21:00</t>
  </si>
  <si>
    <t>2022/07/14 11:37:00</t>
  </si>
  <si>
    <t>2022/07/15 05:54:00</t>
  </si>
  <si>
    <t>2022/07/16 00:08:00</t>
  </si>
  <si>
    <t>2022/07/17 06:09:00</t>
  </si>
  <si>
    <t>2022/07/18 00:08:00</t>
  </si>
  <si>
    <t>2022/07/18 17:49:00</t>
  </si>
  <si>
    <t>2022/07/19 05:27:00</t>
  </si>
  <si>
    <t>2022/07/20 00:10:00</t>
  </si>
  <si>
    <t>n110</t>
  </si>
  <si>
    <t>2017/03/20 08:06:00</t>
  </si>
  <si>
    <t>2017/03/21 00:24:00</t>
  </si>
  <si>
    <t>2017/03/22 16:57:00</t>
  </si>
  <si>
    <t>2017/03/23 05:39:00</t>
  </si>
  <si>
    <t>2017/03/24 05:36:00</t>
  </si>
  <si>
    <t>2017/03/25 01:11:00</t>
  </si>
  <si>
    <t>2017/03/26 00:42:00</t>
  </si>
  <si>
    <t>2018/07/31 00:05:00</t>
  </si>
  <si>
    <t>2021/05/13 00:53:00</t>
  </si>
  <si>
    <t>2017/03/22 05:51:00</t>
  </si>
  <si>
    <t>Admission time</t>
  </si>
  <si>
    <t>2019/10/26</t>
  </si>
  <si>
    <t>2019/07/05</t>
  </si>
  <si>
    <t>2019/01/24</t>
  </si>
  <si>
    <t>2019/03/21</t>
  </si>
  <si>
    <t>2019/12/17</t>
  </si>
  <si>
    <t>2019/03/15</t>
  </si>
  <si>
    <t>2018/07/06</t>
  </si>
  <si>
    <t>2018/10/03</t>
  </si>
  <si>
    <t>2018/06/17</t>
  </si>
  <si>
    <t>2019/08/16</t>
  </si>
  <si>
    <t>2019/07/31</t>
  </si>
  <si>
    <t>2018/06/11</t>
  </si>
  <si>
    <t>2018/10/06</t>
  </si>
  <si>
    <t>2018/10/19</t>
  </si>
  <si>
    <t>2018/07/30</t>
  </si>
  <si>
    <t>2018/09/02</t>
  </si>
  <si>
    <t>2018/10/20</t>
  </si>
  <si>
    <t>2018/05/10</t>
  </si>
  <si>
    <t>2018/09/14</t>
  </si>
  <si>
    <t>2019/07/14</t>
  </si>
  <si>
    <t>2022/08/18</t>
  </si>
  <si>
    <t>2016/09/28</t>
  </si>
  <si>
    <t>2015/07/18</t>
  </si>
  <si>
    <t>2016/02/23</t>
  </si>
  <si>
    <t>2021/04/26</t>
  </si>
  <si>
    <t>2021/04/27</t>
  </si>
  <si>
    <t>2021/11/13</t>
  </si>
  <si>
    <t>2018/02/06</t>
  </si>
  <si>
    <t>2021/10/15</t>
  </si>
  <si>
    <t>2017/07/11</t>
  </si>
  <si>
    <t>2019/07/02</t>
  </si>
  <si>
    <t>2022/07/10</t>
  </si>
  <si>
    <t>2017/03/20</t>
  </si>
  <si>
    <t>2019/10/27</t>
  </si>
  <si>
    <t>2019/10/28</t>
  </si>
  <si>
    <t>2019/10/29</t>
  </si>
  <si>
    <t>2019/10/30</t>
  </si>
  <si>
    <t>2019/07/06</t>
  </si>
  <si>
    <t>2019/07/07</t>
  </si>
  <si>
    <t>2019/07/08</t>
  </si>
  <si>
    <t>2019/07/09</t>
  </si>
  <si>
    <t>2019/07/10</t>
  </si>
  <si>
    <t>2019/01/25</t>
  </si>
  <si>
    <t>2019/01/26</t>
  </si>
  <si>
    <t>2019/01/27</t>
  </si>
  <si>
    <t>2019/01/28</t>
  </si>
  <si>
    <t>2019/03/24</t>
  </si>
  <si>
    <t>2019/03/25</t>
  </si>
  <si>
    <t>2019/03/26</t>
  </si>
  <si>
    <t>2019/03/27</t>
  </si>
  <si>
    <t>2019/03/28</t>
  </si>
  <si>
    <t>2019/03/05</t>
  </si>
  <si>
    <t>2019/03/06</t>
  </si>
  <si>
    <t>2019/12/18</t>
  </si>
  <si>
    <t>2019/12/19</t>
  </si>
  <si>
    <t>2019/03/16</t>
  </si>
  <si>
    <t>2019/03/17</t>
  </si>
  <si>
    <t>2019/03/18</t>
  </si>
  <si>
    <t>2019/03/19</t>
  </si>
  <si>
    <t>2019/03/20</t>
  </si>
  <si>
    <t>2019/03/22</t>
  </si>
  <si>
    <t>2019/03/23</t>
  </si>
  <si>
    <t>2018/01/10</t>
  </si>
  <si>
    <t>2018/01/11</t>
  </si>
  <si>
    <t>2018/07/07</t>
  </si>
  <si>
    <t>2018/07/08</t>
  </si>
  <si>
    <t>2018/07/09</t>
  </si>
  <si>
    <t>2018/07/10</t>
  </si>
  <si>
    <t>2018/07/11</t>
  </si>
  <si>
    <t>2018/10/04</t>
  </si>
  <si>
    <t>2018/10/05</t>
  </si>
  <si>
    <t>2018/10/07</t>
  </si>
  <si>
    <t>2018/10/08</t>
  </si>
  <si>
    <t>2018/10/09</t>
  </si>
  <si>
    <t>2018/06/18</t>
  </si>
  <si>
    <t>2018/06/19</t>
  </si>
  <si>
    <t>2018/06/20</t>
  </si>
  <si>
    <t>2018/06/21</t>
  </si>
  <si>
    <t>2018/06/22</t>
  </si>
  <si>
    <t>2018/06/23</t>
  </si>
  <si>
    <t>2019/08/17</t>
  </si>
  <si>
    <t>2019/08/18</t>
  </si>
  <si>
    <t>2019/08/19</t>
  </si>
  <si>
    <t>2019/08/20</t>
  </si>
  <si>
    <t>2019/08/21</t>
  </si>
  <si>
    <t>2019/08/22</t>
  </si>
  <si>
    <t>2019/08/23</t>
  </si>
  <si>
    <t>2019/08/01</t>
  </si>
  <si>
    <t>2019/08/02</t>
  </si>
  <si>
    <t>2019/08/03</t>
  </si>
  <si>
    <t>2018/05/11</t>
  </si>
  <si>
    <t>2018/10/10</t>
  </si>
  <si>
    <t>2018/10/11</t>
  </si>
  <si>
    <t>2018/10/12</t>
  </si>
  <si>
    <t>2018/10/13</t>
  </si>
  <si>
    <t>2018/10/14</t>
  </si>
  <si>
    <t>2018/10/15</t>
  </si>
  <si>
    <t>2018/10/22</t>
  </si>
  <si>
    <t>2018/10/23</t>
  </si>
  <si>
    <t>2018/10/24</t>
  </si>
  <si>
    <t>2018/10/25</t>
  </si>
  <si>
    <t>2018/10/26</t>
  </si>
  <si>
    <t>2018/10/27</t>
  </si>
  <si>
    <t>2018/10/28</t>
  </si>
  <si>
    <t>2018/10/29</t>
  </si>
  <si>
    <t>2018/07/31</t>
  </si>
  <si>
    <t>2018/08/01</t>
  </si>
  <si>
    <t>2018/08/02</t>
  </si>
  <si>
    <t>2018/08/03</t>
  </si>
  <si>
    <t>2018/08/04</t>
  </si>
  <si>
    <t>2018/08/05</t>
  </si>
  <si>
    <t>2018/08/06</t>
  </si>
  <si>
    <t>2018/09/03</t>
  </si>
  <si>
    <t>2018/09/04</t>
  </si>
  <si>
    <t>2018/09/05</t>
  </si>
  <si>
    <t>2018/09/06</t>
  </si>
  <si>
    <t>2018/09/07</t>
  </si>
  <si>
    <t>2018/09/08</t>
  </si>
  <si>
    <t>2018/09/09</t>
  </si>
  <si>
    <t>2018/09/10</t>
  </si>
  <si>
    <t>2018/09/11</t>
  </si>
  <si>
    <t>2018/09/12</t>
  </si>
  <si>
    <t>2018/10/21</t>
  </si>
  <si>
    <t>2018/05/12</t>
  </si>
  <si>
    <t>2018/05/13</t>
  </si>
  <si>
    <t>2018/05/14</t>
  </si>
  <si>
    <t>2018/05/15</t>
  </si>
  <si>
    <t>2018/05/16</t>
  </si>
  <si>
    <t>2018/05/17</t>
  </si>
  <si>
    <t>2018/05/18</t>
  </si>
  <si>
    <t>2018/09/15</t>
  </si>
  <si>
    <t>2018/09/16</t>
  </si>
  <si>
    <t>2018/09/17</t>
  </si>
  <si>
    <t>2018/09/18</t>
  </si>
  <si>
    <t>2019/07/15</t>
  </si>
  <si>
    <t>2019/07/16</t>
  </si>
  <si>
    <t>2019/07/17</t>
  </si>
  <si>
    <t>2019/07/18</t>
  </si>
  <si>
    <t>2019/07/19</t>
  </si>
  <si>
    <t>2022/08/19</t>
  </si>
  <si>
    <t>2022/08/20</t>
  </si>
  <si>
    <t>2022/08/21</t>
  </si>
  <si>
    <t>2022/08/22</t>
  </si>
  <si>
    <t>2022/08/23</t>
  </si>
  <si>
    <t>2022/08/24</t>
  </si>
  <si>
    <t>2022/08/25</t>
  </si>
  <si>
    <t>2022/08/26</t>
  </si>
  <si>
    <t>2022/08/27</t>
  </si>
  <si>
    <t>2016/09/29</t>
  </si>
  <si>
    <t>2016/09/30</t>
  </si>
  <si>
    <t>2016/10/01</t>
  </si>
  <si>
    <t>2016/10/02</t>
  </si>
  <si>
    <t>2016/10/03</t>
  </si>
  <si>
    <t>2016/10/04</t>
  </si>
  <si>
    <t>2016/10/20</t>
  </si>
  <si>
    <t>2015/07/19</t>
  </si>
  <si>
    <t>2015/07/20</t>
  </si>
  <si>
    <t>2015/07/21</t>
  </si>
  <si>
    <t>2015/07/22</t>
  </si>
  <si>
    <t>2015/07/23</t>
  </si>
  <si>
    <t>2015/07/24</t>
  </si>
  <si>
    <t>2016/02/24</t>
  </si>
  <si>
    <t>2016/02/25</t>
  </si>
  <si>
    <t>2016/02/26</t>
  </si>
  <si>
    <t>2016/02/27</t>
  </si>
  <si>
    <t>2021/04/28</t>
  </si>
  <si>
    <t>2021/04/29</t>
  </si>
  <si>
    <t>2021/04/30</t>
  </si>
  <si>
    <t>2021/05/01</t>
  </si>
  <si>
    <t>2021/11/16</t>
  </si>
  <si>
    <t>2021/11/17</t>
  </si>
  <si>
    <t>2021/11/18</t>
  </si>
  <si>
    <t>2021/11/19</t>
  </si>
  <si>
    <t>2021/11/20</t>
  </si>
  <si>
    <t>2021/11/21</t>
  </si>
  <si>
    <t>2021/11/22</t>
  </si>
  <si>
    <t>2018/02/07</t>
  </si>
  <si>
    <t>2018/02/08</t>
  </si>
  <si>
    <t>2018/02/09</t>
  </si>
  <si>
    <t>2018/02/10</t>
  </si>
  <si>
    <t>2018/02/11</t>
  </si>
  <si>
    <t>2018/02/12</t>
  </si>
  <si>
    <t>2019/12/04</t>
  </si>
  <si>
    <t>2019/12/05</t>
  </si>
  <si>
    <t>2019/12/06</t>
  </si>
  <si>
    <t>2019/12/07</t>
  </si>
  <si>
    <t>2019/12/08</t>
  </si>
  <si>
    <t>2019/12/09</t>
  </si>
  <si>
    <t>2021/10/19</t>
  </si>
  <si>
    <t>2021/10/20</t>
  </si>
  <si>
    <t>2021/10/21</t>
  </si>
  <si>
    <t>2021/10/22</t>
  </si>
  <si>
    <t>2017/07/12</t>
  </si>
  <si>
    <t>2017/07/13</t>
  </si>
  <si>
    <t>2017/07/14</t>
  </si>
  <si>
    <t>2017/07/15</t>
  </si>
  <si>
    <t>2017/07/16</t>
  </si>
  <si>
    <t>2022/07/11</t>
  </si>
  <si>
    <t>2022/07/12</t>
  </si>
  <si>
    <t>2022/07/13</t>
  </si>
  <si>
    <t>2022/07/14</t>
  </si>
  <si>
    <t>2022/07/15</t>
  </si>
  <si>
    <t>2022/07/16</t>
  </si>
  <si>
    <t>2022/07/17</t>
  </si>
  <si>
    <t>2022/07/18</t>
  </si>
  <si>
    <t>2022/07/19</t>
  </si>
  <si>
    <t>2022/07/20</t>
  </si>
  <si>
    <t>2017/03/21</t>
  </si>
  <si>
    <t>2017/03/22</t>
  </si>
  <si>
    <t>2017/03/23</t>
  </si>
  <si>
    <t>2017/03/24</t>
  </si>
  <si>
    <t>2017/03/25</t>
  </si>
  <si>
    <t>2017/03/26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</si>
  <si>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</si>
  <si>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</si>
  <si>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</si>
  <si>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</si>
  <si>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</si>
  <si>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</si>
  <si>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</si>
  <si>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</si>
  <si>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</si>
  <si>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</si>
  <si>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</si>
  <si>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</si>
  <si>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</si>
  <si>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</si>
  <si>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</si>
  <si>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</si>
  <si>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</si>
  <si>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</si>
  <si>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</si>
  <si>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</si>
  <si>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</si>
  <si>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</si>
  <si>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</si>
  <si>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</si>
  <si>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</si>
  <si>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TIME_DIFF</t>
  </si>
  <si>
    <t>Troponin</t>
  </si>
  <si>
    <t xml:space="preserve">Data evento </t>
  </si>
  <si>
    <t>TIME FROM t0[h.m]</t>
  </si>
  <si>
    <t>TnThs MIRE 1</t>
  </si>
  <si>
    <t>TnThs MIRE 2</t>
  </si>
  <si>
    <t>TnThs MIRE 3</t>
  </si>
  <si>
    <t>TnThs MIRE 4</t>
  </si>
  <si>
    <t>TnThs MIRE 5</t>
  </si>
  <si>
    <t>TnThs MIRE 6</t>
  </si>
  <si>
    <t>TnThs MIRE 7</t>
  </si>
  <si>
    <t>TnThs MIRE 8</t>
  </si>
  <si>
    <t>TnThs MIRE 9</t>
  </si>
  <si>
    <t>TnThs MIRE 10</t>
  </si>
  <si>
    <t>TnThs MIRE 11</t>
  </si>
  <si>
    <t>TnThs MIRE 12</t>
  </si>
  <si>
    <t>n41</t>
  </si>
  <si>
    <t>n42</t>
  </si>
  <si>
    <t>n43</t>
  </si>
  <si>
    <t>n44</t>
  </si>
  <si>
    <t>n45</t>
  </si>
  <si>
    <t>n46</t>
  </si>
  <si>
    <t>n47</t>
  </si>
  <si>
    <t>n48</t>
  </si>
  <si>
    <t>n49</t>
  </si>
  <si>
    <t>n50</t>
  </si>
  <si>
    <t>n51</t>
  </si>
  <si>
    <t>n52</t>
  </si>
  <si>
    <t>n53</t>
  </si>
  <si>
    <t>n54</t>
  </si>
  <si>
    <t>n55</t>
  </si>
  <si>
    <t>n56</t>
  </si>
  <si>
    <t>n57</t>
  </si>
  <si>
    <t>n58</t>
  </si>
  <si>
    <t>n59</t>
  </si>
  <si>
    <t>n60</t>
  </si>
  <si>
    <t>n61</t>
  </si>
  <si>
    <t>n62</t>
  </si>
  <si>
    <t>n63</t>
  </si>
  <si>
    <t>n64</t>
  </si>
  <si>
    <t>n65</t>
  </si>
  <si>
    <t>T1</t>
  </si>
  <si>
    <t>T1 decimal</t>
  </si>
  <si>
    <t>T2</t>
  </si>
  <si>
    <t>T2 decimal</t>
  </si>
  <si>
    <t>Id</t>
  </si>
  <si>
    <t>Times</t>
  </si>
  <si>
    <t>Values</t>
  </si>
  <si>
    <t>n35</t>
  </si>
  <si>
    <t>n25</t>
  </si>
  <si>
    <t>n33</t>
  </si>
  <si>
    <t>n30</t>
  </si>
  <si>
    <t>n40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</si>
  <si>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</si>
  <si>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</si>
  <si>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</si>
  <si>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</si>
  <si>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</si>
  <si>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</si>
  <si>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</si>
  <si>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</si>
  <si>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</si>
  <si>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</si>
  <si>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</si>
  <si>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</si>
  <si>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</si>
  <si>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</si>
  <si>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</si>
  <si>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</si>
  <si>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</si>
  <si>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</si>
  <si>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</si>
  <si>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</si>
  <si>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</si>
  <si>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</si>
  <si>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</si>
  <si>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n24</t>
  </si>
  <si>
    <t>n26</t>
  </si>
  <si>
    <t>n27</t>
  </si>
  <si>
    <t>n28</t>
  </si>
  <si>
    <t>n29</t>
  </si>
  <si>
    <t>n31</t>
  </si>
  <si>
    <t>n32</t>
  </si>
  <si>
    <t>n34</t>
  </si>
  <si>
    <t>n36</t>
  </si>
  <si>
    <t>n37</t>
  </si>
  <si>
    <t>n38</t>
  </si>
  <si>
    <t>n39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</si>
  <si>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</si>
  <si>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</si>
  <si>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</si>
  <si>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</si>
  <si>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</si>
  <si>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</si>
  <si>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</si>
  <si>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</si>
  <si>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</si>
  <si>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</si>
  <si>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</si>
  <si>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</si>
  <si>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</si>
  <si>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</si>
  <si>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</si>
  <si>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</si>
  <si>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</si>
  <si>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</si>
  <si>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</si>
  <si>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</si>
  <si>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</si>
  <si>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</si>
  <si>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</si>
  <si>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</si>
  <si>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</si>
  <si>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</si>
  <si>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</si>
  <si>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</si>
  <si>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</si>
  <si>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</si>
  <si>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</si>
  <si>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</si>
  <si>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</si>
  <si>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</si>
  <si>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</si>
  <si>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</si>
  <si>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</si>
  <si>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</si>
  <si>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</si>
  <si>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</si>
  <si>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Dataset sumary</t>
  </si>
  <si>
    <t>Dataset1</t>
  </si>
  <si>
    <t>Dataset2</t>
  </si>
  <si>
    <t>CBRA MOD</t>
  </si>
  <si>
    <t>Dataset3</t>
  </si>
  <si>
    <t>Duplicated</t>
  </si>
  <si>
    <t>Errors</t>
  </si>
  <si>
    <t>Total</t>
  </si>
  <si>
    <t>Total for STEMI</t>
  </si>
  <si>
    <t>Total for NSTEMI</t>
  </si>
  <si>
    <t>Duplicates</t>
  </si>
  <si>
    <t>Removed</t>
  </si>
  <si>
    <t>Diagnosis</t>
  </si>
  <si>
    <t>NSTEMI patients</t>
  </si>
  <si>
    <t>class</t>
  </si>
  <si>
    <t>STEMI patients</t>
  </si>
  <si>
    <t xml:space="preserve"> for dataset</t>
  </si>
  <si>
    <t xml:space="preserve">general </t>
  </si>
  <si>
    <t>Sex</t>
  </si>
  <si>
    <t>Yes</t>
  </si>
  <si>
    <t>info</t>
  </si>
  <si>
    <t>Age</t>
  </si>
  <si>
    <t>Height</t>
  </si>
  <si>
    <t>Weight</t>
  </si>
  <si>
    <t xml:space="preserve">Risk </t>
  </si>
  <si>
    <t>PA mmHg</t>
  </si>
  <si>
    <t>factors</t>
  </si>
  <si>
    <t>FC bpm</t>
  </si>
  <si>
    <t>Spessore parietale miocardio(SIV)</t>
  </si>
  <si>
    <t>Frazione di eiezione (FE)</t>
  </si>
  <si>
    <t>Vaso_culprit</t>
  </si>
  <si>
    <t>Stenosi_culprit</t>
  </si>
  <si>
    <t>timi_iniziale</t>
  </si>
  <si>
    <t xml:space="preserve">Diabete </t>
  </si>
  <si>
    <t>Dyslipidemia</t>
  </si>
  <si>
    <t>Hypercholesterolemia</t>
  </si>
  <si>
    <t>Familiarity</t>
  </si>
  <si>
    <t>Smoke</t>
  </si>
  <si>
    <t>Obesity</t>
  </si>
  <si>
    <t>Ipertensione Arteriosa</t>
  </si>
  <si>
    <t>Prev_IMA</t>
  </si>
  <si>
    <t>Emoglobina</t>
  </si>
  <si>
    <t xml:space="preserve"> IRC 0 = No, 1 = Si</t>
  </si>
  <si>
    <t>Globuli_Rossi</t>
  </si>
  <si>
    <t>Ins. Renale</t>
  </si>
  <si>
    <t>AnginaEpisode24h</t>
  </si>
  <si>
    <t>Killip class</t>
  </si>
  <si>
    <t>LBBB</t>
  </si>
  <si>
    <t>Stenosis percentage</t>
  </si>
  <si>
    <t>Time</t>
  </si>
  <si>
    <t>Sodium(t)</t>
  </si>
  <si>
    <t>acquisitions</t>
  </si>
  <si>
    <t>Potassium(t)</t>
  </si>
  <si>
    <t>Ematocrit(t)</t>
  </si>
  <si>
    <t>cTnI(t)</t>
  </si>
  <si>
    <t>CK-MB(t)</t>
  </si>
  <si>
    <t>Admission</t>
  </si>
  <si>
    <t>Trombolisis</t>
  </si>
  <si>
    <t>infos</t>
  </si>
  <si>
    <t>Revascularization</t>
  </si>
  <si>
    <t>Therpies</t>
  </si>
  <si>
    <t>Info</t>
  </si>
  <si>
    <t>Statistics</t>
  </si>
  <si>
    <t>Before 24h</t>
  </si>
  <si>
    <t>After 24h</t>
  </si>
  <si>
    <t>Before 36h</t>
  </si>
  <si>
    <t>After 36h</t>
  </si>
  <si>
    <t>STEMI</t>
  </si>
  <si>
    <t>NSTEMI</t>
  </si>
  <si>
    <t>Mean max value</t>
  </si>
  <si>
    <t>6.48 ± 7.44</t>
  </si>
  <si>
    <t>0.68 ± 1.20</t>
  </si>
  <si>
    <t>4.33 ± 4.54</t>
  </si>
  <si>
    <t>1.09 ± 1.63</t>
  </si>
  <si>
    <t xml:space="preserve"> 6.95 ± 7.39</t>
  </si>
  <si>
    <t>0.87 ± 1.34</t>
  </si>
  <si>
    <t>3.54 ± 3.79</t>
  </si>
  <si>
    <t>1.03 ± 1.56</t>
  </si>
  <si>
    <t>6.94 ± 7.29</t>
  </si>
  <si>
    <t>1.22 ± 1.80</t>
  </si>
  <si>
    <t>Mean time max</t>
  </si>
  <si>
    <t>16.39 ± 5.41</t>
  </si>
  <si>
    <t>16.70 ± 6.01</t>
  </si>
  <si>
    <t>45.76 ± 23.48</t>
  </si>
  <si>
    <t>79.49 ± 89.61</t>
  </si>
  <si>
    <t>18.79 ± 7.37</t>
  </si>
  <si>
    <t>21.48 ± 7.94</t>
  </si>
  <si>
    <t>64.42 ± 21.54</t>
  </si>
  <si>
    <t>87.66 ± 86.69</t>
  </si>
  <si>
    <t>26.05 ± 21.14</t>
  </si>
  <si>
    <t>63.18 ± 53.98</t>
  </si>
  <si>
    <t>Mean values</t>
  </si>
  <si>
    <t xml:space="preserve"> 4.76 ± 5.60</t>
  </si>
  <si>
    <t>0.54 ± 0.83</t>
  </si>
  <si>
    <t>2.39 ± 2.43</t>
  </si>
  <si>
    <t>0.67 ± 0.87</t>
  </si>
  <si>
    <t>4.81 ± 5.40</t>
  </si>
  <si>
    <t xml:space="preserve"> 0.64 ± 0.82</t>
  </si>
  <si>
    <t>2.17 ± 2.29</t>
  </si>
  <si>
    <t>0.66 ± 0.87</t>
  </si>
  <si>
    <t>3.01 ± 3.03</t>
  </si>
  <si>
    <t>0.68 ± 0.89</t>
  </si>
  <si>
    <t>Mean intervals</t>
  </si>
  <si>
    <t>6.13 ± 2.28</t>
  </si>
  <si>
    <t>7.73 ± 3.56</t>
  </si>
  <si>
    <t>22.76 ± 6.92</t>
  </si>
  <si>
    <t>19.73 ± 3.48</t>
  </si>
  <si>
    <t>7.04 ± 3.26</t>
  </si>
  <si>
    <t>7.95 ± 4.18</t>
  </si>
  <si>
    <t>23.27 ± 7.53</t>
  </si>
  <si>
    <t>19.82 ± 3.46</t>
  </si>
  <si>
    <t>18.95 ± 5.67</t>
  </si>
  <si>
    <t>18.64 ± 15.83</t>
  </si>
  <si>
    <t>Observation time</t>
  </si>
  <si>
    <t>7.47 ± 5.39</t>
  </si>
  <si>
    <t>5.64 ± 6.59</t>
  </si>
  <si>
    <t>136.38 ± 94.38</t>
  </si>
  <si>
    <t>96.91 ± 48.05</t>
  </si>
  <si>
    <t>13.22 ± 6.89</t>
  </si>
  <si>
    <t>11.69 ± 7.86</t>
  </si>
  <si>
    <t>121.89 ± 92.16</t>
  </si>
  <si>
    <t>83.11 ± 48.83</t>
  </si>
  <si>
    <t>154.81 ± 92.29</t>
  </si>
  <si>
    <t>115.74 ± 89.25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</si>
</sst>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4">
    <numFmt numFmtId="164" formatCode="h:mm:ss Am/Pm"/>
    <numFmt numFmtId="165" formatCode="yyyy-mm-dd"/>
    <numFmt numFmtId="166" formatCode="yy/m/d/ hh:mm:ss"/>
    <numFmt numFmtId="167" formatCode="d/m/yy h:mm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6"/>
      <color rgb="FF000000"/>
      <name val="Calibri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sz val="16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fbe5d6"/>
      </patternFill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c5e0b4"/>
      </patternFill>
    </fill>
    <fill>
      <patternFill patternType="solid">
        <fgColor rgb="FFd0cece"/>
      </patternFill>
    </fill>
    <fill>
      <patternFill patternType="solid">
        <fgColor rgb="FFa5a5a5"/>
      </patternFill>
    </fill>
    <fill>
      <patternFill patternType="solid">
        <fgColor rgb="FFbdd7ee"/>
      </patternFill>
    </fill>
    <fill>
      <patternFill patternType="solid">
        <fgColor rgb="FFf8cbad"/>
      </patternFill>
    </fill>
    <fill>
      <patternFill patternType="solid">
        <fgColor rgb="FFfff2cc"/>
      </patternFill>
    </fill>
    <fill>
      <patternFill patternType="solid">
        <fgColor rgb="FF8faadc"/>
      </patternFill>
    </fill>
    <fill>
      <patternFill patternType="solid">
        <fgColor rgb="FFafabab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fd966"/>
      </patternFill>
    </fill>
    <fill>
      <patternFill patternType="solid">
        <fgColor rgb="FF7f7f7f"/>
      </patternFill>
    </fill>
    <fill>
      <patternFill patternType="solid">
        <fgColor rgb="FFa9d18e"/>
      </patternFill>
    </fill>
    <fill>
      <patternFill patternType="solid">
        <fgColor rgb="FFe2f0d9"/>
      </patternFill>
    </fill>
    <fill>
      <patternFill patternType="solid">
        <fgColor rgb="FFdae3f3"/>
      </patternFill>
    </fill>
    <fill>
      <patternFill patternType="solid">
        <fgColor rgb="FFb4c7e7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133">
    <xf xfId="0" numFmtId="0" borderId="0" fontId="0" fillId="0"/>
    <xf xfId="0" numFmtId="0" borderId="0" fontId="0" fillId="0" applyAlignment="1">
      <alignment horizontal="general"/>
    </xf>
    <xf xfId="0" numFmtId="46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right"/>
    </xf>
    <xf xfId="0" numFmtId="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46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46" applyNumberFormat="1" borderId="0" fontId="0" fillId="0" applyAlignment="1">
      <alignment horizontal="general"/>
    </xf>
    <xf xfId="0" numFmtId="21" applyNumberFormat="1" borderId="0" fontId="0" fillId="0" applyAlignment="1">
      <alignment horizontal="general"/>
    </xf>
    <xf xfId="0" numFmtId="4" applyNumberFormat="1" borderId="2" applyBorder="1" fontId="1" applyFont="1" fillId="2" applyFill="1" applyAlignment="1">
      <alignment horizontal="right"/>
    </xf>
    <xf xfId="0" numFmtId="21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14" applyNumberFormat="1" borderId="1" applyBorder="1" fontId="1" applyFont="1" fillId="0" applyAlignment="1">
      <alignment horizontal="left"/>
    </xf>
    <xf xfId="0" numFmtId="164" applyNumberFormat="1" borderId="1" applyBorder="1" fontId="1" applyFont="1" fillId="0" applyAlignment="1">
      <alignment horizontal="left"/>
    </xf>
    <xf xfId="0" numFmtId="4" applyNumberFormat="1" borderId="2" applyBorder="1" fontId="1" applyFont="1" fillId="3" applyFill="1" applyAlignment="1">
      <alignment horizontal="left"/>
    </xf>
    <xf xfId="0" numFmtId="14" applyNumberFormat="1" borderId="2" applyBorder="1" fontId="1" applyFont="1" fillId="3" applyFill="1" applyAlignment="1">
      <alignment horizontal="left"/>
    </xf>
    <xf xfId="0" numFmtId="4" applyNumberFormat="1" borderId="2" applyBorder="1" fontId="1" applyFont="1" fillId="2" applyFill="1" applyAlignment="1">
      <alignment horizontal="left"/>
    </xf>
    <xf xfId="0" numFmtId="0" borderId="2" applyBorder="1" fontId="1" applyFont="1" fillId="2" applyFill="1" applyAlignment="1">
      <alignment horizontal="left"/>
    </xf>
    <xf xfId="0" numFmtId="20" applyNumberFormat="1" borderId="2" applyBorder="1" fontId="1" applyFont="1" fillId="2" applyFill="1" applyAlignment="1">
      <alignment horizontal="left"/>
    </xf>
    <xf xfId="0" numFmtId="0" borderId="2" applyBorder="1" fontId="1" applyFont="1" fillId="3" applyFill="1" applyAlignment="1">
      <alignment horizontal="left"/>
    </xf>
    <xf xfId="0" numFmtId="21" applyNumberFormat="1" borderId="2" applyBorder="1" fontId="1" applyFont="1" fillId="2" applyFill="1" applyAlignment="1">
      <alignment horizontal="left"/>
    </xf>
    <xf xfId="0" numFmtId="20" applyNumberFormat="1" borderId="1" applyBorder="1" fontId="1" applyFont="1" fillId="0" applyAlignment="1">
      <alignment horizontal="left"/>
    </xf>
    <xf xfId="0" numFmtId="164" applyNumberFormat="1" borderId="2" applyBorder="1" fontId="1" applyFont="1" fillId="2" applyFill="1" applyAlignment="1">
      <alignment horizontal="left"/>
    </xf>
    <xf xfId="0" numFmtId="46" applyNumberFormat="1" borderId="2" applyBorder="1" fontId="1" applyFont="1" fillId="3" applyFill="1" applyAlignment="1">
      <alignment horizontal="left"/>
    </xf>
    <xf xfId="0" numFmtId="0" borderId="1" applyBorder="1" fontId="1" applyFont="1" fillId="0" applyAlignment="1">
      <alignment horizontal="left"/>
    </xf>
    <xf xfId="0" numFmtId="4" applyNumberFormat="1" borderId="2" applyBorder="1" fontId="1" applyFont="1" fillId="3" applyFill="1" applyAlignment="1">
      <alignment horizontal="right"/>
    </xf>
    <xf xfId="0" numFmtId="21" applyNumberFormat="1" borderId="0" fontId="0" fillId="0" applyAlignment="1">
      <alignment horizontal="general"/>
    </xf>
    <xf xfId="0" numFmtId="165" applyNumberFormat="1" borderId="1" applyBorder="1" fontId="1" applyFont="1" fillId="0" applyAlignment="1">
      <alignment horizontal="left"/>
    </xf>
    <xf xfId="0" numFmtId="165" applyNumberFormat="1" borderId="2" applyBorder="1" fontId="1" applyFont="1" fillId="2" applyFill="1" applyAlignment="1">
      <alignment horizontal="left"/>
    </xf>
    <xf xfId="0" numFmtId="166" applyNumberFormat="1" borderId="1" applyBorder="1" fontId="1" applyFont="1" fillId="0" applyAlignment="1">
      <alignment horizontal="left"/>
    </xf>
    <xf xfId="0" numFmtId="0" borderId="2" applyBorder="1" fontId="1" applyFont="1" fillId="4" applyFill="1" applyAlignment="1">
      <alignment horizontal="left"/>
    </xf>
    <xf xfId="0" numFmtId="165" applyNumberFormat="1" borderId="2" applyBorder="1" fontId="1" applyFont="1" fillId="4" applyFill="1" applyAlignment="1">
      <alignment horizontal="left"/>
    </xf>
    <xf xfId="0" numFmtId="4" applyNumberFormat="1" borderId="2" applyBorder="1" fontId="1" applyFont="1" fillId="5" applyFill="1" applyAlignment="1">
      <alignment horizontal="left"/>
    </xf>
    <xf xfId="0" numFmtId="4" applyNumberFormat="1" borderId="2" applyBorder="1" fontId="1" applyFont="1" fillId="4" applyFill="1" applyAlignment="1">
      <alignment horizontal="left"/>
    </xf>
    <xf xfId="0" numFmtId="0" borderId="2" applyBorder="1" fontId="1" applyFont="1" fillId="6" applyFill="1" applyAlignment="1">
      <alignment horizontal="left"/>
    </xf>
    <xf xfId="0" numFmtId="4" applyNumberFormat="1" borderId="2" applyBorder="1" fontId="1" applyFont="1" fillId="7" applyFill="1" applyAlignment="1">
      <alignment horizontal="right"/>
    </xf>
    <xf xfId="0" numFmtId="0" borderId="2" applyBorder="1" fontId="1" applyFont="1" fillId="8" applyFill="1" applyAlignment="1">
      <alignment horizontal="left"/>
    </xf>
    <xf xfId="0" numFmtId="21" applyNumberFormat="1" borderId="2" applyBorder="1" fontId="1" applyFont="1" fillId="8" applyFill="1" applyAlignment="1">
      <alignment horizontal="left"/>
    </xf>
    <xf xfId="0" numFmtId="4" applyNumberFormat="1" borderId="2" applyBorder="1" fontId="1" applyFont="1" fillId="8" applyFill="1" applyAlignment="1">
      <alignment horizontal="right"/>
    </xf>
    <xf xfId="0" numFmtId="4" applyNumberFormat="1" borderId="2" applyBorder="1" fontId="1" applyFont="1" fillId="8" applyFill="1" applyAlignment="1">
      <alignment horizontal="left"/>
    </xf>
    <xf xfId="0" numFmtId="16" applyNumberFormat="1" borderId="1" applyBorder="1" fontId="1" applyFont="1" fillId="0" applyAlignment="1">
      <alignment horizontal="left"/>
    </xf>
    <xf xfId="0" numFmtId="1" applyNumberFormat="1" borderId="2" applyBorder="1" fontId="1" applyFont="1" fillId="4" applyFill="1" applyAlignment="1">
      <alignment horizontal="left"/>
    </xf>
    <xf xfId="0" numFmtId="46" applyNumberFormat="1" borderId="2" applyBorder="1" fontId="1" applyFont="1" fillId="4" applyFill="1" applyAlignment="1">
      <alignment horizontal="left"/>
    </xf>
    <xf xfId="0" numFmtId="167" applyNumberFormat="1" borderId="1" applyBorder="1" fontId="1" applyFont="1" fillId="0" applyAlignment="1">
      <alignment horizontal="left"/>
    </xf>
    <xf xfId="0" numFmtId="46" applyNumberFormat="1" borderId="2" applyBorder="1" fontId="1" applyFont="1" fillId="9" applyFill="1" applyAlignment="1">
      <alignment horizontal="left"/>
    </xf>
    <xf xfId="0" numFmtId="1" applyNumberFormat="1" borderId="0" fontId="0" fillId="0" applyAlignment="1">
      <alignment horizontal="general"/>
    </xf>
    <xf xfId="0" numFmtId="1" applyNumberFormat="1" borderId="0" fontId="0" fillId="0" applyAlignment="1">
      <alignment horizontal="general"/>
    </xf>
    <xf xfId="0" numFmtId="0" borderId="3" applyBorder="1" fontId="2" applyFont="1" fillId="0" applyAlignment="1">
      <alignment horizontal="left"/>
    </xf>
    <xf xfId="0" numFmtId="4" applyNumberFormat="1" borderId="3" applyBorder="1" fontId="2" applyFont="1" fillId="0" applyAlignment="1">
      <alignment horizontal="left"/>
    </xf>
    <xf xfId="0" numFmtId="4" applyNumberFormat="1" borderId="3" applyBorder="1" fontId="1" applyFont="1" fillId="0" applyAlignment="1">
      <alignment horizontal="left"/>
    </xf>
    <xf xfId="0" numFmtId="4" applyNumberFormat="1" borderId="4" applyBorder="1" fontId="1" applyFont="1" fillId="0" applyAlignment="1">
      <alignment horizontal="left"/>
    </xf>
    <xf xfId="0" numFmtId="0" borderId="3" applyBorder="1" fontId="2" applyFont="1" fillId="4" applyFill="1" applyAlignment="1">
      <alignment horizontal="left"/>
    </xf>
    <xf xfId="0" numFmtId="4" applyNumberFormat="1" borderId="5" applyBorder="1" fontId="1" applyFont="1" fillId="10" applyFill="1" applyAlignment="1">
      <alignment horizontal="right"/>
    </xf>
    <xf xfId="0" numFmtId="4" applyNumberFormat="1" borderId="3" applyBorder="1" fontId="1" applyFont="1" fillId="10" applyFill="1" applyAlignment="1">
      <alignment horizontal="right"/>
    </xf>
    <xf xfId="0" numFmtId="4" applyNumberFormat="1" borderId="6" applyBorder="1" fontId="1" applyFont="1" fillId="10" applyFill="1" applyAlignment="1">
      <alignment horizontal="right"/>
    </xf>
    <xf xfId="0" numFmtId="4" applyNumberFormat="1" borderId="3" applyBorder="1" fontId="1" applyFont="1" fillId="11" applyFill="1" applyAlignment="1">
      <alignment horizontal="center"/>
    </xf>
    <xf xfId="0" numFmtId="4" applyNumberFormat="1" borderId="3" applyBorder="1" fontId="1" applyFont="1" fillId="11" applyFill="1" applyAlignment="1">
      <alignment horizontal="left"/>
    </xf>
    <xf xfId="0" numFmtId="0" borderId="3" applyBorder="1" fontId="2" applyFont="1" fillId="12" applyFill="1" applyAlignment="1">
      <alignment horizontal="left"/>
    </xf>
    <xf xfId="0" numFmtId="4" applyNumberFormat="1" borderId="3" applyBorder="1" fontId="1" applyFont="1" fillId="10" applyFill="1" applyAlignment="1">
      <alignment horizontal="left"/>
    </xf>
    <xf xfId="0" numFmtId="4" applyNumberFormat="1" borderId="6" applyBorder="1" fontId="1" applyFont="1" fillId="10" applyFill="1" applyAlignment="1">
      <alignment horizontal="left"/>
    </xf>
    <xf xfId="0" numFmtId="0" borderId="3" applyBorder="1" fontId="2" applyFont="1" fillId="7" applyFill="1" applyAlignment="1">
      <alignment horizontal="left"/>
    </xf>
    <xf xfId="0" numFmtId="0" borderId="3" applyBorder="1" fontId="2" applyFont="1" fillId="13" applyFill="1" applyAlignment="1">
      <alignment horizontal="left"/>
    </xf>
    <xf xfId="0" numFmtId="0" borderId="3" applyBorder="1" fontId="2" applyFont="1" fillId="14" applyFill="1" applyAlignment="1">
      <alignment horizontal="left"/>
    </xf>
    <xf xfId="0" numFmtId="3" applyNumberFormat="1" borderId="3" applyBorder="1" fontId="1" applyFont="1" fillId="10" applyFill="1" applyAlignment="1">
      <alignment horizontal="right"/>
    </xf>
    <xf xfId="0" numFmtId="4" applyNumberFormat="1" borderId="5" applyBorder="1" fontId="1" applyFont="1" fillId="15" applyFill="1" applyAlignment="1">
      <alignment horizontal="right"/>
    </xf>
    <xf xfId="0" numFmtId="4" applyNumberFormat="1" borderId="3" applyBorder="1" fontId="1" applyFont="1" fillId="15" applyFill="1" applyAlignment="1">
      <alignment horizontal="right"/>
    </xf>
    <xf xfId="0" numFmtId="4" applyNumberFormat="1" borderId="3" applyBorder="1" fontId="1" applyFont="1" fillId="11" applyFill="1" applyAlignment="1">
      <alignment horizontal="right"/>
    </xf>
    <xf xfId="0" numFmtId="4" applyNumberFormat="1" borderId="2" applyBorder="1" fontId="1" applyFont="1" fillId="4" applyFill="1" applyAlignment="1">
      <alignment horizontal="right"/>
    </xf>
    <xf xfId="0" numFmtId="0" borderId="2" applyBorder="1" fontId="1" applyFont="1" fillId="12" applyFill="1" applyAlignment="1">
      <alignment horizontal="left"/>
    </xf>
    <xf xfId="0" numFmtId="4" applyNumberFormat="1" borderId="2" applyBorder="1" fontId="1" applyFont="1" fillId="12" applyFill="1" applyAlignment="1">
      <alignment horizontal="right"/>
    </xf>
    <xf xfId="0" numFmtId="0" borderId="2" applyBorder="1" fontId="1" applyFont="1" fillId="7" applyFill="1" applyAlignment="1">
      <alignment horizontal="left"/>
    </xf>
    <xf xfId="0" numFmtId="0" borderId="2" applyBorder="1" fontId="1" applyFont="1" fillId="13" applyFill="1" applyAlignment="1">
      <alignment horizontal="left"/>
    </xf>
    <xf xfId="0" numFmtId="4" applyNumberFormat="1" borderId="2" applyBorder="1" fontId="1" applyFont="1" fillId="13" applyFill="1" applyAlignment="1">
      <alignment horizontal="right"/>
    </xf>
    <xf xfId="0" numFmtId="0" borderId="2" applyBorder="1" fontId="1" applyFont="1" fillId="14" applyFill="1" applyAlignment="1">
      <alignment horizontal="left"/>
    </xf>
    <xf xfId="0" numFmtId="4" applyNumberFormat="1" borderId="2" applyBorder="1" fontId="1" applyFont="1" fillId="14" applyFill="1" applyAlignment="1">
      <alignment horizontal="right"/>
    </xf>
    <xf xfId="0" numFmtId="3" applyNumberFormat="1" borderId="2" applyBorder="1" fontId="1" applyFont="1" fillId="14" applyFill="1" applyAlignment="1">
      <alignment horizontal="right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3" applyFont="1" fillId="0" applyAlignment="1">
      <alignment horizontal="left"/>
    </xf>
    <xf xfId="0" numFmtId="3" applyNumberFormat="1" borderId="7" applyBorder="1" fontId="3" applyFont="1" fillId="12" applyFill="1" applyAlignment="1">
      <alignment horizontal="left"/>
    </xf>
    <xf xfId="0" numFmtId="3" applyNumberFormat="1" borderId="7" applyBorder="1" fontId="3" applyFont="1" fillId="16" applyFill="1" applyAlignment="1">
      <alignment horizontal="left"/>
    </xf>
    <xf xfId="0" numFmtId="3" applyNumberFormat="1" borderId="7" applyBorder="1" fontId="3" applyFont="1" fillId="17" applyFill="1" applyAlignment="1">
      <alignment horizontal="left"/>
    </xf>
    <xf xfId="0" numFmtId="3" applyNumberFormat="1" borderId="5" applyBorder="1" fontId="3" applyFont="1" fillId="15" applyFill="1" applyAlignment="1">
      <alignment horizontal="left"/>
    </xf>
    <xf xfId="0" numFmtId="3" applyNumberFormat="1" borderId="8" applyBorder="1" fontId="3" applyFont="1" fillId="0" applyAlignment="1">
      <alignment horizontal="left"/>
    </xf>
    <xf xfId="0" numFmtId="3" applyNumberFormat="1" borderId="3" applyBorder="1" fontId="3" applyFont="1" fillId="3" applyFill="1" applyAlignment="1">
      <alignment horizontal="left"/>
    </xf>
    <xf xfId="0" numFmtId="3" applyNumberFormat="1" borderId="1" applyBorder="1" fontId="3" applyFont="1" fillId="0" applyAlignment="1">
      <alignment horizontal="left"/>
    </xf>
    <xf xfId="0" numFmtId="0" borderId="9" applyBorder="1" fontId="3" applyFont="1" fillId="2" applyFill="1" applyAlignment="1">
      <alignment horizontal="left"/>
    </xf>
    <xf xfId="0" numFmtId="0" borderId="9" applyBorder="1" fontId="2" applyFont="1" fillId="2" applyFill="1" applyAlignment="1">
      <alignment horizontal="left"/>
    </xf>
    <xf xfId="0" numFmtId="3" applyNumberFormat="1" borderId="2" applyBorder="1" fontId="1" applyFont="1" fillId="12" applyFill="1" applyAlignment="1">
      <alignment horizontal="right"/>
    </xf>
    <xf xfId="0" numFmtId="3" applyNumberFormat="1" borderId="2" applyBorder="1" fontId="1" applyFont="1" fillId="16" applyFill="1" applyAlignment="1">
      <alignment horizontal="right"/>
    </xf>
    <xf xfId="0" numFmtId="3" applyNumberFormat="1" borderId="2" applyBorder="1" fontId="1" applyFont="1" fillId="17" applyFill="1" applyAlignment="1">
      <alignment horizontal="right"/>
    </xf>
    <xf xfId="0" numFmtId="3" applyNumberFormat="1" borderId="10" applyBorder="1" fontId="1" applyFont="1" fillId="15" applyFill="1" applyAlignment="1">
      <alignment horizontal="right"/>
    </xf>
    <xf xfId="0" numFmtId="3" applyNumberFormat="1" borderId="9" applyBorder="1" fontId="1" applyFont="1" fillId="3" applyFill="1" applyAlignment="1">
      <alignment horizontal="left"/>
    </xf>
    <xf xfId="0" numFmtId="3" applyNumberFormat="1" borderId="10" applyBorder="1" fontId="1" applyFont="1" fillId="15" applyFill="1" applyAlignment="1">
      <alignment horizontal="left"/>
    </xf>
    <xf xfId="0" numFmtId="0" borderId="6" applyBorder="1" fontId="4" applyFont="1" fillId="18" applyFill="1" applyAlignment="1">
      <alignment horizontal="right"/>
    </xf>
    <xf xfId="0" numFmtId="0" borderId="7" applyBorder="1" fontId="4" applyFont="1" fillId="18" applyFill="1" applyAlignment="1">
      <alignment horizontal="left"/>
    </xf>
    <xf xfId="0" numFmtId="3" applyNumberFormat="1" borderId="7" applyBorder="1" fontId="4" applyFont="1" fillId="18" applyFill="1" applyAlignment="1">
      <alignment horizontal="right"/>
    </xf>
    <xf xfId="0" numFmtId="3" applyNumberFormat="1" borderId="5" applyBorder="1" fontId="4" applyFont="1" fillId="18" applyFill="1" applyAlignment="1">
      <alignment horizontal="right"/>
    </xf>
    <xf xfId="0" numFmtId="3" applyNumberFormat="1" borderId="9" applyBorder="1" fontId="5" applyFont="1" fillId="3" applyFill="1" applyAlignment="1">
      <alignment horizontal="left"/>
    </xf>
    <xf xfId="0" numFmtId="3" applyNumberFormat="1" borderId="10" applyBorder="1" fontId="5" applyFont="1" fillId="15" applyFill="1" applyAlignment="1">
      <alignment horizontal="left"/>
    </xf>
    <xf xfId="0" numFmtId="0" borderId="9" applyBorder="1" fontId="3" applyFont="1" fillId="14" applyFill="1" applyAlignment="1">
      <alignment horizontal="left"/>
    </xf>
    <xf xfId="0" numFmtId="0" borderId="9" applyBorder="1" fontId="2" applyFont="1" fillId="14" applyFill="1" applyAlignment="1">
      <alignment horizontal="left"/>
    </xf>
    <xf xfId="0" numFmtId="3" applyNumberFormat="1" borderId="2" applyBorder="1" fontId="1" applyFont="1" fillId="12" applyFill="1" applyAlignment="1">
      <alignment horizontal="left"/>
    </xf>
    <xf xfId="0" numFmtId="3" applyNumberFormat="1" borderId="2" applyBorder="1" fontId="1" applyFont="1" fillId="16" applyFill="1" applyAlignment="1">
      <alignment horizontal="left"/>
    </xf>
    <xf xfId="0" numFmtId="3" applyNumberFormat="1" borderId="2" applyBorder="1" fontId="1" applyFont="1" fillId="17" applyFill="1" applyAlignment="1">
      <alignment horizontal="left"/>
    </xf>
    <xf xfId="0" numFmtId="3" applyNumberFormat="1" borderId="9" applyBorder="1" fontId="1" applyFont="1" fillId="3" applyFill="1" applyAlignment="1">
      <alignment horizontal="right"/>
    </xf>
    <xf xfId="0" numFmtId="0" borderId="9" applyBorder="1" fontId="3" applyFont="1" fillId="10" applyFill="1" applyAlignment="1">
      <alignment horizontal="left"/>
    </xf>
    <xf xfId="0" numFmtId="0" borderId="9" applyBorder="1" fontId="2" applyFont="1" fillId="10" applyFill="1" applyAlignment="1">
      <alignment horizontal="left"/>
    </xf>
    <xf xfId="0" numFmtId="0" borderId="9" applyBorder="1" fontId="3" applyFont="1" fillId="11" applyFill="1" applyAlignment="1">
      <alignment horizontal="left"/>
    </xf>
    <xf xfId="0" numFmtId="0" borderId="9" applyBorder="1" fontId="2" applyFont="1" fillId="11" applyFill="1" applyAlignment="1">
      <alignment horizontal="left"/>
    </xf>
    <xf xfId="0" numFmtId="0" borderId="9" applyBorder="1" fontId="3" applyFont="1" fillId="17" applyFill="1" applyAlignment="1">
      <alignment horizontal="left"/>
    </xf>
    <xf xfId="0" numFmtId="0" borderId="9" applyBorder="1" fontId="2" applyFont="1" fillId="17" applyFill="1" applyAlignment="1">
      <alignment horizontal="left"/>
    </xf>
    <xf xfId="0" numFmtId="0" borderId="9" applyBorder="1" fontId="3" applyFont="1" fillId="19" applyFill="1" applyAlignment="1">
      <alignment horizontal="left"/>
    </xf>
    <xf xfId="0" numFmtId="0" borderId="9" applyBorder="1" fontId="1" applyFont="1" fillId="19" applyFill="1" applyAlignment="1">
      <alignment horizontal="left"/>
    </xf>
    <xf xfId="0" numFmtId="3" applyNumberFormat="1" borderId="11" applyBorder="1" fontId="1" applyFont="1" fillId="3" applyFill="1" applyAlignment="1">
      <alignment horizontal="left"/>
    </xf>
    <xf xfId="0" numFmtId="3" applyNumberFormat="1" borderId="12" applyBorder="1" fontId="1" applyFont="1" fillId="15" applyFill="1" applyAlignment="1">
      <alignment horizontal="left"/>
    </xf>
    <xf xfId="0" numFmtId="0" borderId="3" applyBorder="1" fontId="3" applyFont="1" fillId="20" applyFill="1" applyAlignment="1">
      <alignment horizontal="center"/>
    </xf>
    <xf xfId="0" numFmtId="3" applyNumberFormat="1" borderId="3" applyBorder="1" fontId="3" applyFont="1" fillId="20" applyFill="1" applyAlignment="1">
      <alignment horizontal="center"/>
    </xf>
    <xf xfId="0" numFmtId="3" applyNumberFormat="1" borderId="3" applyBorder="1" fontId="3" applyFont="1" fillId="7" applyFill="1" applyAlignment="1">
      <alignment horizontal="center"/>
    </xf>
    <xf xfId="0" numFmtId="3" applyNumberFormat="1" borderId="3" applyBorder="1" fontId="3" applyFont="1" fillId="21" applyFill="1" applyAlignment="1">
      <alignment horizontal="center"/>
    </xf>
    <xf xfId="0" numFmtId="3" applyNumberFormat="1" borderId="3" applyBorder="1" fontId="3" applyFont="1" fillId="22" applyFill="1" applyAlignment="1">
      <alignment horizontal="center"/>
    </xf>
    <xf xfId="0" numFmtId="3" applyNumberFormat="1" borderId="3" applyBorder="1" fontId="3" applyFont="1" fillId="13" applyFill="1" applyAlignment="1">
      <alignment horizontal="center"/>
    </xf>
    <xf xfId="0" numFmtId="0" borderId="3" applyBorder="1" fontId="6" applyFont="1" fillId="0" applyAlignment="1">
      <alignment horizontal="left"/>
    </xf>
    <xf xfId="0" numFmtId="0" borderId="3" applyBorder="1" fontId="3" applyFont="1" fillId="11" applyFill="1" applyAlignment="1">
      <alignment horizontal="left"/>
    </xf>
    <xf xfId="0" numFmtId="3" applyNumberFormat="1" borderId="3" applyBorder="1" fontId="3" applyFont="1" fillId="15" applyFill="1" applyAlignment="1">
      <alignment horizontal="left"/>
    </xf>
    <xf xfId="0" numFmtId="3" applyNumberFormat="1" borderId="3" applyBorder="1" fontId="3" applyFont="1" fillId="11" applyFill="1" applyAlignment="1">
      <alignment horizontal="left"/>
    </xf>
    <xf xfId="0" numFmtId="0" borderId="3" applyBorder="1" fontId="6" applyFont="1" fillId="11" applyFill="1" applyAlignment="1">
      <alignment horizontal="left"/>
    </xf>
    <xf xfId="0" numFmtId="3" applyNumberFormat="1" borderId="3" applyBorder="1" fontId="6" applyFont="1" fillId="15" applyFill="1" applyAlignment="1">
      <alignment horizontal="left"/>
    </xf>
    <xf xfId="0" numFmtId="3" applyNumberFormat="1" borderId="3" applyBorder="1" fontId="6" applyFont="1" fillId="11" applyFill="1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sharedStrings.xml" Type="http://schemas.openxmlformats.org/officeDocument/2006/relationships/sharedStrings" Id="rId14"/><Relationship Target="styles.xml" Type="http://schemas.openxmlformats.org/officeDocument/2006/relationships/styles" Id="rId15"/><Relationship Target="theme/theme1.xml" Type="http://schemas.openxmlformats.org/officeDocument/2006/relationships/theme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50"/>
  <sheetViews>
    <sheetView workbookViewId="0"/>
  </sheetViews>
  <sheetFormatPr defaultRowHeight="15" x14ac:dyDescent="0.25"/>
  <cols>
    <col min="1" max="1" style="8" width="25.14785714285714" customWidth="1" bestFit="1"/>
    <col min="2" max="2" style="8" width="31.719285714285714" customWidth="1" bestFit="1"/>
    <col min="3" max="3" style="81" width="12.290714285714287" customWidth="1" bestFit="1"/>
    <col min="4" max="4" style="81" width="12.290714285714287" customWidth="1" bestFit="1"/>
    <col min="5" max="5" style="81" width="15.43357142857143" customWidth="1" bestFit="1"/>
    <col min="6" max="6" style="81" width="12.290714285714287" customWidth="1" bestFit="1"/>
    <col min="7" max="7" style="81" width="14.719285714285713" customWidth="1" bestFit="1"/>
    <col min="8" max="8" style="81" width="8.43357142857143" customWidth="1" bestFit="1"/>
    <col min="9" max="9" style="81" width="9.290714285714287" customWidth="1" bestFit="1"/>
    <col min="10" max="10" style="81" width="20.433571428571426" customWidth="1" bestFit="1"/>
    <col min="11" max="11" style="81" width="22.576428571428572" customWidth="1" bestFit="1"/>
    <col min="12" max="12" style="8" width="38.005" customWidth="1" bestFit="1"/>
    <col min="13" max="13" style="8" width="13.576428571428572" customWidth="1" bestFit="1"/>
    <col min="14" max="14" style="8" width="13.576428571428572" customWidth="1" bestFit="1"/>
    <col min="15" max="15" style="8" width="13.576428571428572" customWidth="1" bestFit="1"/>
    <col min="16" max="16" style="81" width="15.43357142857143" customWidth="1" bestFit="1"/>
  </cols>
  <sheetData>
    <row x14ac:dyDescent="0.25" r="1" customHeight="1" ht="18.75">
      <c r="A1" s="82"/>
      <c r="B1" s="82" t="s">
        <v>1588</v>
      </c>
      <c r="C1" s="83" t="s">
        <v>1589</v>
      </c>
      <c r="D1" s="84" t="s">
        <v>1590</v>
      </c>
      <c r="E1" s="85" t="s">
        <v>1591</v>
      </c>
      <c r="F1" s="86" t="s">
        <v>1592</v>
      </c>
      <c r="G1" s="87" t="s">
        <v>1593</v>
      </c>
      <c r="H1" s="87" t="s">
        <v>1594</v>
      </c>
      <c r="I1" s="87" t="s">
        <v>1595</v>
      </c>
      <c r="J1" s="88" t="s">
        <v>1596</v>
      </c>
      <c r="K1" s="86" t="s">
        <v>1597</v>
      </c>
      <c r="L1" s="1"/>
      <c r="M1" s="1" t="s">
        <v>1598</v>
      </c>
      <c r="N1" s="1" t="s">
        <v>1599</v>
      </c>
      <c r="O1" s="1"/>
      <c r="P1" s="89" t="s">
        <v>1591</v>
      </c>
    </row>
    <row x14ac:dyDescent="0.25" r="2" customHeight="1" ht="18.75">
      <c r="A2" s="90" t="s">
        <v>1600</v>
      </c>
      <c r="B2" s="91" t="s">
        <v>1601</v>
      </c>
      <c r="C2" s="92">
        <v>40</v>
      </c>
      <c r="D2" s="93">
        <v>25</v>
      </c>
      <c r="E2" s="94">
        <v>45</v>
      </c>
      <c r="F2" s="95">
        <v>0</v>
      </c>
      <c r="G2" s="6">
        <v>-7</v>
      </c>
      <c r="H2" s="6">
        <v>0</v>
      </c>
      <c r="I2" s="6">
        <f>SUM(C2:H2)</f>
      </c>
      <c r="J2" s="96"/>
      <c r="K2" s="97"/>
      <c r="L2" s="1"/>
      <c r="M2" s="34" t="s">
        <v>1515</v>
      </c>
      <c r="N2" s="34" t="s">
        <v>1508</v>
      </c>
      <c r="O2" s="1"/>
      <c r="P2" s="6">
        <v>45</v>
      </c>
    </row>
    <row x14ac:dyDescent="0.25" r="3" customHeight="1" ht="18.75">
      <c r="A3" s="90" t="s">
        <v>1602</v>
      </c>
      <c r="B3" s="91" t="s">
        <v>1603</v>
      </c>
      <c r="C3" s="92">
        <v>40</v>
      </c>
      <c r="D3" s="93">
        <v>25</v>
      </c>
      <c r="E3" s="94">
        <v>46</v>
      </c>
      <c r="F3" s="95">
        <v>20</v>
      </c>
      <c r="G3" s="6">
        <v>0</v>
      </c>
      <c r="H3" s="6">
        <v>-2</v>
      </c>
      <c r="I3" s="6">
        <f>SUM(C3:H3)</f>
      </c>
      <c r="J3" s="96"/>
      <c r="K3" s="97"/>
      <c r="L3" s="1"/>
      <c r="M3" s="72" t="s">
        <v>1520</v>
      </c>
      <c r="N3" s="72" t="s">
        <v>1509</v>
      </c>
      <c r="O3" s="1"/>
      <c r="P3" s="6">
        <v>46</v>
      </c>
    </row>
    <row x14ac:dyDescent="0.25" r="4" customHeight="1" ht="18.75">
      <c r="A4" s="98" t="s">
        <v>1595</v>
      </c>
      <c r="B4" s="99" t="s">
        <v>1604</v>
      </c>
      <c r="C4" s="100">
        <f>SUM(C2:C3)</f>
      </c>
      <c r="D4" s="100">
        <f>SUM(D2:D3)</f>
      </c>
      <c r="E4" s="100">
        <f>SUM(E2:E3)</f>
      </c>
      <c r="F4" s="101">
        <f>SUM(F2:F3)</f>
      </c>
      <c r="G4" s="100">
        <f>SUM(G2:G3)</f>
      </c>
      <c r="H4" s="100">
        <f>SUM(H2:H3)</f>
      </c>
      <c r="I4" s="100">
        <f>SUM(C4:H4)</f>
      </c>
      <c r="J4" s="102"/>
      <c r="K4" s="103"/>
      <c r="L4" s="1"/>
      <c r="M4" s="74" t="s">
        <v>1526</v>
      </c>
      <c r="N4" s="74" t="s">
        <v>1510</v>
      </c>
      <c r="O4" s="1"/>
      <c r="P4" s="80"/>
    </row>
    <row x14ac:dyDescent="0.25" r="5" customHeight="1" ht="18.75">
      <c r="A5" s="104" t="s">
        <v>1605</v>
      </c>
      <c r="B5" s="105" t="s">
        <v>1606</v>
      </c>
      <c r="C5" s="106"/>
      <c r="D5" s="107" t="s">
        <v>1607</v>
      </c>
      <c r="E5" s="108" t="s">
        <v>1607</v>
      </c>
      <c r="F5" s="97" t="s">
        <v>1607</v>
      </c>
      <c r="G5" s="80"/>
      <c r="H5" s="80"/>
      <c r="I5" s="6">
        <f>SUMIF(C5:F5, "Yes", $C$4:$F$4)</f>
      </c>
      <c r="J5" s="109">
        <f>SUMIF(C5:F5, "Yes", $C$3:$F$3)</f>
      </c>
      <c r="K5" s="95">
        <f>SUMIF(C5:F5, "Yes", $C$2:$F$2)</f>
      </c>
      <c r="L5" s="1"/>
      <c r="M5" s="75" t="s">
        <v>1528</v>
      </c>
      <c r="N5" s="75" t="s">
        <v>1511</v>
      </c>
      <c r="O5" s="1"/>
      <c r="P5" s="80"/>
    </row>
    <row x14ac:dyDescent="0.25" r="6" customHeight="1" ht="18.75">
      <c r="A6" s="104" t="s">
        <v>1608</v>
      </c>
      <c r="B6" s="105" t="s">
        <v>1609</v>
      </c>
      <c r="C6" s="106"/>
      <c r="D6" s="107"/>
      <c r="E6" s="108" t="s">
        <v>1607</v>
      </c>
      <c r="F6" s="97"/>
      <c r="G6" s="80"/>
      <c r="H6" s="80"/>
      <c r="I6" s="6">
        <f>SUMIF(C6:F6, "Yes", $C$4:$F$4)</f>
      </c>
      <c r="J6" s="109">
        <f>SUMIF(C6:F6, "Yes", $C$3:$F$3)</f>
      </c>
      <c r="K6" s="95">
        <f>SUMIF(C6:F6, "Yes", $C$2:$F$2)</f>
      </c>
      <c r="L6" s="1"/>
      <c r="M6" s="77" t="s">
        <v>1532</v>
      </c>
      <c r="N6" s="77" t="s">
        <v>1512</v>
      </c>
      <c r="O6" s="1"/>
      <c r="P6" s="80"/>
    </row>
    <row x14ac:dyDescent="0.25" r="7" customHeight="1" ht="18.75">
      <c r="A7" s="104"/>
      <c r="B7" s="105" t="s">
        <v>1610</v>
      </c>
      <c r="C7" s="106"/>
      <c r="D7" s="107"/>
      <c r="E7" s="108"/>
      <c r="F7" s="97"/>
      <c r="G7" s="80"/>
      <c r="H7" s="80"/>
      <c r="I7" s="6">
        <f>SUMIF(C7:F7, "Yes", $C$4:$F$4)</f>
      </c>
      <c r="J7" s="109">
        <f>SUMIF(C7:F7, "Yes", $C$3:$F$3)</f>
      </c>
      <c r="K7" s="95">
        <f>SUMIF(C7:F7, "Yes", $C$2:$F$2)</f>
      </c>
      <c r="L7" s="1"/>
      <c r="M7" s="1"/>
      <c r="N7" s="1" t="s">
        <v>928</v>
      </c>
      <c r="O7" s="1"/>
      <c r="P7" s="80"/>
    </row>
    <row x14ac:dyDescent="0.25" r="8" customHeight="1" ht="18.75">
      <c r="A8" s="104"/>
      <c r="B8" s="105" t="s">
        <v>1611</v>
      </c>
      <c r="C8" s="106"/>
      <c r="D8" s="107"/>
      <c r="E8" s="108" t="s">
        <v>1607</v>
      </c>
      <c r="F8" s="97"/>
      <c r="G8" s="80"/>
      <c r="H8" s="80"/>
      <c r="I8" s="6">
        <f>SUMIF(C8:F8, "Yes", $C$4:$F$4)</f>
      </c>
      <c r="J8" s="109">
        <f>SUMIF(C8:F8, "Yes", $C$3:$F$3)</f>
      </c>
      <c r="K8" s="95">
        <f>SUMIF(C8:F8, "Yes", $C$2:$F$2)</f>
      </c>
      <c r="L8" s="1"/>
      <c r="M8" s="1"/>
      <c r="N8" s="1" t="s">
        <v>1095</v>
      </c>
      <c r="O8" s="1"/>
      <c r="P8" s="80"/>
    </row>
    <row x14ac:dyDescent="0.25" r="9" customHeight="1" ht="18.75">
      <c r="A9" s="110" t="s">
        <v>1612</v>
      </c>
      <c r="B9" s="111" t="s">
        <v>1613</v>
      </c>
      <c r="C9" s="106" t="s">
        <v>1607</v>
      </c>
      <c r="D9" s="107"/>
      <c r="E9" s="108"/>
      <c r="F9" s="97"/>
      <c r="G9" s="80"/>
      <c r="H9" s="80"/>
      <c r="I9" s="6">
        <f>SUMIF(C9:F9, "Yes", $C$4:$F$4)</f>
      </c>
      <c r="J9" s="109">
        <f>SUMIF(C9:F9, "Yes", $C$3:$F$3)</f>
      </c>
      <c r="K9" s="95">
        <f>SUMIF(C9:F9, "Yes", $C$2:$F$2)</f>
      </c>
      <c r="L9" s="1"/>
      <c r="M9" s="1"/>
      <c r="N9" s="1"/>
      <c r="O9" s="1"/>
      <c r="P9" s="80"/>
    </row>
    <row x14ac:dyDescent="0.25" r="10" customHeight="1" ht="18.75">
      <c r="A10" s="110" t="s">
        <v>1614</v>
      </c>
      <c r="B10" s="111" t="s">
        <v>1615</v>
      </c>
      <c r="C10" s="106" t="s">
        <v>1607</v>
      </c>
      <c r="D10" s="107"/>
      <c r="E10" s="108" t="s">
        <v>1607</v>
      </c>
      <c r="F10" s="97"/>
      <c r="G10" s="80"/>
      <c r="H10" s="80"/>
      <c r="I10" s="6">
        <f>SUMIF(C10:F10, "Yes", $C$4:$F$4)</f>
      </c>
      <c r="J10" s="109">
        <f>SUMIF(C10:F10, "Yes", $C$3:$F$3)</f>
      </c>
      <c r="K10" s="95">
        <f>SUMIF(C10:F10, "Yes", $C$2:$F$2)</f>
      </c>
      <c r="L10" s="1"/>
      <c r="M10" s="1"/>
      <c r="N10" s="1"/>
      <c r="O10" s="1"/>
      <c r="P10" s="80"/>
    </row>
    <row x14ac:dyDescent="0.25" r="11" customHeight="1" ht="18.75">
      <c r="A11" s="110"/>
      <c r="B11" s="111" t="s">
        <v>1616</v>
      </c>
      <c r="C11" s="106" t="s">
        <v>1607</v>
      </c>
      <c r="D11" s="107"/>
      <c r="E11" s="108"/>
      <c r="F11" s="97"/>
      <c r="G11" s="80"/>
      <c r="H11" s="80"/>
      <c r="I11" s="6">
        <f>SUMIF(C11:F11, "Yes", $C$4:$F$4)</f>
      </c>
      <c r="J11" s="109">
        <f>SUMIF(C11:F11, "Yes", $C$3:$F$3)</f>
      </c>
      <c r="K11" s="95">
        <f>SUMIF(C11:F11, "Yes", $C$2:$F$2)</f>
      </c>
      <c r="L11" s="1"/>
      <c r="M11" s="1"/>
      <c r="N11" s="1"/>
      <c r="O11" s="1"/>
      <c r="P11" s="80"/>
    </row>
    <row x14ac:dyDescent="0.25" r="12" customHeight="1" ht="18.75">
      <c r="A12" s="110"/>
      <c r="B12" s="111" t="s">
        <v>1617</v>
      </c>
      <c r="C12" s="106" t="s">
        <v>1607</v>
      </c>
      <c r="D12" s="107"/>
      <c r="E12" s="108"/>
      <c r="F12" s="97"/>
      <c r="G12" s="80"/>
      <c r="H12" s="80"/>
      <c r="I12" s="6">
        <f>SUMIF(C12:F12, "Yes", $C$4:$F$4)</f>
      </c>
      <c r="J12" s="109">
        <f>SUMIF(C12:F12, "Yes", $C$3:$F$3)</f>
      </c>
      <c r="K12" s="95">
        <f>SUMIF(C12:F12, "Yes", $C$2:$F$2)</f>
      </c>
      <c r="L12" s="1"/>
      <c r="M12" s="1"/>
      <c r="N12" s="1"/>
      <c r="O12" s="1"/>
      <c r="P12" s="80"/>
    </row>
    <row x14ac:dyDescent="0.25" r="13" customHeight="1" ht="18.75">
      <c r="A13" s="110"/>
      <c r="B13" s="111" t="s">
        <v>1618</v>
      </c>
      <c r="C13" s="106" t="s">
        <v>1607</v>
      </c>
      <c r="D13" s="107"/>
      <c r="E13" s="108"/>
      <c r="F13" s="97"/>
      <c r="G13" s="80"/>
      <c r="H13" s="80"/>
      <c r="I13" s="6">
        <f>SUMIF(C13:F13, "Yes", $C$4:$F$4)</f>
      </c>
      <c r="J13" s="109">
        <f>SUMIF(C13:F13, "Yes", $C$3:$F$3)</f>
      </c>
      <c r="K13" s="95">
        <f>SUMIF(C13:F13, "Yes", $C$2:$F$2)</f>
      </c>
      <c r="L13" s="1"/>
      <c r="M13" s="1"/>
      <c r="N13" s="1"/>
      <c r="O13" s="1"/>
      <c r="P13" s="80"/>
    </row>
    <row x14ac:dyDescent="0.25" r="14" customHeight="1" ht="18.75">
      <c r="A14" s="110"/>
      <c r="B14" s="111" t="s">
        <v>1619</v>
      </c>
      <c r="C14" s="106" t="s">
        <v>1607</v>
      </c>
      <c r="D14" s="107"/>
      <c r="E14" s="108"/>
      <c r="F14" s="97"/>
      <c r="G14" s="80"/>
      <c r="H14" s="80"/>
      <c r="I14" s="6">
        <f>SUMIF(C14:F14, "Yes", $C$4:$F$4)</f>
      </c>
      <c r="J14" s="109">
        <f>SUMIF(C14:F14, "Yes", $C$3:$F$3)</f>
      </c>
      <c r="K14" s="95">
        <f>SUMIF(C14:F14, "Yes", $C$2:$F$2)</f>
      </c>
      <c r="L14" s="1"/>
      <c r="M14" s="1"/>
      <c r="N14" s="1"/>
      <c r="O14" s="1"/>
      <c r="P14" s="80"/>
    </row>
    <row x14ac:dyDescent="0.25" r="15" customHeight="1" ht="18.75">
      <c r="A15" s="110"/>
      <c r="B15" s="111" t="s">
        <v>1620</v>
      </c>
      <c r="C15" s="106" t="s">
        <v>1607</v>
      </c>
      <c r="D15" s="107"/>
      <c r="E15" s="108"/>
      <c r="F15" s="97"/>
      <c r="G15" s="80"/>
      <c r="H15" s="80"/>
      <c r="I15" s="6">
        <f>SUMIF(C15:F15, "Yes", $C$4:$F$4)</f>
      </c>
      <c r="J15" s="109">
        <f>SUMIF(C15:F15, "Yes", $C$3:$F$3)</f>
      </c>
      <c r="K15" s="95">
        <f>SUMIF(C15:F15, "Yes", $C$2:$F$2)</f>
      </c>
      <c r="L15" s="1"/>
      <c r="M15" s="1"/>
      <c r="N15" s="1"/>
      <c r="O15" s="1"/>
      <c r="P15" s="80"/>
    </row>
    <row x14ac:dyDescent="0.25" r="16" customHeight="1" ht="18.75">
      <c r="A16" s="110"/>
      <c r="B16" s="111" t="s">
        <v>1621</v>
      </c>
      <c r="C16" s="106" t="s">
        <v>1607</v>
      </c>
      <c r="D16" s="107" t="s">
        <v>1607</v>
      </c>
      <c r="E16" s="108" t="s">
        <v>1607</v>
      </c>
      <c r="F16" s="97"/>
      <c r="G16" s="80"/>
      <c r="H16" s="80"/>
      <c r="I16" s="6">
        <f>SUMIF(C16:F16, "Yes", $C$4:$F$4)</f>
      </c>
      <c r="J16" s="109">
        <f>SUMIF(C16:F16, "Yes", $C$3:$F$3)</f>
      </c>
      <c r="K16" s="95">
        <f>SUMIF(C16:F16, "Yes", $C$2:$F$2)</f>
      </c>
      <c r="L16" s="1"/>
      <c r="M16" s="1"/>
      <c r="N16" s="1"/>
      <c r="O16" s="1"/>
      <c r="P16" s="80"/>
    </row>
    <row x14ac:dyDescent="0.25" r="17" customHeight="1" ht="18.75">
      <c r="A17" s="110"/>
      <c r="B17" s="111" t="s">
        <v>1622</v>
      </c>
      <c r="C17" s="106" t="s">
        <v>1607</v>
      </c>
      <c r="D17" s="107"/>
      <c r="E17" s="108" t="s">
        <v>1607</v>
      </c>
      <c r="F17" s="97"/>
      <c r="G17" s="80"/>
      <c r="H17" s="80"/>
      <c r="I17" s="6">
        <f>SUMIF(C17:F17, "Yes", $C$4:$F$4)</f>
      </c>
      <c r="J17" s="109">
        <f>SUMIF(C17:F17, "Yes", $C$3:$F$3)</f>
      </c>
      <c r="K17" s="95">
        <f>SUMIF(C17:F17, "Yes", $C$2:$F$2)</f>
      </c>
      <c r="L17" s="1"/>
      <c r="M17" s="1"/>
      <c r="N17" s="1"/>
      <c r="O17" s="1"/>
      <c r="P17" s="80"/>
    </row>
    <row x14ac:dyDescent="0.25" r="18" customHeight="1" ht="18.75">
      <c r="A18" s="110"/>
      <c r="B18" s="111" t="s">
        <v>1623</v>
      </c>
      <c r="C18" s="106"/>
      <c r="D18" s="107"/>
      <c r="E18" s="108" t="s">
        <v>1607</v>
      </c>
      <c r="F18" s="97"/>
      <c r="G18" s="80"/>
      <c r="H18" s="80"/>
      <c r="I18" s="6">
        <f>SUMIF(C18:F18, "Yes", $C$4:$F$4)</f>
      </c>
      <c r="J18" s="109">
        <f>SUMIF(C18:F18, "Yes", $C$3:$F$3)</f>
      </c>
      <c r="K18" s="95">
        <f>SUMIF(C18:F18, "Yes", $C$2:$F$2)</f>
      </c>
      <c r="L18" s="1"/>
      <c r="M18" s="1"/>
      <c r="N18" s="1"/>
      <c r="O18" s="1"/>
      <c r="P18" s="80"/>
    </row>
    <row x14ac:dyDescent="0.25" r="19" customHeight="1" ht="18.75">
      <c r="A19" s="110"/>
      <c r="B19" s="111" t="s">
        <v>1624</v>
      </c>
      <c r="C19" s="106" t="s">
        <v>1607</v>
      </c>
      <c r="D19" s="107"/>
      <c r="E19" s="108" t="s">
        <v>1607</v>
      </c>
      <c r="F19" s="97"/>
      <c r="G19" s="80"/>
      <c r="H19" s="80"/>
      <c r="I19" s="6">
        <f>SUMIF(C19:F19, "Yes", $C$4:$F$4)</f>
      </c>
      <c r="J19" s="109">
        <f>SUMIF(C19:F19, "Yes", $C$3:$F$3)</f>
      </c>
      <c r="K19" s="95">
        <f>SUMIF(C19:F19, "Yes", $C$2:$F$2)</f>
      </c>
      <c r="L19" s="1"/>
      <c r="M19" s="1"/>
      <c r="N19" s="1"/>
      <c r="O19" s="1"/>
      <c r="P19" s="80"/>
    </row>
    <row x14ac:dyDescent="0.25" r="20" customHeight="1" ht="18.75">
      <c r="A20" s="110"/>
      <c r="B20" s="111" t="s">
        <v>1625</v>
      </c>
      <c r="C20" s="106" t="s">
        <v>1607</v>
      </c>
      <c r="D20" s="107"/>
      <c r="E20" s="108" t="s">
        <v>1607</v>
      </c>
      <c r="F20" s="97"/>
      <c r="G20" s="80"/>
      <c r="H20" s="80"/>
      <c r="I20" s="6">
        <f>SUMIF(C20:F20, "Yes", $C$4:$F$4)</f>
      </c>
      <c r="J20" s="109">
        <f>SUMIF(C20:F20, "Yes", $C$3:$F$3)</f>
      </c>
      <c r="K20" s="95">
        <f>SUMIF(C20:F20, "Yes", $C$2:$F$2)</f>
      </c>
      <c r="L20" s="1"/>
      <c r="M20" s="1"/>
      <c r="N20" s="1"/>
      <c r="O20" s="1"/>
      <c r="P20" s="80"/>
    </row>
    <row x14ac:dyDescent="0.25" r="21" customHeight="1" ht="18.75">
      <c r="A21" s="110"/>
      <c r="B21" s="111" t="s">
        <v>1626</v>
      </c>
      <c r="C21" s="106" t="s">
        <v>1607</v>
      </c>
      <c r="D21" s="107"/>
      <c r="E21" s="108" t="s">
        <v>1607</v>
      </c>
      <c r="F21" s="97"/>
      <c r="G21" s="80"/>
      <c r="H21" s="80"/>
      <c r="I21" s="6">
        <f>SUMIF(C21:F21, "Yes", $C$4:$F$4)</f>
      </c>
      <c r="J21" s="109">
        <f>SUMIF(C21:F21, "Yes", $C$3:$F$3)</f>
      </c>
      <c r="K21" s="95">
        <f>SUMIF(C21:F21, "Yes", $C$2:$F$2)</f>
      </c>
      <c r="L21" s="1"/>
      <c r="M21" s="1"/>
      <c r="N21" s="1"/>
      <c r="O21" s="1"/>
      <c r="P21" s="80"/>
    </row>
    <row x14ac:dyDescent="0.25" r="22" customHeight="1" ht="18.75">
      <c r="A22" s="110"/>
      <c r="B22" s="111" t="s">
        <v>1627</v>
      </c>
      <c r="C22" s="106" t="s">
        <v>1607</v>
      </c>
      <c r="D22" s="107"/>
      <c r="E22" s="108" t="s">
        <v>1607</v>
      </c>
      <c r="F22" s="97"/>
      <c r="G22" s="80"/>
      <c r="H22" s="80"/>
      <c r="I22" s="6">
        <f>SUMIF(C22:F22, "Yes", $C$4:$F$4)</f>
      </c>
      <c r="J22" s="109">
        <f>SUMIF(C22:F22, "Yes", $C$3:$F$3)</f>
      </c>
      <c r="K22" s="95">
        <f>SUMIF(C22:F22, "Yes", $C$2:$F$2)</f>
      </c>
      <c r="L22" s="1"/>
      <c r="M22" s="1"/>
      <c r="N22" s="1"/>
      <c r="O22" s="1"/>
      <c r="P22" s="80"/>
    </row>
    <row x14ac:dyDescent="0.25" r="23" customHeight="1" ht="18.75">
      <c r="A23" s="110"/>
      <c r="B23" s="111" t="s">
        <v>1628</v>
      </c>
      <c r="C23" s="106" t="s">
        <v>1607</v>
      </c>
      <c r="D23" s="107"/>
      <c r="E23" s="108" t="s">
        <v>1607</v>
      </c>
      <c r="F23" s="97"/>
      <c r="G23" s="80"/>
      <c r="H23" s="80"/>
      <c r="I23" s="6">
        <f>SUMIF(C23:F23, "Yes", $C$4:$F$4)</f>
      </c>
      <c r="J23" s="109">
        <f>SUMIF(C23:F23, "Yes", $C$3:$F$3)</f>
      </c>
      <c r="K23" s="95">
        <f>SUMIF(C23:F23, "Yes", $C$2:$F$2)</f>
      </c>
      <c r="L23" s="1"/>
      <c r="M23" s="1"/>
      <c r="N23" s="1"/>
      <c r="O23" s="1"/>
      <c r="P23" s="80"/>
    </row>
    <row x14ac:dyDescent="0.25" r="24" customHeight="1" ht="18.75">
      <c r="A24" s="110"/>
      <c r="B24" s="111" t="s">
        <v>1629</v>
      </c>
      <c r="C24" s="106" t="s">
        <v>1607</v>
      </c>
      <c r="D24" s="107"/>
      <c r="E24" s="108"/>
      <c r="F24" s="97"/>
      <c r="G24" s="80"/>
      <c r="H24" s="80"/>
      <c r="I24" s="6">
        <f>SUMIF(C24:F24, "Yes", $C$4:$F$4)</f>
      </c>
      <c r="J24" s="109">
        <f>SUMIF(C24:F24, "Yes", $C$3:$F$3)</f>
      </c>
      <c r="K24" s="95">
        <f>SUMIF(C24:F24, "Yes", $C$2:$F$2)</f>
      </c>
      <c r="L24" s="1"/>
      <c r="M24" s="1"/>
      <c r="N24" s="1"/>
      <c r="O24" s="1"/>
      <c r="P24" s="80"/>
    </row>
    <row x14ac:dyDescent="0.25" r="25" customHeight="1" ht="18.75">
      <c r="A25" s="110"/>
      <c r="B25" s="111" t="s">
        <v>1630</v>
      </c>
      <c r="C25" s="106" t="s">
        <v>1607</v>
      </c>
      <c r="D25" s="107" t="s">
        <v>1607</v>
      </c>
      <c r="E25" s="108"/>
      <c r="F25" s="97"/>
      <c r="G25" s="80"/>
      <c r="H25" s="80"/>
      <c r="I25" s="6">
        <f>SUMIF(C25:F25, "Yes", $C$4:$F$4)</f>
      </c>
      <c r="J25" s="109">
        <f>SUMIF(C25:F25, "Yes", $C$3:$F$3)</f>
      </c>
      <c r="K25" s="95">
        <f>SUMIF(C25:F25, "Yes", $C$2:$F$2)</f>
      </c>
      <c r="L25" s="1"/>
      <c r="M25" s="1"/>
      <c r="N25" s="1"/>
      <c r="O25" s="1"/>
      <c r="P25" s="80"/>
    </row>
    <row x14ac:dyDescent="0.25" r="26" customHeight="1" ht="18.75">
      <c r="A26" s="110"/>
      <c r="B26" s="111" t="s">
        <v>1631</v>
      </c>
      <c r="C26" s="106" t="s">
        <v>1607</v>
      </c>
      <c r="D26" s="107"/>
      <c r="E26" s="108"/>
      <c r="F26" s="97"/>
      <c r="G26" s="80"/>
      <c r="H26" s="80"/>
      <c r="I26" s="6">
        <f>SUMIF(C26:F26, "Yes", $C$4:$F$4)</f>
      </c>
      <c r="J26" s="109">
        <f>SUMIF(C26:F26, "Yes", $C$3:$F$3)</f>
      </c>
      <c r="K26" s="95">
        <f>SUMIF(C26:F26, "Yes", $C$2:$F$2)</f>
      </c>
      <c r="L26" s="1"/>
      <c r="M26" s="1"/>
      <c r="N26" s="1"/>
      <c r="O26" s="1"/>
      <c r="P26" s="80"/>
    </row>
    <row x14ac:dyDescent="0.25" r="27" customHeight="1" ht="18.75">
      <c r="A27" s="110"/>
      <c r="B27" s="111" t="s">
        <v>1632</v>
      </c>
      <c r="C27" s="106"/>
      <c r="D27" s="107" t="s">
        <v>1607</v>
      </c>
      <c r="E27" s="108"/>
      <c r="F27" s="97"/>
      <c r="G27" s="80"/>
      <c r="H27" s="80"/>
      <c r="I27" s="6">
        <f>SUMIF(C27:F27, "Yes", $C$4:$F$4)</f>
      </c>
      <c r="J27" s="109">
        <f>SUMIF(C27:F27, "Yes", $C$3:$F$3)</f>
      </c>
      <c r="K27" s="95">
        <f>SUMIF(C27:F27, "Yes", $C$2:$F$2)</f>
      </c>
      <c r="L27" s="1"/>
      <c r="M27" s="1"/>
      <c r="N27" s="1"/>
      <c r="O27" s="1"/>
      <c r="P27" s="80"/>
    </row>
    <row x14ac:dyDescent="0.25" r="28" customHeight="1" ht="18.75">
      <c r="A28" s="110"/>
      <c r="B28" s="111" t="s">
        <v>1633</v>
      </c>
      <c r="C28" s="106"/>
      <c r="D28" s="107"/>
      <c r="E28" s="108" t="s">
        <v>1607</v>
      </c>
      <c r="F28" s="97"/>
      <c r="G28" s="80"/>
      <c r="H28" s="80"/>
      <c r="I28" s="6">
        <f>SUMIF(C28:F28, "Yes", $C$4:$F$4)</f>
      </c>
      <c r="J28" s="109">
        <f>SUMIF(C28:F28, "Yes", $C$3:$F$3)</f>
      </c>
      <c r="K28" s="95">
        <f>SUMIF(C28:F28, "Yes", $C$2:$F$2)</f>
      </c>
      <c r="L28" s="1"/>
      <c r="M28" s="1"/>
      <c r="N28" s="1"/>
      <c r="O28" s="1"/>
      <c r="P28" s="80"/>
    </row>
    <row x14ac:dyDescent="0.25" r="29" customHeight="1" ht="18.75">
      <c r="A29" s="110"/>
      <c r="B29" s="111" t="s">
        <v>1634</v>
      </c>
      <c r="C29" s="106"/>
      <c r="D29" s="107"/>
      <c r="E29" s="108" t="s">
        <v>1607</v>
      </c>
      <c r="F29" s="97"/>
      <c r="G29" s="80"/>
      <c r="H29" s="80"/>
      <c r="I29" s="6">
        <f>SUMIF(C29:F29, "Yes", $C$4:$F$4)</f>
      </c>
      <c r="J29" s="109">
        <f>SUMIF(C29:F29, "Yes", $C$3:$F$3)</f>
      </c>
      <c r="K29" s="95">
        <f>SUMIF(C29:F29, "Yes", $C$2:$F$2)</f>
      </c>
      <c r="L29" s="1"/>
      <c r="M29" s="1"/>
      <c r="N29" s="1"/>
      <c r="O29" s="1"/>
      <c r="P29" s="80"/>
    </row>
    <row x14ac:dyDescent="0.25" r="30" customHeight="1" ht="18.75">
      <c r="A30" s="110"/>
      <c r="B30" s="111" t="s">
        <v>1635</v>
      </c>
      <c r="C30" s="106"/>
      <c r="D30" s="107"/>
      <c r="E30" s="108" t="s">
        <v>1607</v>
      </c>
      <c r="F30" s="97"/>
      <c r="G30" s="80"/>
      <c r="H30" s="80"/>
      <c r="I30" s="6">
        <f>SUMIF(C30:F30, "Yes", $C$4:$F$4)</f>
      </c>
      <c r="J30" s="109">
        <f>SUMIF(C30:F30, "Yes", $C$3:$F$3)</f>
      </c>
      <c r="K30" s="95">
        <f>SUMIF(C30:F30, "Yes", $C$2:$F$2)</f>
      </c>
      <c r="L30" s="1"/>
      <c r="M30" s="1"/>
      <c r="N30" s="1"/>
      <c r="O30" s="1"/>
      <c r="P30" s="80"/>
    </row>
    <row x14ac:dyDescent="0.25" r="31" customHeight="1" ht="18.75">
      <c r="A31" s="110"/>
      <c r="B31" s="111" t="s">
        <v>1636</v>
      </c>
      <c r="C31" s="106"/>
      <c r="D31" s="107"/>
      <c r="E31" s="108" t="s">
        <v>1607</v>
      </c>
      <c r="F31" s="97"/>
      <c r="G31" s="80"/>
      <c r="H31" s="80"/>
      <c r="I31" s="6">
        <f>SUMIF(C31:F31, "Yes", $C$4:$F$4)</f>
      </c>
      <c r="J31" s="109">
        <f>SUMIF(C31:F31, "Yes", $C$3:$F$3)</f>
      </c>
      <c r="K31" s="95">
        <f>SUMIF(C31:F31, "Yes", $C$2:$F$2)</f>
      </c>
      <c r="L31" s="1"/>
      <c r="M31" s="1"/>
      <c r="N31" s="1"/>
      <c r="O31" s="1"/>
      <c r="P31" s="80"/>
    </row>
    <row x14ac:dyDescent="0.25" r="32" customHeight="1" ht="18.75">
      <c r="A32" s="112" t="s">
        <v>1637</v>
      </c>
      <c r="B32" s="113" t="s">
        <v>1638</v>
      </c>
      <c r="C32" s="106" t="s">
        <v>1607</v>
      </c>
      <c r="D32" s="107"/>
      <c r="E32" s="108" t="s">
        <v>1607</v>
      </c>
      <c r="F32" s="97" t="s">
        <v>1607</v>
      </c>
      <c r="G32" s="80"/>
      <c r="H32" s="80"/>
      <c r="I32" s="6">
        <f>SUMIF(C32:F32, "Yes", $C$4:$F$4)</f>
      </c>
      <c r="J32" s="109">
        <f>SUMIF(C32:F32, "Yes", $C$3:$F$3)</f>
      </c>
      <c r="K32" s="95">
        <f>SUMIF(C32:F32, "Yes", $C$2:$F$2)</f>
      </c>
      <c r="L32" s="1"/>
      <c r="M32" s="1"/>
      <c r="N32" s="1"/>
      <c r="O32" s="1"/>
      <c r="P32" s="80"/>
    </row>
    <row x14ac:dyDescent="0.25" r="33" customHeight="1" ht="18.75">
      <c r="A33" s="112" t="s">
        <v>1639</v>
      </c>
      <c r="B33" s="113" t="s">
        <v>1640</v>
      </c>
      <c r="C33" s="106"/>
      <c r="D33" s="107"/>
      <c r="E33" s="108" t="s">
        <v>1607</v>
      </c>
      <c r="F33" s="97"/>
      <c r="G33" s="80"/>
      <c r="H33" s="80"/>
      <c r="I33" s="6">
        <f>SUMIF(C33:F33, "Yes", $C$4:$F$4)</f>
      </c>
      <c r="J33" s="109">
        <f>SUMIF(C33:F33, "Yes", $C$3:$F$3)</f>
      </c>
      <c r="K33" s="95">
        <f>SUMIF(C33:F33, "Yes", $C$2:$F$2)</f>
      </c>
      <c r="L33" s="1"/>
      <c r="M33" s="1"/>
      <c r="N33" s="1"/>
      <c r="O33" s="1"/>
      <c r="P33" s="80"/>
    </row>
    <row x14ac:dyDescent="0.25" r="34" customHeight="1" ht="18.75">
      <c r="A34" s="112"/>
      <c r="B34" s="113" t="s">
        <v>1641</v>
      </c>
      <c r="C34" s="106" t="s">
        <v>1607</v>
      </c>
      <c r="D34" s="107"/>
      <c r="E34" s="108"/>
      <c r="F34" s="97"/>
      <c r="G34" s="80"/>
      <c r="H34" s="80"/>
      <c r="I34" s="6">
        <f>SUMIF(C34:F34, "Yes", $C$4:$F$4)</f>
      </c>
      <c r="J34" s="109">
        <f>SUMIF(C34:F34, "Yes", $C$3:$F$3)</f>
      </c>
      <c r="K34" s="95">
        <f>SUMIF(C34:F34, "Yes", $C$2:$F$2)</f>
      </c>
      <c r="L34" s="1"/>
      <c r="M34" s="1"/>
      <c r="N34" s="1"/>
      <c r="O34" s="1"/>
      <c r="P34" s="80"/>
    </row>
    <row x14ac:dyDescent="0.25" r="35" customHeight="1" ht="18.75">
      <c r="A35" s="112"/>
      <c r="B35" s="113" t="s">
        <v>1642</v>
      </c>
      <c r="C35" s="106"/>
      <c r="D35" s="107"/>
      <c r="E35" s="108"/>
      <c r="F35" s="97"/>
      <c r="G35" s="80"/>
      <c r="H35" s="80"/>
      <c r="I35" s="6">
        <f>SUMIF(C35:F35, "Yes", $C$4:$F$4)</f>
      </c>
      <c r="J35" s="109">
        <f>SUMIF(C35:F35, "Yes", $C$3:$F$3)</f>
      </c>
      <c r="K35" s="95">
        <f>SUMIF(C35:F35, "Yes", $C$2:$F$2)</f>
      </c>
      <c r="L35" s="1"/>
      <c r="M35" s="1"/>
      <c r="N35" s="1"/>
      <c r="O35" s="1"/>
      <c r="P35" s="80"/>
    </row>
    <row x14ac:dyDescent="0.25" r="36" customHeight="1" ht="18.75">
      <c r="A36" s="112"/>
      <c r="B36" s="113" t="s">
        <v>1643</v>
      </c>
      <c r="C36" s="106"/>
      <c r="D36" s="107" t="s">
        <v>1607</v>
      </c>
      <c r="E36" s="108" t="s">
        <v>1607</v>
      </c>
      <c r="F36" s="97" t="s">
        <v>1607</v>
      </c>
      <c r="G36" s="80"/>
      <c r="H36" s="80"/>
      <c r="I36" s="6">
        <f>SUMIF(C36:F36, "Yes", $C$4:$F$4)</f>
      </c>
      <c r="J36" s="109">
        <f>SUMIF(C36:F36, "Yes", $C$3:$F$3)</f>
      </c>
      <c r="K36" s="95">
        <f>SUMIF(C36:F36, "Yes", $C$2:$F$2)</f>
      </c>
      <c r="L36" s="1"/>
      <c r="M36" s="1"/>
      <c r="N36" s="1"/>
      <c r="O36" s="1"/>
      <c r="P36" s="80"/>
    </row>
    <row x14ac:dyDescent="0.25" r="37" customHeight="1" ht="18.75">
      <c r="A37" s="114" t="s">
        <v>1644</v>
      </c>
      <c r="B37" s="115" t="s">
        <v>1645</v>
      </c>
      <c r="C37" s="106" t="s">
        <v>1607</v>
      </c>
      <c r="D37" s="107" t="s">
        <v>1607</v>
      </c>
      <c r="E37" s="108"/>
      <c r="F37" s="97" t="s">
        <v>1607</v>
      </c>
      <c r="G37" s="80"/>
      <c r="H37" s="80"/>
      <c r="I37" s="6">
        <f>SUMIF(C37:F37, "Yes", $C$4:$F$4)</f>
      </c>
      <c r="J37" s="109">
        <f>SUMIF(C37:F37, "Yes", $C$3:$F$3)</f>
      </c>
      <c r="K37" s="95">
        <f>SUMIF(C37:F37, "Yes", $C$2:$F$2)</f>
      </c>
      <c r="L37" s="1"/>
      <c r="M37" s="1"/>
      <c r="N37" s="1"/>
      <c r="O37" s="1"/>
      <c r="P37" s="80"/>
    </row>
    <row x14ac:dyDescent="0.25" r="38" customHeight="1" ht="18.75">
      <c r="A38" s="114" t="s">
        <v>1646</v>
      </c>
      <c r="B38" s="115" t="s">
        <v>1647</v>
      </c>
      <c r="C38" s="106" t="s">
        <v>1607</v>
      </c>
      <c r="D38" s="107"/>
      <c r="E38" s="108" t="s">
        <v>1607</v>
      </c>
      <c r="F38" s="97"/>
      <c r="G38" s="80"/>
      <c r="H38" s="80"/>
      <c r="I38" s="6">
        <f>SUMIF(C38:F38, "Yes", $C$4:$F$4)</f>
      </c>
      <c r="J38" s="109">
        <f>SUMIF(C38:F38, "Yes", $C$3:$F$3)</f>
      </c>
      <c r="K38" s="95">
        <f>SUMIF(C38:F38, "Yes", $C$2:$F$2)</f>
      </c>
      <c r="L38" s="1"/>
      <c r="M38" s="1"/>
      <c r="N38" s="1"/>
      <c r="O38" s="1"/>
      <c r="P38" s="80"/>
    </row>
    <row x14ac:dyDescent="0.25" r="39" customHeight="1" ht="18.75">
      <c r="A39" s="116" t="s">
        <v>1648</v>
      </c>
      <c r="B39" s="117"/>
      <c r="C39" s="106" t="s">
        <v>1607</v>
      </c>
      <c r="D39" s="107" t="s">
        <v>1607</v>
      </c>
      <c r="E39" s="108"/>
      <c r="F39" s="97" t="s">
        <v>1607</v>
      </c>
      <c r="G39" s="80"/>
      <c r="H39" s="80"/>
      <c r="I39" s="6">
        <f>SUMIF(C39:F39, "Yes", $C$4:$F$4)</f>
      </c>
      <c r="J39" s="109">
        <f>SUMIF(C39:F39, "Yes", $C$3:$F$3)</f>
      </c>
      <c r="K39" s="95">
        <f>SUMIF(C39:F39, "Yes", $C$2:$F$2)</f>
      </c>
      <c r="L39" s="1"/>
      <c r="M39" s="1"/>
      <c r="N39" s="1"/>
      <c r="O39" s="1"/>
      <c r="P39" s="80"/>
    </row>
    <row x14ac:dyDescent="0.25" r="40" customHeight="1" ht="18.75">
      <c r="A40" s="116" t="s">
        <v>1649</v>
      </c>
      <c r="B40" s="117"/>
      <c r="C40" s="106"/>
      <c r="D40" s="107"/>
      <c r="E40" s="108"/>
      <c r="F40" s="97"/>
      <c r="G40" s="80"/>
      <c r="H40" s="80"/>
      <c r="I40" s="80"/>
      <c r="J40" s="118"/>
      <c r="K40" s="119"/>
      <c r="L40" s="1"/>
      <c r="M40" s="1"/>
      <c r="N40" s="1"/>
      <c r="O40" s="1"/>
      <c r="P40" s="80"/>
    </row>
    <row x14ac:dyDescent="0.25" r="41" customHeight="1" ht="18.75">
      <c r="A41" s="1"/>
      <c r="B41" s="1"/>
      <c r="C41" s="80"/>
      <c r="D41" s="80"/>
      <c r="E41" s="80"/>
      <c r="F41" s="80"/>
      <c r="G41" s="80"/>
      <c r="H41" s="80"/>
      <c r="I41" s="80"/>
      <c r="J41" s="80"/>
      <c r="K41" s="80"/>
      <c r="L41" s="1"/>
      <c r="M41" s="1"/>
      <c r="N41" s="1"/>
      <c r="O41" s="1"/>
      <c r="P41" s="80"/>
    </row>
    <row x14ac:dyDescent="0.25" r="42" customHeight="1" ht="18.75">
      <c r="A42" s="1"/>
      <c r="B42" s="1"/>
      <c r="C42" s="80"/>
      <c r="D42" s="80"/>
      <c r="E42" s="80"/>
      <c r="F42" s="80"/>
      <c r="G42" s="80"/>
      <c r="H42" s="80"/>
      <c r="I42" s="80"/>
      <c r="J42" s="80"/>
      <c r="K42" s="80"/>
      <c r="L42" s="1"/>
      <c r="M42" s="1"/>
      <c r="N42" s="1"/>
      <c r="O42" s="1"/>
      <c r="P42" s="80"/>
    </row>
    <row x14ac:dyDescent="0.25" r="43" customHeight="1" ht="18.75">
      <c r="A43" s="1"/>
      <c r="B43" s="1"/>
      <c r="C43" s="80"/>
      <c r="D43" s="80"/>
      <c r="E43" s="80"/>
      <c r="F43" s="80"/>
      <c r="G43" s="80"/>
      <c r="H43" s="80"/>
      <c r="I43" s="80"/>
      <c r="J43" s="80"/>
      <c r="K43" s="80"/>
      <c r="L43" s="1"/>
      <c r="M43" s="1"/>
      <c r="N43" s="1"/>
      <c r="O43" s="1"/>
      <c r="P43" s="80"/>
    </row>
    <row x14ac:dyDescent="0.25" r="44" customHeight="1" ht="18.75">
      <c r="A44" s="82" t="s">
        <v>1650</v>
      </c>
      <c r="B44" s="120" t="s">
        <v>1651</v>
      </c>
      <c r="C44" s="121"/>
      <c r="D44" s="122" t="s">
        <v>1652</v>
      </c>
      <c r="E44" s="122"/>
      <c r="F44" s="123" t="s">
        <v>1653</v>
      </c>
      <c r="G44" s="123"/>
      <c r="H44" s="124" t="s">
        <v>1654</v>
      </c>
      <c r="I44" s="124"/>
      <c r="J44" s="125" t="s">
        <v>1595</v>
      </c>
      <c r="K44" s="125"/>
      <c r="L44" s="1"/>
      <c r="M44" s="1"/>
      <c r="N44" s="1"/>
      <c r="O44" s="1"/>
      <c r="P44" s="80"/>
    </row>
    <row x14ac:dyDescent="0.25" r="45" customHeight="1" ht="18.75">
      <c r="A45" s="126"/>
      <c r="B45" s="127" t="s">
        <v>1655</v>
      </c>
      <c r="C45" s="128" t="s">
        <v>1656</v>
      </c>
      <c r="D45" s="129" t="s">
        <v>1655</v>
      </c>
      <c r="E45" s="128" t="s">
        <v>1656</v>
      </c>
      <c r="F45" s="129" t="s">
        <v>1655</v>
      </c>
      <c r="G45" s="128" t="s">
        <v>1656</v>
      </c>
      <c r="H45" s="129" t="s">
        <v>1655</v>
      </c>
      <c r="I45" s="128" t="s">
        <v>1656</v>
      </c>
      <c r="J45" s="129" t="s">
        <v>1655</v>
      </c>
      <c r="K45" s="128" t="s">
        <v>1656</v>
      </c>
      <c r="L45" s="1"/>
      <c r="M45" s="1"/>
      <c r="N45" s="1"/>
      <c r="O45" s="1"/>
      <c r="P45" s="80"/>
    </row>
    <row x14ac:dyDescent="0.25" r="46" customHeight="1" ht="18.75">
      <c r="A46" s="82" t="s">
        <v>1657</v>
      </c>
      <c r="B46" s="130" t="s">
        <v>1658</v>
      </c>
      <c r="C46" s="131" t="s">
        <v>1659</v>
      </c>
      <c r="D46" s="132" t="s">
        <v>1660</v>
      </c>
      <c r="E46" s="131" t="s">
        <v>1661</v>
      </c>
      <c r="F46" s="132" t="s">
        <v>1662</v>
      </c>
      <c r="G46" s="131" t="s">
        <v>1663</v>
      </c>
      <c r="H46" s="132" t="s">
        <v>1664</v>
      </c>
      <c r="I46" s="131" t="s">
        <v>1665</v>
      </c>
      <c r="J46" s="132" t="s">
        <v>1666</v>
      </c>
      <c r="K46" s="131" t="s">
        <v>1667</v>
      </c>
      <c r="L46" s="1"/>
      <c r="M46" s="1"/>
      <c r="N46" s="1"/>
      <c r="O46" s="1"/>
      <c r="P46" s="80"/>
    </row>
    <row x14ac:dyDescent="0.25" r="47" customHeight="1" ht="18.75">
      <c r="A47" s="82" t="s">
        <v>1668</v>
      </c>
      <c r="B47" s="130" t="s">
        <v>1669</v>
      </c>
      <c r="C47" s="131" t="s">
        <v>1670</v>
      </c>
      <c r="D47" s="132" t="s">
        <v>1671</v>
      </c>
      <c r="E47" s="131" t="s">
        <v>1672</v>
      </c>
      <c r="F47" s="132" t="s">
        <v>1673</v>
      </c>
      <c r="G47" s="131" t="s">
        <v>1674</v>
      </c>
      <c r="H47" s="132" t="s">
        <v>1675</v>
      </c>
      <c r="I47" s="131" t="s">
        <v>1676</v>
      </c>
      <c r="J47" s="132" t="s">
        <v>1677</v>
      </c>
      <c r="K47" s="131" t="s">
        <v>1678</v>
      </c>
      <c r="L47" s="1"/>
      <c r="M47" s="1"/>
      <c r="N47" s="1"/>
      <c r="O47" s="1"/>
      <c r="P47" s="80"/>
    </row>
    <row x14ac:dyDescent="0.25" r="48" customHeight="1" ht="18.75">
      <c r="A48" s="82" t="s">
        <v>1679</v>
      </c>
      <c r="B48" s="130" t="s">
        <v>1680</v>
      </c>
      <c r="C48" s="131" t="s">
        <v>1681</v>
      </c>
      <c r="D48" s="132" t="s">
        <v>1682</v>
      </c>
      <c r="E48" s="131" t="s">
        <v>1683</v>
      </c>
      <c r="F48" s="132" t="s">
        <v>1684</v>
      </c>
      <c r="G48" s="131" t="s">
        <v>1685</v>
      </c>
      <c r="H48" s="132" t="s">
        <v>1686</v>
      </c>
      <c r="I48" s="131" t="s">
        <v>1687</v>
      </c>
      <c r="J48" s="132" t="s">
        <v>1688</v>
      </c>
      <c r="K48" s="131" t="s">
        <v>1689</v>
      </c>
      <c r="L48" s="1"/>
      <c r="M48" s="1"/>
      <c r="N48" s="1"/>
      <c r="O48" s="1"/>
      <c r="P48" s="80"/>
    </row>
    <row x14ac:dyDescent="0.25" r="49" customHeight="1" ht="18.75">
      <c r="A49" s="82" t="s">
        <v>1690</v>
      </c>
      <c r="B49" s="130" t="s">
        <v>1691</v>
      </c>
      <c r="C49" s="131" t="s">
        <v>1692</v>
      </c>
      <c r="D49" s="132" t="s">
        <v>1693</v>
      </c>
      <c r="E49" s="131" t="s">
        <v>1694</v>
      </c>
      <c r="F49" s="132" t="s">
        <v>1695</v>
      </c>
      <c r="G49" s="131" t="s">
        <v>1696</v>
      </c>
      <c r="H49" s="132" t="s">
        <v>1697</v>
      </c>
      <c r="I49" s="131" t="s">
        <v>1698</v>
      </c>
      <c r="J49" s="132" t="s">
        <v>1699</v>
      </c>
      <c r="K49" s="131" t="s">
        <v>1700</v>
      </c>
      <c r="L49" s="1"/>
      <c r="M49" s="1"/>
      <c r="N49" s="1"/>
      <c r="O49" s="1"/>
      <c r="P49" s="80"/>
    </row>
    <row x14ac:dyDescent="0.25" r="50" customHeight="1" ht="18.75">
      <c r="A50" s="82" t="s">
        <v>1701</v>
      </c>
      <c r="B50" s="130" t="s">
        <v>1702</v>
      </c>
      <c r="C50" s="131" t="s">
        <v>1703</v>
      </c>
      <c r="D50" s="132" t="s">
        <v>1704</v>
      </c>
      <c r="E50" s="131" t="s">
        <v>1705</v>
      </c>
      <c r="F50" s="132" t="s">
        <v>1706</v>
      </c>
      <c r="G50" s="131" t="s">
        <v>1707</v>
      </c>
      <c r="H50" s="132" t="s">
        <v>1708</v>
      </c>
      <c r="I50" s="131" t="s">
        <v>1709</v>
      </c>
      <c r="J50" s="132" t="s">
        <v>1710</v>
      </c>
      <c r="K50" s="131" t="s">
        <v>1711</v>
      </c>
      <c r="L50" s="1"/>
      <c r="M50" s="1"/>
      <c r="N50" s="1"/>
      <c r="O50" s="1"/>
      <c r="P50" s="80"/>
    </row>
  </sheetData>
  <mergeCells count="5">
    <mergeCell ref="B44:C44"/>
    <mergeCell ref="D44:E44"/>
    <mergeCell ref="F44:G44"/>
    <mergeCell ref="H44:I44"/>
    <mergeCell ref="J44:K4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129"/>
  <sheetViews>
    <sheetView workbookViewId="0"/>
  </sheetViews>
  <sheetFormatPr defaultRowHeight="15" x14ac:dyDescent="0.25"/>
  <cols>
    <col min="1" max="1" style="8" width="13.576428571428572" customWidth="1" bestFit="1"/>
    <col min="2" max="2" style="9" width="13.576428571428572" customWidth="1" bestFit="1"/>
    <col min="3" max="3" style="9" width="13.576428571428572" customWidth="1" bestFit="1"/>
    <col min="4" max="4" style="9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9" width="13.576428571428572" customWidth="1" bestFit="1"/>
    <col min="10" max="10" style="9" width="13.576428571428572" customWidth="1" bestFit="1"/>
    <col min="11" max="11" style="9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81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</cols>
  <sheetData>
    <row x14ac:dyDescent="0.25" r="1" customHeight="1" ht="18.75">
      <c r="A1" s="1" t="s">
        <v>1548</v>
      </c>
      <c r="B1" s="3">
        <v>7.133333333360497</v>
      </c>
      <c r="C1" s="3">
        <v>30.28333333338378</v>
      </c>
      <c r="D1" s="3">
        <v>37.183333333348855</v>
      </c>
      <c r="E1" s="3">
        <v>53.91666666674428</v>
      </c>
      <c r="F1" s="3">
        <v>77.85000000003492</v>
      </c>
      <c r="G1" s="3">
        <v>102.04999999998836</v>
      </c>
      <c r="H1" s="3">
        <v>125.21666666673264</v>
      </c>
      <c r="I1" s="5"/>
      <c r="J1" s="5"/>
      <c r="K1" s="5"/>
      <c r="L1" s="4"/>
      <c r="M1" s="4"/>
      <c r="N1" s="4"/>
      <c r="O1" s="4"/>
      <c r="P1" s="80"/>
      <c r="Q1" s="4"/>
      <c r="R1" s="4"/>
      <c r="S1" s="4"/>
      <c r="T1" s="4"/>
      <c r="U1" s="4"/>
      <c r="V1" s="4"/>
      <c r="W1" s="4"/>
      <c r="X1" s="4"/>
    </row>
    <row x14ac:dyDescent="0.25" r="2" customHeight="1" ht="18.75">
      <c r="A2" s="1" t="s">
        <v>1549</v>
      </c>
      <c r="B2" s="3">
        <v>5.233333333453629</v>
      </c>
      <c r="C2" s="3">
        <v>23.20000000001164</v>
      </c>
      <c r="D2" s="3">
        <v>29.550000000104774</v>
      </c>
      <c r="E2" s="3">
        <v>44.83333333331393</v>
      </c>
      <c r="F2" s="3">
        <v>69.45000000006985</v>
      </c>
      <c r="G2" s="3">
        <v>92.91666666674428</v>
      </c>
      <c r="H2" s="5"/>
      <c r="I2" s="5"/>
      <c r="J2" s="5"/>
      <c r="K2" s="5"/>
      <c r="L2" s="4"/>
      <c r="M2" s="4"/>
      <c r="N2" s="4"/>
      <c r="O2" s="4"/>
      <c r="P2" s="80"/>
      <c r="Q2" s="4"/>
      <c r="R2" s="4"/>
      <c r="S2" s="4"/>
      <c r="T2" s="4"/>
      <c r="U2" s="4"/>
      <c r="V2" s="4"/>
      <c r="W2" s="4"/>
      <c r="X2" s="4"/>
    </row>
    <row x14ac:dyDescent="0.25" r="3" customHeight="1" ht="18.75">
      <c r="A3" s="1" t="s">
        <v>1550</v>
      </c>
      <c r="B3" s="3">
        <v>14.449999999953434</v>
      </c>
      <c r="C3" s="3">
        <v>17.71666666661622</v>
      </c>
      <c r="D3" s="3">
        <v>30.616666666581295</v>
      </c>
      <c r="E3" s="3">
        <v>55.766666666662786</v>
      </c>
      <c r="F3" s="3">
        <v>79.69999999995343</v>
      </c>
      <c r="G3" s="3">
        <v>103.69999999995343</v>
      </c>
      <c r="H3" s="3">
        <v>127.38333333330229</v>
      </c>
      <c r="I3" s="3">
        <v>151.78333333320916</v>
      </c>
      <c r="J3" s="5"/>
      <c r="K3" s="5"/>
      <c r="L3" s="4"/>
      <c r="M3" s="4"/>
      <c r="N3" s="4"/>
      <c r="O3" s="4"/>
      <c r="P3" s="80"/>
      <c r="Q3" s="4"/>
      <c r="R3" s="4"/>
      <c r="S3" s="4"/>
      <c r="T3" s="4"/>
      <c r="U3" s="4"/>
      <c r="V3" s="4"/>
      <c r="W3" s="4"/>
      <c r="X3" s="4"/>
    </row>
    <row x14ac:dyDescent="0.25" r="4" customHeight="1" ht="18.75">
      <c r="A4" s="1" t="s">
        <v>1551</v>
      </c>
      <c r="B4" s="3">
        <v>3.016666666720994</v>
      </c>
      <c r="C4" s="3">
        <v>14.08333333331393</v>
      </c>
      <c r="D4" s="3">
        <v>19.15000000008149</v>
      </c>
      <c r="E4" s="3">
        <v>31.33333333331393</v>
      </c>
      <c r="F4" s="3">
        <v>39.33333333337214</v>
      </c>
      <c r="G4" s="3">
        <v>54.68333333329065</v>
      </c>
      <c r="H4" s="3">
        <v>64.59999999997672</v>
      </c>
      <c r="I4" s="3">
        <v>79.96666666661622</v>
      </c>
      <c r="J4" s="3">
        <v>101.31666666670935</v>
      </c>
      <c r="K4" s="3">
        <v>126.75</v>
      </c>
      <c r="L4" s="4"/>
      <c r="M4" s="4"/>
      <c r="N4" s="4"/>
      <c r="O4" s="4"/>
      <c r="P4" s="80"/>
      <c r="Q4" s="4"/>
      <c r="R4" s="4"/>
      <c r="S4" s="4"/>
      <c r="T4" s="4"/>
      <c r="U4" s="4"/>
      <c r="V4" s="4"/>
      <c r="W4" s="4"/>
      <c r="X4" s="4"/>
    </row>
    <row x14ac:dyDescent="0.25" r="5" customHeight="1" ht="18.75">
      <c r="A5" s="1" t="s">
        <v>1552</v>
      </c>
      <c r="B5" s="3">
        <v>6.216666666674428</v>
      </c>
      <c r="C5" s="3">
        <v>19.116666666639503</v>
      </c>
      <c r="D5" s="3">
        <v>52.21666666661622</v>
      </c>
      <c r="E5" s="3">
        <v>74.71666666661622</v>
      </c>
      <c r="F5" s="3">
        <v>100.5</v>
      </c>
      <c r="G5" s="3">
        <v>124.69999999995343</v>
      </c>
      <c r="H5" s="3">
        <v>131.15000000002328</v>
      </c>
      <c r="I5" s="3">
        <v>147.94999999995343</v>
      </c>
      <c r="J5" s="5"/>
      <c r="K5" s="5"/>
      <c r="L5" s="4"/>
      <c r="M5" s="4"/>
      <c r="N5" s="4"/>
      <c r="O5" s="4"/>
      <c r="P5" s="80"/>
      <c r="Q5" s="4"/>
      <c r="R5" s="4"/>
      <c r="S5" s="4"/>
      <c r="T5" s="4"/>
      <c r="U5" s="4"/>
      <c r="V5" s="4"/>
      <c r="W5" s="4"/>
      <c r="X5" s="4"/>
    </row>
    <row x14ac:dyDescent="0.25" r="6" customHeight="1" ht="18.75">
      <c r="A6" s="1" t="s">
        <v>1553</v>
      </c>
      <c r="B6" s="3">
        <v>13.96666666661622</v>
      </c>
      <c r="C6" s="3">
        <v>19.5</v>
      </c>
      <c r="D6" s="3">
        <v>33.50000000005821</v>
      </c>
      <c r="E6" s="3">
        <v>58.28333333332557</v>
      </c>
      <c r="F6" s="3">
        <v>81.1333333334187</v>
      </c>
      <c r="G6" s="3">
        <v>90.19999999995343</v>
      </c>
      <c r="H6" s="3">
        <v>106.16666666662786</v>
      </c>
      <c r="I6" s="3">
        <v>106.5</v>
      </c>
      <c r="J6" s="5"/>
      <c r="K6" s="5"/>
      <c r="L6" s="4"/>
      <c r="M6" s="4"/>
      <c r="N6" s="4"/>
      <c r="O6" s="4"/>
      <c r="P6" s="80"/>
      <c r="Q6" s="4"/>
      <c r="R6" s="4"/>
      <c r="S6" s="4"/>
      <c r="T6" s="4"/>
      <c r="U6" s="4"/>
      <c r="V6" s="4"/>
      <c r="W6" s="4"/>
      <c r="X6" s="4"/>
    </row>
    <row x14ac:dyDescent="0.25" r="7" customHeight="1" ht="18.75">
      <c r="A7" s="1" t="s">
        <v>1554</v>
      </c>
      <c r="B7" s="3">
        <v>15.600000000000001</v>
      </c>
      <c r="C7" s="3">
        <v>21.35</v>
      </c>
      <c r="D7" s="3">
        <v>36.53333333333333</v>
      </c>
      <c r="E7" s="3">
        <v>61.83333333333333</v>
      </c>
      <c r="F7" s="3">
        <v>83.18333333333334</v>
      </c>
      <c r="G7" s="3">
        <v>108.6</v>
      </c>
      <c r="H7" s="3">
        <v>118.05000000000001</v>
      </c>
      <c r="I7" s="3">
        <v>132.55</v>
      </c>
      <c r="J7" s="3">
        <v>156.93333333333334</v>
      </c>
      <c r="K7" s="3">
        <v>180.71666666666667</v>
      </c>
      <c r="L7" s="4"/>
      <c r="M7" s="4"/>
      <c r="N7" s="4"/>
      <c r="O7" s="4"/>
      <c r="P7" s="80"/>
      <c r="Q7" s="4"/>
      <c r="R7" s="4"/>
      <c r="S7" s="4"/>
      <c r="T7" s="4"/>
      <c r="U7" s="4"/>
      <c r="V7" s="4"/>
      <c r="W7" s="4"/>
      <c r="X7" s="4"/>
    </row>
    <row x14ac:dyDescent="0.25" r="8" customHeight="1" ht="18.75">
      <c r="A8" s="1" t="s">
        <v>1555</v>
      </c>
      <c r="B8" s="3">
        <v>2.9500000000116415</v>
      </c>
      <c r="C8" s="3">
        <v>9.416666666627862</v>
      </c>
      <c r="D8" s="3">
        <v>11.516666666662786</v>
      </c>
      <c r="E8" s="3">
        <v>33.11666666669771</v>
      </c>
      <c r="F8" s="3">
        <v>56.91666666674428</v>
      </c>
      <c r="G8" s="3">
        <v>80.56666666665114</v>
      </c>
      <c r="H8" s="3">
        <v>105.1333333334187</v>
      </c>
      <c r="I8" s="3">
        <v>128.983333333279</v>
      </c>
      <c r="J8" s="5"/>
      <c r="K8" s="5"/>
      <c r="L8" s="4"/>
      <c r="M8" s="4"/>
      <c r="N8" s="4"/>
      <c r="O8" s="4"/>
      <c r="P8" s="80"/>
      <c r="Q8" s="4"/>
      <c r="R8" s="4"/>
      <c r="S8" s="4"/>
      <c r="T8" s="4"/>
      <c r="U8" s="4"/>
      <c r="V8" s="4"/>
      <c r="W8" s="4"/>
      <c r="X8" s="4"/>
    </row>
    <row x14ac:dyDescent="0.25" r="9" customHeight="1" ht="18.75">
      <c r="A9" s="1" t="s">
        <v>1556</v>
      </c>
      <c r="B9" s="3">
        <v>66.33333333337214</v>
      </c>
      <c r="C9" s="3">
        <v>83.31666666670935</v>
      </c>
      <c r="D9" s="3">
        <v>89.29999999998836</v>
      </c>
      <c r="E9" s="3">
        <v>105.11666666669771</v>
      </c>
      <c r="F9" s="3">
        <v>131.70000000006985</v>
      </c>
      <c r="G9" s="3">
        <v>154.08333333337214</v>
      </c>
      <c r="H9" s="3">
        <v>177.1166666666977</v>
      </c>
      <c r="I9" s="3">
        <v>202.26666666660458</v>
      </c>
      <c r="J9" s="5"/>
      <c r="K9" s="5"/>
      <c r="L9" s="4"/>
      <c r="M9" s="4"/>
      <c r="N9" s="4"/>
      <c r="O9" s="4"/>
      <c r="P9" s="80"/>
      <c r="Q9" s="4"/>
      <c r="R9" s="4"/>
      <c r="S9" s="4"/>
      <c r="T9" s="4"/>
      <c r="U9" s="4"/>
      <c r="V9" s="4"/>
      <c r="W9" s="4"/>
      <c r="X9" s="4"/>
    </row>
    <row x14ac:dyDescent="0.25" r="10" customHeight="1" ht="18.75">
      <c r="A10" s="1" t="s">
        <v>1557</v>
      </c>
      <c r="B10" s="3">
        <v>14.25</v>
      </c>
      <c r="C10" s="3">
        <v>18.45000000006985</v>
      </c>
      <c r="D10" s="3">
        <v>34.04999999993015</v>
      </c>
      <c r="E10" s="3">
        <v>56.58333333337214</v>
      </c>
      <c r="F10" s="3">
        <v>81.79999999998836</v>
      </c>
      <c r="G10" s="3">
        <v>82.08333333337214</v>
      </c>
      <c r="H10" s="3">
        <v>105.11666666669771</v>
      </c>
      <c r="I10" s="3">
        <v>130.26666666660458</v>
      </c>
      <c r="J10" s="5"/>
      <c r="K10" s="5"/>
      <c r="L10" s="4"/>
      <c r="M10" s="4"/>
      <c r="N10" s="4"/>
      <c r="O10" s="4"/>
      <c r="P10" s="80"/>
      <c r="Q10" s="4"/>
      <c r="R10" s="4"/>
      <c r="S10" s="4"/>
      <c r="T10" s="4"/>
      <c r="U10" s="4"/>
      <c r="V10" s="4"/>
      <c r="W10" s="4"/>
      <c r="X10" s="4"/>
    </row>
    <row x14ac:dyDescent="0.25" r="11" customHeight="1" ht="18.75">
      <c r="A11" s="1" t="s">
        <v>1558</v>
      </c>
      <c r="B11" s="3">
        <v>19.33333333331393</v>
      </c>
      <c r="C11" s="3">
        <v>33.99999999994179</v>
      </c>
      <c r="D11" s="3">
        <v>42.45000000006985</v>
      </c>
      <c r="E11" s="3">
        <v>58.933333333348855</v>
      </c>
      <c r="F11" s="3">
        <v>80.31666666670935</v>
      </c>
      <c r="G11" s="3">
        <v>107.1166666665813</v>
      </c>
      <c r="H11" s="5"/>
      <c r="I11" s="5"/>
      <c r="J11" s="5"/>
      <c r="K11" s="5"/>
      <c r="L11" s="4"/>
      <c r="M11" s="4"/>
      <c r="N11" s="4"/>
      <c r="O11" s="4"/>
      <c r="P11" s="80"/>
      <c r="Q11" s="4"/>
      <c r="R11" s="4"/>
      <c r="S11" s="4"/>
      <c r="T11" s="4"/>
      <c r="U11" s="4"/>
      <c r="V11" s="4"/>
      <c r="W11" s="4"/>
      <c r="X11" s="4"/>
    </row>
    <row x14ac:dyDescent="0.25" r="12" customHeight="1" ht="18.75">
      <c r="A12" s="1" t="s">
        <v>1559</v>
      </c>
      <c r="B12" s="3">
        <v>15.899999999965075</v>
      </c>
      <c r="C12" s="3">
        <v>22.983333333337214</v>
      </c>
      <c r="D12" s="3">
        <v>34.61666666669771</v>
      </c>
      <c r="E12" s="3">
        <v>57.899999999965075</v>
      </c>
      <c r="F12" s="3">
        <v>81.08333333325572</v>
      </c>
      <c r="G12" s="3">
        <v>105.75</v>
      </c>
      <c r="H12" s="3">
        <v>130.33333333331393</v>
      </c>
      <c r="I12" s="3">
        <v>154.43333333329065</v>
      </c>
      <c r="J12" s="3">
        <v>178.2500000000582</v>
      </c>
      <c r="K12" s="3">
        <v>178.45000000001164</v>
      </c>
      <c r="L12" s="4"/>
      <c r="M12" s="4"/>
      <c r="N12" s="4"/>
      <c r="O12" s="4"/>
      <c r="P12" s="80"/>
      <c r="Q12" s="4"/>
      <c r="R12" s="4"/>
      <c r="S12" s="4"/>
      <c r="T12" s="4"/>
      <c r="U12" s="4"/>
      <c r="V12" s="4"/>
      <c r="W12" s="4"/>
      <c r="X12" s="4"/>
    </row>
    <row x14ac:dyDescent="0.25" r="13" customHeight="1" ht="18.75">
      <c r="A13" s="1" t="s">
        <v>1560</v>
      </c>
      <c r="B13" s="3">
        <v>23.01666666660458</v>
      </c>
      <c r="C13" s="3">
        <v>30.933333333407063</v>
      </c>
      <c r="D13" s="3">
        <v>57.06666666670935</v>
      </c>
      <c r="E13" s="3">
        <v>82.59999999997672</v>
      </c>
      <c r="F13" s="3">
        <v>105.50000000005821</v>
      </c>
      <c r="G13" s="3">
        <v>114.1333333334187</v>
      </c>
      <c r="H13" s="3">
        <v>129.75</v>
      </c>
      <c r="I13" s="3">
        <v>141.3666666666395</v>
      </c>
      <c r="J13" s="3">
        <v>152.983333333279</v>
      </c>
      <c r="K13" s="3">
        <v>177.03333333326736</v>
      </c>
      <c r="L13" s="3">
        <v>201.23333333339542</v>
      </c>
      <c r="M13" s="4"/>
      <c r="N13" s="4"/>
      <c r="O13" s="4"/>
      <c r="P13" s="80"/>
      <c r="Q13" s="4"/>
      <c r="R13" s="4"/>
      <c r="S13" s="4"/>
      <c r="T13" s="4"/>
      <c r="U13" s="4"/>
      <c r="V13" s="4"/>
      <c r="W13" s="4"/>
      <c r="X13" s="4"/>
    </row>
    <row x14ac:dyDescent="0.25" r="14" customHeight="1" ht="18.75">
      <c r="A14" s="1" t="s">
        <v>1561</v>
      </c>
      <c r="B14" s="3">
        <v>21.616666666581295</v>
      </c>
      <c r="C14" s="3">
        <v>27.23333333339542</v>
      </c>
      <c r="D14" s="3">
        <v>34.56666666670935</v>
      </c>
      <c r="E14" s="3">
        <v>56.78333333332557</v>
      </c>
      <c r="F14" s="3">
        <v>80.83333333331393</v>
      </c>
      <c r="G14" s="3">
        <v>106.5</v>
      </c>
      <c r="H14" s="3">
        <v>129.79999999998836</v>
      </c>
      <c r="I14" s="3">
        <v>155.1166666665813</v>
      </c>
      <c r="J14" s="5"/>
      <c r="K14" s="5"/>
      <c r="L14" s="4"/>
      <c r="M14" s="4"/>
      <c r="N14" s="4"/>
      <c r="O14" s="4"/>
      <c r="P14" s="80"/>
      <c r="Q14" s="4"/>
      <c r="R14" s="4"/>
      <c r="S14" s="4"/>
      <c r="T14" s="4"/>
      <c r="U14" s="4"/>
      <c r="V14" s="4"/>
      <c r="W14" s="4"/>
      <c r="X14" s="4"/>
    </row>
    <row x14ac:dyDescent="0.25" r="15" customHeight="1" ht="18.75">
      <c r="A15" s="1" t="s">
        <v>1562</v>
      </c>
      <c r="B15" s="3">
        <v>20.166666666744277</v>
      </c>
      <c r="C15" s="3">
        <v>24.033333333267365</v>
      </c>
      <c r="D15" s="3">
        <v>57.433333333348855</v>
      </c>
      <c r="E15" s="6">
        <v>81</v>
      </c>
      <c r="F15" s="3">
        <v>105.14999999996508</v>
      </c>
      <c r="G15" s="3">
        <v>129.5000000000582</v>
      </c>
      <c r="H15" s="5"/>
      <c r="I15" s="5"/>
      <c r="J15" s="5"/>
      <c r="K15" s="5"/>
      <c r="L15" s="4"/>
      <c r="M15" s="4"/>
      <c r="N15" s="4"/>
      <c r="O15" s="4"/>
      <c r="P15" s="80"/>
      <c r="Q15" s="4"/>
      <c r="R15" s="4"/>
      <c r="S15" s="4"/>
      <c r="T15" s="4"/>
      <c r="U15" s="4"/>
      <c r="V15" s="4"/>
      <c r="W15" s="4"/>
      <c r="X15" s="4"/>
    </row>
    <row x14ac:dyDescent="0.25" r="16" customHeight="1" ht="18.75">
      <c r="A16" s="1" t="s">
        <v>1563</v>
      </c>
      <c r="B16" s="3">
        <v>15.316666666651145</v>
      </c>
      <c r="C16" s="3">
        <v>24.366666666639503</v>
      </c>
      <c r="D16" s="3">
        <v>33.06666666670935</v>
      </c>
      <c r="E16" s="3">
        <v>58.183333333348855</v>
      </c>
      <c r="F16" s="3">
        <v>81.45000000006985</v>
      </c>
      <c r="G16" s="3">
        <v>104.44999999995343</v>
      </c>
      <c r="H16" s="3">
        <v>129.78333333326736</v>
      </c>
      <c r="I16" s="5"/>
      <c r="J16" s="5"/>
      <c r="K16" s="5"/>
      <c r="L16" s="4"/>
      <c r="M16" s="4"/>
      <c r="N16" s="4"/>
      <c r="O16" s="4"/>
      <c r="P16" s="80"/>
      <c r="Q16" s="4"/>
      <c r="R16" s="4"/>
      <c r="S16" s="4"/>
      <c r="T16" s="4"/>
      <c r="U16" s="4"/>
      <c r="V16" s="4"/>
      <c r="W16" s="4"/>
      <c r="X16" s="4"/>
    </row>
    <row x14ac:dyDescent="0.25" r="17" customHeight="1" ht="18.75">
      <c r="A17" s="1" t="s">
        <v>1564</v>
      </c>
      <c r="B17" s="3">
        <v>16.599999999976717</v>
      </c>
      <c r="C17" s="3">
        <v>22.683333333407063</v>
      </c>
      <c r="D17" s="3">
        <v>34.183333333348855</v>
      </c>
      <c r="E17" s="3">
        <v>57.433333333348855</v>
      </c>
      <c r="F17" s="3">
        <v>57.50000000005821</v>
      </c>
      <c r="G17" s="3">
        <v>81.14999999996508</v>
      </c>
      <c r="H17" s="3">
        <v>105.50000000005821</v>
      </c>
      <c r="I17" s="5"/>
      <c r="J17" s="5"/>
      <c r="K17" s="5"/>
      <c r="L17" s="4"/>
      <c r="M17" s="4"/>
      <c r="N17" s="4"/>
      <c r="O17" s="4"/>
      <c r="P17" s="80"/>
      <c r="Q17" s="4"/>
      <c r="R17" s="4"/>
      <c r="S17" s="4"/>
      <c r="T17" s="4"/>
      <c r="U17" s="4"/>
      <c r="V17" s="4"/>
      <c r="W17" s="4"/>
      <c r="X17" s="4"/>
    </row>
    <row x14ac:dyDescent="0.25" r="18" customHeight="1" ht="18.75">
      <c r="A18" s="1" t="s">
        <v>1565</v>
      </c>
      <c r="B18" s="3">
        <v>6.0499999999883585</v>
      </c>
      <c r="C18" s="3">
        <v>9.86666666669771</v>
      </c>
      <c r="D18" s="3">
        <v>43.816666666651145</v>
      </c>
      <c r="E18" s="3">
        <v>66.93333333340706</v>
      </c>
      <c r="F18" s="3">
        <v>91.25000000005821</v>
      </c>
      <c r="G18" s="3">
        <v>116.233333333279</v>
      </c>
      <c r="H18" s="3">
        <v>140.1333333333023</v>
      </c>
      <c r="I18" s="3">
        <v>162.94999999995343</v>
      </c>
      <c r="J18" s="3">
        <v>170.76666666660458</v>
      </c>
      <c r="K18" s="3">
        <v>186.58333333331393</v>
      </c>
      <c r="L18" s="3">
        <v>211.0999999999185</v>
      </c>
      <c r="M18" s="4"/>
      <c r="N18" s="4"/>
      <c r="O18" s="4"/>
      <c r="P18" s="80"/>
      <c r="Q18" s="4"/>
      <c r="R18" s="4"/>
      <c r="S18" s="4"/>
      <c r="T18" s="4"/>
      <c r="U18" s="4"/>
      <c r="V18" s="4"/>
      <c r="W18" s="4"/>
      <c r="X18" s="4"/>
    </row>
    <row x14ac:dyDescent="0.25" r="19" customHeight="1" ht="18.75">
      <c r="A19" s="1" t="s">
        <v>1566</v>
      </c>
      <c r="B19" s="3">
        <v>8.53333333338378</v>
      </c>
      <c r="C19" s="3">
        <v>13.566666666709352</v>
      </c>
      <c r="D19" s="3">
        <v>24.816666666709352</v>
      </c>
      <c r="E19" s="3">
        <v>48.16666666668607</v>
      </c>
      <c r="F19" s="3">
        <v>71.48333333339542</v>
      </c>
      <c r="G19" s="3">
        <v>94.91666666680248</v>
      </c>
      <c r="H19" s="3">
        <v>119.25</v>
      </c>
      <c r="I19" s="3">
        <v>143.66666666680248</v>
      </c>
      <c r="J19" s="5"/>
      <c r="K19" s="5"/>
      <c r="L19" s="4"/>
      <c r="M19" s="4"/>
      <c r="N19" s="4"/>
      <c r="O19" s="4"/>
      <c r="P19" s="80"/>
      <c r="Q19" s="4"/>
      <c r="R19" s="4"/>
      <c r="S19" s="4"/>
      <c r="T19" s="4"/>
      <c r="U19" s="4"/>
      <c r="V19" s="4"/>
      <c r="W19" s="4"/>
      <c r="X19" s="4"/>
    </row>
    <row x14ac:dyDescent="0.25" r="20" customHeight="1" ht="18.75">
      <c r="A20" s="1" t="s">
        <v>1567</v>
      </c>
      <c r="B20" s="3">
        <v>12.666666666744277</v>
      </c>
      <c r="C20" s="3">
        <v>16.84999999991851</v>
      </c>
      <c r="D20" s="3">
        <v>32.75000000005821</v>
      </c>
      <c r="E20" s="5"/>
      <c r="F20" s="5"/>
      <c r="G20" s="5"/>
      <c r="H20" s="5"/>
      <c r="I20" s="5"/>
      <c r="J20" s="5"/>
      <c r="K20" s="5"/>
      <c r="L20" s="4"/>
      <c r="M20" s="4"/>
      <c r="N20" s="4"/>
      <c r="O20" s="4"/>
      <c r="P20" s="80"/>
      <c r="Q20" s="4"/>
      <c r="R20" s="4"/>
      <c r="S20" s="4"/>
      <c r="T20" s="4"/>
      <c r="U20" s="4"/>
      <c r="V20" s="4"/>
      <c r="W20" s="4"/>
      <c r="X20" s="4"/>
    </row>
    <row x14ac:dyDescent="0.25" r="21" customHeight="1" ht="18.75">
      <c r="A21" s="1" t="s">
        <v>1568</v>
      </c>
      <c r="B21" s="3">
        <v>20.533333333333335</v>
      </c>
      <c r="C21" s="3">
        <v>31.566666666666666</v>
      </c>
      <c r="D21" s="3">
        <v>54.85000000000001</v>
      </c>
      <c r="E21" s="3">
        <v>78.65</v>
      </c>
      <c r="F21" s="3">
        <v>101.61666666666666</v>
      </c>
      <c r="G21" s="5"/>
      <c r="H21" s="5"/>
      <c r="I21" s="5"/>
      <c r="J21" s="5"/>
      <c r="K21" s="5"/>
      <c r="L21" s="4"/>
      <c r="M21" s="4"/>
      <c r="N21" s="4"/>
      <c r="O21" s="4"/>
      <c r="P21" s="80"/>
      <c r="Q21" s="4"/>
      <c r="R21" s="4"/>
      <c r="S21" s="4"/>
      <c r="T21" s="4"/>
      <c r="U21" s="4"/>
      <c r="V21" s="4"/>
      <c r="W21" s="4"/>
      <c r="X21" s="4"/>
    </row>
    <row x14ac:dyDescent="0.25" r="22" customHeight="1" ht="18.75">
      <c r="A22" s="1" t="s">
        <v>1569</v>
      </c>
      <c r="B22" s="3">
        <v>16.949999999895226</v>
      </c>
      <c r="C22" s="3">
        <v>24.04999999998836</v>
      </c>
      <c r="D22" s="3">
        <v>39.949999999953434</v>
      </c>
      <c r="E22" s="3">
        <v>64.98333333333721</v>
      </c>
      <c r="F22" s="3">
        <v>89.04999999987194</v>
      </c>
      <c r="G22" s="3">
        <v>113.34999999997672</v>
      </c>
      <c r="H22" s="3">
        <v>137.18333333329065</v>
      </c>
      <c r="I22" s="3">
        <v>143.8666666665813</v>
      </c>
      <c r="J22" s="3">
        <v>160.33333333331393</v>
      </c>
      <c r="K22" s="3">
        <v>185.64999999990687</v>
      </c>
      <c r="L22" s="3">
        <v>209.25</v>
      </c>
      <c r="M22" s="3">
        <v>233.8666666665813</v>
      </c>
      <c r="N22" s="4"/>
      <c r="O22" s="4"/>
      <c r="P22" s="80"/>
      <c r="Q22" s="4"/>
      <c r="R22" s="4"/>
      <c r="S22" s="4"/>
      <c r="T22" s="4"/>
      <c r="U22" s="4"/>
      <c r="V22" s="4"/>
      <c r="W22" s="4"/>
      <c r="X22" s="4"/>
    </row>
    <row x14ac:dyDescent="0.25" r="23" customHeight="1" ht="18.75">
      <c r="A23" s="1" t="s">
        <v>1570</v>
      </c>
      <c r="B23" s="3">
        <v>8.600000000093132</v>
      </c>
      <c r="C23" s="3">
        <v>13.400000000023283</v>
      </c>
      <c r="D23" s="3">
        <v>24.716666666732635</v>
      </c>
      <c r="E23" s="3">
        <v>48.35000000009313</v>
      </c>
      <c r="F23" s="3">
        <v>72.11666666669771</v>
      </c>
      <c r="G23" s="3">
        <v>95.33333333343035</v>
      </c>
      <c r="H23" s="3">
        <v>120.48333333333721</v>
      </c>
      <c r="I23" s="5"/>
      <c r="J23" s="5"/>
      <c r="K23" s="5"/>
      <c r="L23" s="4"/>
      <c r="M23" s="4"/>
      <c r="N23" s="4"/>
      <c r="O23" s="4"/>
      <c r="P23" s="80"/>
      <c r="Q23" s="4"/>
      <c r="R23" s="4"/>
      <c r="S23" s="4"/>
      <c r="T23" s="4"/>
      <c r="U23" s="4"/>
      <c r="V23" s="4"/>
      <c r="W23" s="4"/>
      <c r="X23" s="4"/>
    </row>
    <row x14ac:dyDescent="0.25" r="24" customHeight="1" ht="18.75">
      <c r="A24" s="1" t="s">
        <v>1571</v>
      </c>
      <c r="B24" s="3">
        <v>4.933333333348855</v>
      </c>
      <c r="C24" s="3">
        <v>13.90000000008149</v>
      </c>
      <c r="D24" s="3">
        <v>21.600000000034925</v>
      </c>
      <c r="E24" s="3">
        <v>37.04999999993015</v>
      </c>
      <c r="F24" s="3">
        <v>61.350000000034925</v>
      </c>
      <c r="G24" s="3">
        <v>84.98333333339542</v>
      </c>
      <c r="H24" s="3">
        <v>97.59999999997672</v>
      </c>
      <c r="I24" s="3">
        <v>108.33333333337214</v>
      </c>
      <c r="J24" s="5"/>
      <c r="K24" s="5"/>
      <c r="L24" s="4"/>
      <c r="M24" s="4"/>
      <c r="N24" s="4"/>
      <c r="O24" s="4"/>
      <c r="P24" s="80"/>
      <c r="Q24" s="4"/>
      <c r="R24" s="4"/>
      <c r="S24" s="4"/>
      <c r="T24" s="4"/>
      <c r="U24" s="4"/>
      <c r="V24" s="4"/>
      <c r="W24" s="4"/>
      <c r="X24" s="4"/>
    </row>
    <row x14ac:dyDescent="0.25" r="25" customHeight="1" ht="18.75">
      <c r="A25" s="1" t="s">
        <v>1572</v>
      </c>
      <c r="B25" s="3">
        <v>14.449999999953434</v>
      </c>
      <c r="C25" s="3">
        <v>17.71666666661622</v>
      </c>
      <c r="D25" s="3">
        <v>30.616666666581295</v>
      </c>
      <c r="E25" s="3">
        <v>55.766666666662786</v>
      </c>
      <c r="F25" s="3">
        <v>79.69999999995343</v>
      </c>
      <c r="G25" s="3">
        <v>103.69999999995343</v>
      </c>
      <c r="H25" s="3">
        <v>127.38333333330229</v>
      </c>
      <c r="I25" s="3">
        <v>151.78333333320916</v>
      </c>
      <c r="J25" s="5"/>
      <c r="K25" s="5"/>
      <c r="L25" s="4"/>
      <c r="M25" s="4"/>
      <c r="N25" s="4"/>
      <c r="O25" s="4"/>
      <c r="P25" s="80"/>
      <c r="Q25" s="4"/>
      <c r="R25" s="4"/>
      <c r="S25" s="4"/>
      <c r="T25" s="4"/>
      <c r="U25" s="4"/>
      <c r="V25" s="4"/>
      <c r="W25" s="4"/>
      <c r="X25" s="4"/>
    </row>
    <row x14ac:dyDescent="0.25" r="26" customHeight="1" ht="18.75">
      <c r="A26" s="1" t="s">
        <v>1573</v>
      </c>
      <c r="B26" s="3">
        <v>7.599999999976717</v>
      </c>
      <c r="C26" s="3">
        <v>12.63333333330229</v>
      </c>
      <c r="D26" s="3">
        <v>23.71666666661622</v>
      </c>
      <c r="E26" s="3">
        <v>47.34999999997672</v>
      </c>
      <c r="F26" s="3">
        <v>70.98333333333721</v>
      </c>
      <c r="G26" s="3">
        <v>95.46666666667443</v>
      </c>
      <c r="H26" s="3">
        <v>102.6166666665813</v>
      </c>
      <c r="I26" s="3">
        <v>119.04999999987194</v>
      </c>
      <c r="J26" s="3">
        <v>143.25</v>
      </c>
      <c r="K26" s="3">
        <v>168.2499999999418</v>
      </c>
      <c r="L26" s="4"/>
      <c r="M26" s="4"/>
      <c r="N26" s="4"/>
      <c r="O26" s="4"/>
      <c r="P26" s="80"/>
      <c r="Q26" s="4"/>
      <c r="R26" s="4"/>
      <c r="S26" s="4"/>
      <c r="T26" s="4"/>
      <c r="U26" s="4"/>
      <c r="V26" s="4"/>
      <c r="W26" s="4"/>
      <c r="X26" s="4"/>
    </row>
    <row x14ac:dyDescent="0.25" r="27" customHeight="1" ht="18.75">
      <c r="A27" s="1" t="s">
        <v>1574</v>
      </c>
      <c r="B27" s="3">
        <v>8.53333333338378</v>
      </c>
      <c r="C27" s="3">
        <v>13.566666666709352</v>
      </c>
      <c r="D27" s="3">
        <v>24.816666666709352</v>
      </c>
      <c r="E27" s="3">
        <v>48.16666666668607</v>
      </c>
      <c r="F27" s="3">
        <v>71.48333333339542</v>
      </c>
      <c r="G27" s="3">
        <v>94.91666666680248</v>
      </c>
      <c r="H27" s="3">
        <v>119.25</v>
      </c>
      <c r="I27" s="3">
        <v>143.66666666680248</v>
      </c>
      <c r="J27" s="5"/>
      <c r="K27" s="5"/>
      <c r="L27" s="4"/>
      <c r="M27" s="4"/>
      <c r="N27" s="4"/>
      <c r="O27" s="4"/>
      <c r="P27" s="80"/>
      <c r="Q27" s="4"/>
      <c r="R27" s="4"/>
      <c r="S27" s="4"/>
      <c r="T27" s="4"/>
      <c r="U27" s="4"/>
      <c r="V27" s="4"/>
      <c r="W27" s="4"/>
      <c r="X27" s="4"/>
    </row>
    <row x14ac:dyDescent="0.25" r="28" customHeight="1" ht="18.75">
      <c r="A28" s="1" t="s">
        <v>1575</v>
      </c>
      <c r="B28" s="3">
        <v>5.866666666755918</v>
      </c>
      <c r="C28" s="3">
        <v>7.816666666651145</v>
      </c>
      <c r="D28" s="3">
        <v>18.716666666732635</v>
      </c>
      <c r="E28" s="3">
        <v>42.016666666720994</v>
      </c>
      <c r="F28" s="3">
        <v>65.86666666675592</v>
      </c>
      <c r="G28" s="3">
        <v>98.73333333333721</v>
      </c>
      <c r="H28" s="3">
        <v>114.3666666666395</v>
      </c>
      <c r="I28" s="3">
        <v>137.33333333343035</v>
      </c>
      <c r="J28" s="5"/>
      <c r="K28" s="5"/>
      <c r="L28" s="4"/>
      <c r="M28" s="4"/>
      <c r="N28" s="4"/>
      <c r="O28" s="4"/>
      <c r="P28" s="80"/>
      <c r="Q28" s="4"/>
      <c r="R28" s="4"/>
      <c r="S28" s="4"/>
      <c r="T28" s="4"/>
      <c r="U28" s="4"/>
      <c r="V28" s="4"/>
      <c r="W28" s="4"/>
      <c r="X28" s="4"/>
    </row>
    <row x14ac:dyDescent="0.25" r="29" customHeight="1" ht="18.75">
      <c r="A29" s="1" t="s">
        <v>1576</v>
      </c>
      <c r="B29" s="3">
        <v>31.649999999965075</v>
      </c>
      <c r="C29" s="3">
        <v>36.449999999895226</v>
      </c>
      <c r="D29" s="3">
        <v>49.51666666654637</v>
      </c>
      <c r="E29" s="3">
        <v>71.69999999989523</v>
      </c>
      <c r="F29" s="3">
        <v>73.04999999993015</v>
      </c>
      <c r="G29" s="5"/>
      <c r="H29" s="5"/>
      <c r="I29" s="5"/>
      <c r="J29" s="5"/>
      <c r="K29" s="5"/>
      <c r="L29" s="4"/>
      <c r="M29" s="4"/>
      <c r="N29" s="4"/>
      <c r="O29" s="4"/>
      <c r="P29" s="80"/>
      <c r="Q29" s="4"/>
      <c r="R29" s="4"/>
      <c r="S29" s="4"/>
      <c r="T29" s="4"/>
      <c r="U29" s="4"/>
      <c r="V29" s="4"/>
      <c r="W29" s="4"/>
      <c r="X29" s="4"/>
    </row>
    <row x14ac:dyDescent="0.25" r="30" customHeight="1" ht="18.75">
      <c r="A30" s="1" t="s">
        <v>1577</v>
      </c>
      <c r="B30" s="3">
        <v>16.383333333333333</v>
      </c>
      <c r="C30" s="3">
        <v>35.233333333279006</v>
      </c>
      <c r="D30" s="3">
        <v>50.699999999895226</v>
      </c>
      <c r="E30" s="3">
        <v>77.78333333332557</v>
      </c>
      <c r="F30" s="3">
        <v>99.08333333325572</v>
      </c>
      <c r="G30" s="3">
        <v>122.46666666667443</v>
      </c>
      <c r="H30" s="3">
        <v>148.3666666665813</v>
      </c>
      <c r="I30" s="3">
        <v>169.59999999997672</v>
      </c>
      <c r="J30" s="3">
        <v>194.81666666659294</v>
      </c>
      <c r="K30" s="5"/>
      <c r="L30" s="4"/>
      <c r="M30" s="4"/>
      <c r="N30" s="4"/>
      <c r="O30" s="4"/>
      <c r="P30" s="80"/>
      <c r="Q30" s="4"/>
      <c r="R30" s="4"/>
      <c r="S30" s="4"/>
      <c r="T30" s="4"/>
      <c r="U30" s="4"/>
      <c r="V30" s="4"/>
      <c r="W30" s="4"/>
      <c r="X30" s="4"/>
    </row>
    <row x14ac:dyDescent="0.25" r="31" customHeight="1" ht="18.75">
      <c r="A31" s="1" t="s">
        <v>1578</v>
      </c>
      <c r="B31" s="3">
        <v>9.200000000128057</v>
      </c>
      <c r="C31" s="3">
        <v>21.45000000006985</v>
      </c>
      <c r="D31" s="3">
        <v>40.85000000009313</v>
      </c>
      <c r="E31" s="3">
        <v>68.23333333345363</v>
      </c>
      <c r="F31" s="3">
        <v>90.55000000004657</v>
      </c>
      <c r="G31" s="3">
        <v>113.51666666666279</v>
      </c>
      <c r="H31" s="3">
        <v>114.48333333333721</v>
      </c>
      <c r="I31" s="3">
        <v>123.766666666721</v>
      </c>
      <c r="J31" s="3">
        <v>138.41666666680248</v>
      </c>
      <c r="K31" s="3">
        <v>161.86666666675592</v>
      </c>
      <c r="L31" s="3">
        <v>189.56666666676756</v>
      </c>
      <c r="M31" s="4"/>
      <c r="N31" s="4"/>
      <c r="O31" s="4"/>
      <c r="P31" s="80"/>
      <c r="Q31" s="4"/>
      <c r="R31" s="4"/>
      <c r="S31" s="4"/>
      <c r="T31" s="4"/>
      <c r="U31" s="4"/>
      <c r="V31" s="4"/>
      <c r="W31" s="4"/>
      <c r="X31" s="4"/>
    </row>
    <row x14ac:dyDescent="0.25" r="32" customHeight="1" ht="18.75">
      <c r="A32" s="1" t="s">
        <v>1579</v>
      </c>
      <c r="B32" s="3">
        <v>2.516666666662786</v>
      </c>
      <c r="C32" s="3">
        <v>16.84999999991851</v>
      </c>
      <c r="D32" s="3">
        <v>38.683333333348855</v>
      </c>
      <c r="E32" s="3">
        <v>45.483333333337214</v>
      </c>
      <c r="F32" s="3">
        <v>65.95000000001164</v>
      </c>
      <c r="G32" s="3">
        <v>85.96666666661622</v>
      </c>
      <c r="H32" s="3">
        <v>111.58333333331393</v>
      </c>
      <c r="I32" s="3">
        <v>134.91666666674428</v>
      </c>
      <c r="J32" s="5"/>
      <c r="K32" s="5"/>
      <c r="L32" s="4"/>
      <c r="M32" s="4"/>
      <c r="N32" s="4"/>
      <c r="O32" s="4"/>
      <c r="P32" s="80"/>
      <c r="Q32" s="4"/>
      <c r="R32" s="4"/>
      <c r="S32" s="4"/>
      <c r="T32" s="4"/>
      <c r="U32" s="4"/>
      <c r="V32" s="4"/>
      <c r="W32" s="4"/>
      <c r="X32" s="4"/>
    </row>
    <row x14ac:dyDescent="0.25" r="33" customHeight="1" ht="18.75">
      <c r="A33" s="1" t="s">
        <v>1580</v>
      </c>
      <c r="B33" s="3">
        <v>6.183333333407063</v>
      </c>
      <c r="C33" s="3">
        <v>11.850000000034925</v>
      </c>
      <c r="D33" s="3">
        <v>19.850000000093132</v>
      </c>
      <c r="E33" s="3">
        <v>46.000000000116415</v>
      </c>
      <c r="F33" s="3">
        <v>78.83333333343035</v>
      </c>
      <c r="G33" s="3">
        <v>92.51666666666279</v>
      </c>
      <c r="H33" s="3">
        <v>117.11666666669771</v>
      </c>
      <c r="I33" s="5"/>
      <c r="J33" s="5"/>
      <c r="K33" s="5"/>
      <c r="L33" s="4"/>
      <c r="M33" s="4"/>
      <c r="N33" s="4"/>
      <c r="O33" s="4"/>
      <c r="P33" s="80"/>
      <c r="Q33" s="4"/>
      <c r="R33" s="4"/>
      <c r="S33" s="4"/>
      <c r="T33" s="4"/>
      <c r="U33" s="4"/>
      <c r="V33" s="4"/>
      <c r="W33" s="4"/>
      <c r="X33" s="4"/>
    </row>
    <row x14ac:dyDescent="0.25" r="34" customHeight="1" ht="18.75">
      <c r="A34" s="1" t="s">
        <v>1581</v>
      </c>
      <c r="B34" s="3">
        <v>102.3833333333605</v>
      </c>
      <c r="C34" s="3">
        <v>108.3666666666395</v>
      </c>
      <c r="D34" s="3">
        <v>120.5166666667792</v>
      </c>
      <c r="E34" s="3">
        <v>132.60000000003492</v>
      </c>
      <c r="F34" s="3">
        <v>143.283333333442</v>
      </c>
      <c r="G34" s="3">
        <v>168.73333333345363</v>
      </c>
      <c r="H34" s="3">
        <v>193.58333333343035</v>
      </c>
      <c r="I34" s="5"/>
      <c r="J34" s="5"/>
      <c r="K34" s="5"/>
      <c r="L34" s="4"/>
      <c r="M34" s="4"/>
      <c r="N34" s="4"/>
      <c r="O34" s="4"/>
      <c r="P34" s="80"/>
      <c r="Q34" s="4"/>
      <c r="R34" s="4"/>
      <c r="S34" s="4"/>
      <c r="T34" s="4"/>
      <c r="U34" s="4"/>
      <c r="V34" s="4"/>
      <c r="W34" s="4"/>
      <c r="X34" s="4"/>
    </row>
    <row x14ac:dyDescent="0.25" r="35" customHeight="1" ht="18.75">
      <c r="A35" s="1" t="s">
        <v>1582</v>
      </c>
      <c r="B35" s="3">
        <v>4.05</v>
      </c>
      <c r="C35" s="3">
        <v>14.116666666755918</v>
      </c>
      <c r="D35" s="3">
        <v>20.616666666639503</v>
      </c>
      <c r="E35" s="3">
        <v>37.2666666667792</v>
      </c>
      <c r="F35" s="3">
        <v>60.03333333344199</v>
      </c>
      <c r="G35" s="3">
        <v>85.8833333333605</v>
      </c>
      <c r="H35" s="3">
        <v>110.15000000002328</v>
      </c>
      <c r="I35" s="3">
        <v>133.8833333333605</v>
      </c>
      <c r="J35" s="5"/>
      <c r="K35" s="5"/>
      <c r="L35" s="4"/>
      <c r="M35" s="4"/>
      <c r="N35" s="4"/>
      <c r="O35" s="4"/>
      <c r="P35" s="80"/>
      <c r="Q35" s="4"/>
      <c r="R35" s="4"/>
      <c r="S35" s="4"/>
      <c r="T35" s="4"/>
      <c r="U35" s="4"/>
      <c r="V35" s="4"/>
      <c r="W35" s="4"/>
      <c r="X35" s="4"/>
    </row>
    <row x14ac:dyDescent="0.25" r="36" customHeight="1" ht="18.75">
      <c r="A36" s="1" t="s">
        <v>1583</v>
      </c>
      <c r="B36" s="3">
        <v>36.733333333279006</v>
      </c>
      <c r="C36" s="3">
        <v>41.08333333331393</v>
      </c>
      <c r="D36" s="3">
        <v>57.616666666581295</v>
      </c>
      <c r="E36" s="3">
        <v>82.8666666666395</v>
      </c>
      <c r="F36" s="3">
        <v>107.233333333279</v>
      </c>
      <c r="G36" s="3">
        <v>130.21666666661622</v>
      </c>
      <c r="H36" s="3">
        <v>153.81666666670935</v>
      </c>
      <c r="I36" s="5"/>
      <c r="J36" s="5"/>
      <c r="K36" s="5"/>
      <c r="L36" s="4"/>
      <c r="M36" s="4"/>
      <c r="N36" s="4"/>
      <c r="O36" s="4"/>
      <c r="P36" s="80"/>
      <c r="Q36" s="4"/>
      <c r="R36" s="4"/>
      <c r="S36" s="4"/>
      <c r="T36" s="4"/>
      <c r="U36" s="4"/>
      <c r="V36" s="4"/>
      <c r="W36" s="4"/>
      <c r="X36" s="4"/>
    </row>
    <row x14ac:dyDescent="0.25" r="37" customHeight="1" ht="18.75">
      <c r="A37" s="1" t="s">
        <v>1584</v>
      </c>
      <c r="B37" s="3">
        <v>6.766666666720994</v>
      </c>
      <c r="C37" s="3">
        <v>13.133333333360497</v>
      </c>
      <c r="D37" s="3">
        <v>24.500000000058208</v>
      </c>
      <c r="E37" s="3">
        <v>48.23333333339542</v>
      </c>
      <c r="F37" s="3">
        <v>74.05000000004657</v>
      </c>
      <c r="G37" s="3">
        <v>95.48333333339542</v>
      </c>
      <c r="H37" s="3">
        <v>119.08333333331393</v>
      </c>
      <c r="I37" s="3">
        <v>143.33333333343035</v>
      </c>
      <c r="J37" s="5"/>
      <c r="K37" s="5"/>
      <c r="L37" s="4"/>
      <c r="M37" s="4"/>
      <c r="N37" s="4"/>
      <c r="O37" s="4"/>
      <c r="P37" s="80"/>
      <c r="Q37" s="4"/>
      <c r="R37" s="4"/>
      <c r="S37" s="4"/>
      <c r="T37" s="4"/>
      <c r="U37" s="4"/>
      <c r="V37" s="4"/>
      <c r="W37" s="4"/>
      <c r="X37" s="4"/>
    </row>
    <row x14ac:dyDescent="0.25" r="38" customHeight="1" ht="18.75">
      <c r="A38" s="1" t="s">
        <v>1585</v>
      </c>
      <c r="B38" s="3">
        <v>31.33333333331393</v>
      </c>
      <c r="C38" s="3">
        <v>36.50000000005821</v>
      </c>
      <c r="D38" s="3">
        <v>40.91666666662786</v>
      </c>
      <c r="E38" s="3">
        <v>46.59999999997672</v>
      </c>
      <c r="F38" s="3">
        <v>58.1166666666395</v>
      </c>
      <c r="G38" s="3">
        <v>81.3666666666395</v>
      </c>
      <c r="H38" s="3">
        <v>106.23333333333721</v>
      </c>
      <c r="I38" s="3">
        <v>130.8833333333605</v>
      </c>
      <c r="J38" s="3">
        <v>154.43333333329065</v>
      </c>
      <c r="K38" s="3">
        <v>177.766666666721</v>
      </c>
      <c r="L38" s="4"/>
      <c r="M38" s="4"/>
      <c r="N38" s="4"/>
      <c r="O38" s="4"/>
      <c r="P38" s="80"/>
      <c r="Q38" s="4"/>
      <c r="R38" s="4"/>
      <c r="S38" s="4"/>
      <c r="T38" s="4"/>
      <c r="U38" s="4"/>
      <c r="V38" s="4"/>
      <c r="W38" s="4"/>
      <c r="X38" s="4"/>
    </row>
    <row x14ac:dyDescent="0.25" r="39" customHeight="1" ht="18.75">
      <c r="A39" s="1" t="s">
        <v>1586</v>
      </c>
      <c r="B39" s="3">
        <v>7.599999999976717</v>
      </c>
      <c r="C39" s="3">
        <v>11.333333333255723</v>
      </c>
      <c r="D39" s="3">
        <v>18.733333333279006</v>
      </c>
      <c r="E39" s="3">
        <v>43.233333333337214</v>
      </c>
      <c r="F39" s="3">
        <v>67.8833333333605</v>
      </c>
      <c r="G39" s="3">
        <v>91.26666666660458</v>
      </c>
      <c r="H39" s="3">
        <v>114.56666666659294</v>
      </c>
      <c r="I39" s="5"/>
      <c r="J39" s="5"/>
      <c r="K39" s="5"/>
      <c r="L39" s="4"/>
      <c r="M39" s="4"/>
      <c r="N39" s="4"/>
      <c r="O39" s="4"/>
      <c r="P39" s="80"/>
      <c r="Q39" s="4"/>
      <c r="R39" s="4"/>
      <c r="S39" s="4"/>
      <c r="T39" s="4"/>
      <c r="U39" s="4"/>
      <c r="V39" s="4"/>
      <c r="W39" s="4"/>
      <c r="X39" s="4"/>
    </row>
    <row x14ac:dyDescent="0.25" r="40" customHeight="1" ht="18.75">
      <c r="A40" s="1" t="s">
        <v>1587</v>
      </c>
      <c r="B40" s="3">
        <v>28.26666666660458</v>
      </c>
      <c r="C40" s="3">
        <v>34.56666666666667</v>
      </c>
      <c r="D40" s="3">
        <v>60.55</v>
      </c>
      <c r="E40" s="3">
        <v>83.46666666666667</v>
      </c>
      <c r="F40" s="3">
        <v>106.88333333333334</v>
      </c>
      <c r="G40" s="3">
        <v>133.65</v>
      </c>
      <c r="H40" s="3">
        <v>155.5</v>
      </c>
      <c r="I40" s="3">
        <v>177.16666666666666</v>
      </c>
      <c r="J40" s="5"/>
      <c r="K40" s="5"/>
      <c r="L40" s="4"/>
      <c r="M40" s="4"/>
      <c r="N40" s="4"/>
      <c r="O40" s="4"/>
      <c r="P40" s="80"/>
      <c r="Q40" s="4"/>
      <c r="R40" s="4"/>
      <c r="S40" s="4"/>
      <c r="T40" s="4"/>
      <c r="U40" s="4"/>
      <c r="V40" s="4"/>
      <c r="W40" s="4"/>
      <c r="X40" s="4"/>
    </row>
    <row x14ac:dyDescent="0.25" r="41" customHeight="1" ht="18.75">
      <c r="A41" s="1" t="s">
        <v>1435</v>
      </c>
      <c r="B41" s="3">
        <v>4.099999999918509</v>
      </c>
      <c r="C41" s="3">
        <v>10.300000000046566</v>
      </c>
      <c r="D41" s="3">
        <v>24.650000000023283</v>
      </c>
      <c r="E41" s="3">
        <v>48.46666666661622</v>
      </c>
      <c r="F41" s="3">
        <v>71.96666666673264</v>
      </c>
      <c r="G41" s="3">
        <v>96.8833333334187</v>
      </c>
      <c r="H41" s="3">
        <v>105.60000000003492</v>
      </c>
      <c r="I41" s="3">
        <v>121.08333333337214</v>
      </c>
      <c r="J41" s="3">
        <v>168.58333333331393</v>
      </c>
      <c r="K41" s="3">
        <v>193.483333333279</v>
      </c>
      <c r="L41" s="3">
        <v>217.43333333329065</v>
      </c>
      <c r="M41" s="3">
        <v>242.06666666659294</v>
      </c>
      <c r="N41" s="3"/>
      <c r="O41" s="3"/>
      <c r="P41" s="80"/>
      <c r="Q41" s="4"/>
      <c r="R41" s="4"/>
      <c r="S41" s="4"/>
      <c r="T41" s="4"/>
      <c r="U41" s="4"/>
      <c r="V41" s="4"/>
      <c r="W41" s="4"/>
      <c r="X41" s="4"/>
    </row>
    <row x14ac:dyDescent="0.25" r="42" customHeight="1" ht="18.75">
      <c r="A42" s="1" t="s">
        <v>1436</v>
      </c>
      <c r="B42" s="3">
        <v>8.516666666662786</v>
      </c>
      <c r="C42" s="3">
        <v>15.366666666639503</v>
      </c>
      <c r="D42" s="3">
        <v>21.88333333324408</v>
      </c>
      <c r="E42" s="3">
        <v>39.266666666662786</v>
      </c>
      <c r="F42" s="3">
        <v>63.99999999994179</v>
      </c>
      <c r="G42" s="3">
        <v>85.33333333331393</v>
      </c>
      <c r="H42" s="3">
        <v>93.75</v>
      </c>
      <c r="I42" s="3">
        <v>109.46666666655801</v>
      </c>
      <c r="J42" s="3">
        <v>133.18333333334886</v>
      </c>
      <c r="K42" s="3">
        <v>157.78333333320916</v>
      </c>
      <c r="L42" s="3">
        <v>182.26666666654637</v>
      </c>
      <c r="M42" s="3">
        <v>206.53333333320916</v>
      </c>
      <c r="N42" s="3">
        <v>229.7499999999418</v>
      </c>
      <c r="O42" s="3">
        <v>254.41666666668607</v>
      </c>
      <c r="P42" s="80"/>
      <c r="Q42" s="4"/>
      <c r="R42" s="4"/>
      <c r="S42" s="4"/>
      <c r="T42" s="4"/>
      <c r="U42" s="4"/>
      <c r="V42" s="4"/>
      <c r="W42" s="4"/>
      <c r="X42" s="4"/>
    </row>
    <row x14ac:dyDescent="0.25" r="43" customHeight="1" ht="18.75">
      <c r="A43" s="1" t="s">
        <v>1437</v>
      </c>
      <c r="B43" s="3">
        <v>4.183333333348855</v>
      </c>
      <c r="C43" s="3">
        <v>8.616666666639503</v>
      </c>
      <c r="D43" s="3">
        <v>16.983333333337214</v>
      </c>
      <c r="E43" s="3">
        <v>41.4833333332208</v>
      </c>
      <c r="F43" s="3">
        <v>65.43333333323244</v>
      </c>
      <c r="G43" s="3">
        <v>89.43333333323244</v>
      </c>
      <c r="H43" s="3">
        <v>113.25</v>
      </c>
      <c r="I43" s="3">
        <v>159.93333333323244</v>
      </c>
      <c r="J43" s="3">
        <v>185.68333333334886</v>
      </c>
      <c r="K43" s="3">
        <v>211.21666666661622</v>
      </c>
      <c r="L43" s="3"/>
      <c r="M43" s="3"/>
      <c r="N43" s="3"/>
      <c r="O43" s="3"/>
      <c r="P43" s="80"/>
      <c r="Q43" s="4"/>
      <c r="R43" s="4"/>
      <c r="S43" s="4"/>
      <c r="T43" s="4"/>
      <c r="U43" s="4"/>
      <c r="V43" s="4"/>
      <c r="W43" s="4"/>
      <c r="X43" s="4"/>
    </row>
    <row x14ac:dyDescent="0.25" r="44" customHeight="1" ht="18.75">
      <c r="A44" s="1" t="s">
        <v>1438</v>
      </c>
      <c r="B44" s="3">
        <v>5.833333333313931</v>
      </c>
      <c r="C44" s="3">
        <v>13.183333333348855</v>
      </c>
      <c r="D44" s="3">
        <v>20.466666666674428</v>
      </c>
      <c r="E44" s="3">
        <v>37.59999999997672</v>
      </c>
      <c r="F44" s="3">
        <v>61.03333333338378</v>
      </c>
      <c r="G44" s="3">
        <v>84.60000000003492</v>
      </c>
      <c r="H44" s="3">
        <v>108.09999999997672</v>
      </c>
      <c r="I44" s="3">
        <v>132.28333333338378</v>
      </c>
      <c r="J44" s="3">
        <v>157.31666666659294</v>
      </c>
      <c r="K44" s="3"/>
      <c r="L44" s="3"/>
      <c r="M44" s="3"/>
      <c r="N44" s="3"/>
      <c r="O44" s="3"/>
      <c r="P44" s="80"/>
      <c r="Q44" s="4"/>
      <c r="R44" s="4"/>
      <c r="S44" s="4"/>
      <c r="T44" s="4"/>
      <c r="U44" s="4"/>
      <c r="V44" s="4"/>
      <c r="W44" s="4"/>
      <c r="X44" s="4"/>
    </row>
    <row x14ac:dyDescent="0.25" r="45" customHeight="1" ht="18.75">
      <c r="A45" s="1" t="s">
        <v>1439</v>
      </c>
      <c r="B45" s="3">
        <v>5.433333333407063</v>
      </c>
      <c r="C45" s="3">
        <v>9.16666666668607</v>
      </c>
      <c r="D45" s="3">
        <v>18.766666666720994</v>
      </c>
      <c r="E45" s="3">
        <v>28.116666666639503</v>
      </c>
      <c r="F45" s="3">
        <v>42.04999999998836</v>
      </c>
      <c r="G45" s="3">
        <v>66.766666666721</v>
      </c>
      <c r="H45" s="3">
        <v>74.39999999996508</v>
      </c>
      <c r="I45" s="3">
        <v>90.08333333325572</v>
      </c>
      <c r="J45" s="3">
        <v>115.1166666666395</v>
      </c>
      <c r="K45" s="3"/>
      <c r="L45" s="3"/>
      <c r="M45" s="3"/>
      <c r="N45" s="3"/>
      <c r="O45" s="3"/>
      <c r="P45" s="80"/>
      <c r="Q45" s="4"/>
      <c r="R45" s="4"/>
      <c r="S45" s="4"/>
      <c r="T45" s="4"/>
      <c r="U45" s="4"/>
      <c r="V45" s="4"/>
      <c r="W45" s="4"/>
      <c r="X45" s="4"/>
    </row>
    <row x14ac:dyDescent="0.25" r="46" customHeight="1" ht="18.75">
      <c r="A46" s="1" t="s">
        <v>1440</v>
      </c>
      <c r="B46" s="3">
        <v>4.433333333290648</v>
      </c>
      <c r="C46" s="3">
        <v>10.233333333337214</v>
      </c>
      <c r="D46" s="3">
        <v>19.716666666674428</v>
      </c>
      <c r="E46" s="3">
        <v>24.616666666581295</v>
      </c>
      <c r="F46" s="3">
        <v>40.1333333333605</v>
      </c>
      <c r="G46" s="3">
        <v>66.28333333338378</v>
      </c>
      <c r="H46" s="3">
        <v>75.81666666670935</v>
      </c>
      <c r="I46" s="3">
        <v>90.89999999996508</v>
      </c>
      <c r="J46" s="3">
        <v>113.53333333338378</v>
      </c>
      <c r="K46" s="3">
        <v>138.6166666665813</v>
      </c>
      <c r="L46" s="3">
        <v>163.6166666666977</v>
      </c>
      <c r="M46" s="3"/>
      <c r="N46" s="3"/>
      <c r="O46" s="3"/>
      <c r="P46" s="80"/>
      <c r="Q46" s="4"/>
      <c r="R46" s="4"/>
      <c r="S46" s="4"/>
      <c r="T46" s="4"/>
      <c r="U46" s="4"/>
      <c r="V46" s="4"/>
      <c r="W46" s="4"/>
      <c r="X46" s="4"/>
    </row>
    <row x14ac:dyDescent="0.25" r="47" customHeight="1" ht="18.75">
      <c r="A47" s="1" t="s">
        <v>1441</v>
      </c>
      <c r="B47" s="3">
        <v>5.900000000023283</v>
      </c>
      <c r="C47" s="3">
        <v>11.316666666709352</v>
      </c>
      <c r="D47" s="3">
        <v>21.833333333255723</v>
      </c>
      <c r="E47" s="3">
        <v>44.966666666732635</v>
      </c>
      <c r="F47" s="3">
        <v>69.3666666666395</v>
      </c>
      <c r="G47" s="3">
        <v>94.61666666669771</v>
      </c>
      <c r="H47" s="3"/>
      <c r="I47" s="3"/>
      <c r="J47" s="3"/>
      <c r="K47" s="3"/>
      <c r="L47" s="3"/>
      <c r="M47" s="3"/>
      <c r="N47" s="3"/>
      <c r="O47" s="3"/>
      <c r="P47" s="80"/>
      <c r="Q47" s="4"/>
      <c r="R47" s="4"/>
      <c r="S47" s="4"/>
      <c r="T47" s="4"/>
      <c r="U47" s="4"/>
      <c r="V47" s="4"/>
      <c r="W47" s="4"/>
      <c r="X47" s="4"/>
    </row>
    <row x14ac:dyDescent="0.25" r="48" customHeight="1" ht="18.75">
      <c r="A48" s="1" t="s">
        <v>1442</v>
      </c>
      <c r="B48" s="3">
        <v>4.7333333333954215</v>
      </c>
      <c r="C48" s="3">
        <v>13.21666666661622</v>
      </c>
      <c r="D48" s="3">
        <v>30.016666666720994</v>
      </c>
      <c r="E48" s="3">
        <v>54.616666666581295</v>
      </c>
      <c r="F48" s="3">
        <v>78.31666666665114</v>
      </c>
      <c r="G48" s="3">
        <v>102.23333333339542</v>
      </c>
      <c r="H48" s="3">
        <v>125.96666666673264</v>
      </c>
      <c r="I48" s="3">
        <v>151.04999999993015</v>
      </c>
      <c r="J48" s="3">
        <v>175.6166666666977</v>
      </c>
      <c r="K48" s="3">
        <v>199.46666666673264</v>
      </c>
      <c r="L48" s="3">
        <v>222.21666666667443</v>
      </c>
      <c r="M48" s="3">
        <v>248.0000000000582</v>
      </c>
      <c r="N48" s="3"/>
      <c r="O48" s="3"/>
      <c r="P48" s="80"/>
      <c r="Q48" s="4"/>
      <c r="R48" s="4"/>
      <c r="S48" s="4"/>
      <c r="T48" s="4"/>
      <c r="U48" s="4"/>
      <c r="V48" s="4"/>
      <c r="W48" s="4"/>
      <c r="X48" s="4"/>
    </row>
    <row x14ac:dyDescent="0.25" r="49" customHeight="1" ht="18.75">
      <c r="A49" s="1" t="s">
        <v>1443</v>
      </c>
      <c r="B49" s="3">
        <v>4.599999999976717</v>
      </c>
      <c r="C49" s="3">
        <v>11.966666666732635</v>
      </c>
      <c r="D49" s="3">
        <v>22.750000000116415</v>
      </c>
      <c r="E49" s="3">
        <v>38.46666666667443</v>
      </c>
      <c r="F49" s="3">
        <v>61.5</v>
      </c>
      <c r="G49" s="3">
        <v>87.31666666665114</v>
      </c>
      <c r="H49" s="3">
        <v>111.53333333332557</v>
      </c>
      <c r="I49" s="3">
        <v>135.73333333345363</v>
      </c>
      <c r="J49" s="3">
        <v>157.40000000002328</v>
      </c>
      <c r="K49" s="3">
        <v>167.91666666674428</v>
      </c>
      <c r="L49" s="3">
        <v>172.8666666666395</v>
      </c>
      <c r="M49" s="3">
        <v>182.60000000009313</v>
      </c>
      <c r="N49" s="3">
        <v>206.29999999998836</v>
      </c>
      <c r="O49" s="3">
        <v>230.7333333333372</v>
      </c>
      <c r="P49" s="80"/>
      <c r="Q49" s="4"/>
      <c r="R49" s="4"/>
      <c r="S49" s="4"/>
      <c r="T49" s="4"/>
      <c r="U49" s="4"/>
      <c r="V49" s="4"/>
      <c r="W49" s="4"/>
      <c r="X49" s="4"/>
    </row>
    <row x14ac:dyDescent="0.25" r="50" customHeight="1" ht="18.75">
      <c r="A50" s="1" t="s">
        <v>1444</v>
      </c>
      <c r="B50" s="3">
        <v>7.350000000034925</v>
      </c>
      <c r="C50" s="3">
        <v>12.149999999965075</v>
      </c>
      <c r="D50" s="3">
        <v>18.766666666720994</v>
      </c>
      <c r="E50" s="3">
        <v>43.1166666666395</v>
      </c>
      <c r="F50" s="3">
        <v>67.68333333340706</v>
      </c>
      <c r="G50" s="3">
        <v>91.20000000006985</v>
      </c>
      <c r="H50" s="3">
        <v>116.01666666660458</v>
      </c>
      <c r="I50" s="3">
        <v>138.6166666665813</v>
      </c>
      <c r="J50" s="3">
        <v>164.29999999998836</v>
      </c>
      <c r="K50" s="3">
        <v>187.26666666660458</v>
      </c>
      <c r="L50" s="3"/>
      <c r="M50" s="3"/>
      <c r="N50" s="3"/>
      <c r="O50" s="3"/>
      <c r="P50" s="80"/>
      <c r="Q50" s="4"/>
      <c r="R50" s="4"/>
      <c r="S50" s="4"/>
      <c r="T50" s="4"/>
      <c r="U50" s="4"/>
      <c r="V50" s="4"/>
      <c r="W50" s="4"/>
      <c r="X50" s="4"/>
    </row>
    <row x14ac:dyDescent="0.25" r="51" customHeight="1" ht="18.75">
      <c r="A51" s="1" t="s">
        <v>1445</v>
      </c>
      <c r="B51" s="3">
        <v>3.9666666666744277</v>
      </c>
      <c r="C51" s="3">
        <v>9.866666666523088</v>
      </c>
      <c r="D51" s="3">
        <v>26.233333333279006</v>
      </c>
      <c r="E51" s="3">
        <v>50.4833333332208</v>
      </c>
      <c r="F51" s="3">
        <v>73.83333333319752</v>
      </c>
      <c r="G51" s="3">
        <v>97.8833333333605</v>
      </c>
      <c r="H51" s="3">
        <v>105.94999999995343</v>
      </c>
      <c r="I51" s="3">
        <v>147.19999999995343</v>
      </c>
      <c r="J51" s="3">
        <v>170.25</v>
      </c>
      <c r="K51" s="3"/>
      <c r="L51" s="3"/>
      <c r="M51" s="3"/>
      <c r="N51" s="3"/>
      <c r="O51" s="4"/>
      <c r="P51" s="80"/>
      <c r="Q51" s="4"/>
      <c r="R51" s="4"/>
      <c r="S51" s="4"/>
      <c r="T51" s="4"/>
      <c r="U51" s="4"/>
      <c r="V51" s="4"/>
      <c r="W51" s="4"/>
      <c r="X51" s="4"/>
    </row>
    <row x14ac:dyDescent="0.25" r="52" customHeight="1" ht="18.75">
      <c r="A52" s="1" t="s">
        <v>1446</v>
      </c>
      <c r="B52" s="3">
        <v>3.9833333333954215</v>
      </c>
      <c r="C52" s="3">
        <v>8.70000000006985</v>
      </c>
      <c r="D52" s="3">
        <v>19.483333333279006</v>
      </c>
      <c r="E52" s="3">
        <v>30.79999999998836</v>
      </c>
      <c r="F52" s="3">
        <v>31.16666666662786</v>
      </c>
      <c r="G52" s="3">
        <v>43.03333333338378</v>
      </c>
      <c r="H52" s="3">
        <v>67.43333333329065</v>
      </c>
      <c r="I52" s="3">
        <v>92.25</v>
      </c>
      <c r="J52" s="3">
        <v>116.01666666660458</v>
      </c>
      <c r="K52" s="3">
        <v>137.93333333329065</v>
      </c>
      <c r="L52" s="3"/>
      <c r="M52" s="3"/>
      <c r="N52" s="3"/>
      <c r="O52" s="3"/>
      <c r="P52" s="80"/>
      <c r="Q52" s="4"/>
      <c r="R52" s="4"/>
      <c r="S52" s="4"/>
      <c r="T52" s="4"/>
      <c r="U52" s="4"/>
      <c r="V52" s="4"/>
      <c r="W52" s="4"/>
      <c r="X52" s="4"/>
    </row>
    <row x14ac:dyDescent="0.25" r="53" customHeight="1" ht="18.75">
      <c r="A53" s="1" t="s">
        <v>1447</v>
      </c>
      <c r="B53" s="3">
        <v>7.566666666709352</v>
      </c>
      <c r="C53" s="3">
        <v>11.299999999988358</v>
      </c>
      <c r="D53" s="3">
        <v>19.400000000023283</v>
      </c>
      <c r="E53" s="3">
        <v>68.56666666665114</v>
      </c>
      <c r="F53" s="3">
        <v>91.59999999997672</v>
      </c>
      <c r="G53" s="3">
        <v>115.78333333338378</v>
      </c>
      <c r="H53" s="3">
        <v>138.6166666665813</v>
      </c>
      <c r="I53" s="3">
        <v>163.26666666660458</v>
      </c>
      <c r="J53" s="3"/>
      <c r="K53" s="3"/>
      <c r="L53" s="3"/>
      <c r="M53" s="3"/>
      <c r="N53" s="3"/>
      <c r="O53" s="3"/>
      <c r="P53" s="80"/>
      <c r="Q53" s="4"/>
      <c r="R53" s="4"/>
      <c r="S53" s="4"/>
      <c r="T53" s="4"/>
      <c r="U53" s="4"/>
      <c r="V53" s="4"/>
      <c r="W53" s="4"/>
      <c r="X53" s="4"/>
    </row>
    <row x14ac:dyDescent="0.25" r="54" customHeight="1" ht="18.75">
      <c r="A54" s="1" t="s">
        <v>1448</v>
      </c>
      <c r="B54" s="3">
        <v>8.683333333348855</v>
      </c>
      <c r="C54" s="3">
        <v>13.400000000023283</v>
      </c>
      <c r="D54" s="3">
        <v>24.91666666668607</v>
      </c>
      <c r="E54" s="3">
        <v>48.78333333344199</v>
      </c>
      <c r="F54" s="3">
        <v>72.11666666669771</v>
      </c>
      <c r="G54" s="3">
        <v>95.50000000011642</v>
      </c>
      <c r="H54" s="3">
        <v>120.5166666667792</v>
      </c>
      <c r="I54" s="3"/>
      <c r="J54" s="3"/>
      <c r="K54" s="3"/>
      <c r="L54" s="3"/>
      <c r="M54" s="3"/>
      <c r="N54" s="3"/>
      <c r="O54" s="3"/>
      <c r="P54" s="80"/>
      <c r="Q54" s="4"/>
      <c r="R54" s="4"/>
      <c r="S54" s="4"/>
      <c r="T54" s="4"/>
      <c r="U54" s="4"/>
      <c r="V54" s="4"/>
      <c r="W54" s="4"/>
      <c r="X54" s="4"/>
    </row>
    <row x14ac:dyDescent="0.25" r="55" customHeight="1" ht="18.75">
      <c r="A55" s="1" t="s">
        <v>1449</v>
      </c>
      <c r="B55" s="3">
        <v>7.666666666686069</v>
      </c>
      <c r="C55" s="3">
        <v>12.616666666581295</v>
      </c>
      <c r="D55" s="3">
        <v>23.916666666569654</v>
      </c>
      <c r="E55" s="3">
        <v>47.78333333332557</v>
      </c>
      <c r="F55" s="3">
        <v>71.1166666665813</v>
      </c>
      <c r="G55" s="3">
        <v>95.53333333320916</v>
      </c>
      <c r="H55" s="3">
        <v>102.68333333329065</v>
      </c>
      <c r="I55" s="3">
        <v>119.25</v>
      </c>
      <c r="J55" s="3"/>
      <c r="K55" s="3"/>
      <c r="L55" s="3"/>
      <c r="M55" s="3"/>
      <c r="N55" s="3"/>
      <c r="O55" s="3"/>
      <c r="P55" s="80"/>
      <c r="Q55" s="4"/>
      <c r="R55" s="4"/>
      <c r="S55" s="4"/>
      <c r="T55" s="4"/>
      <c r="U55" s="4"/>
      <c r="V55" s="4"/>
      <c r="W55" s="4"/>
      <c r="X55" s="4"/>
    </row>
    <row x14ac:dyDescent="0.25" r="56" customHeight="1" ht="18.75">
      <c r="A56" s="1" t="s">
        <v>1450</v>
      </c>
      <c r="B56" s="3">
        <v>5.850000000034925</v>
      </c>
      <c r="C56" s="3">
        <v>7.800000000104774</v>
      </c>
      <c r="D56" s="3">
        <v>18.91666666668607</v>
      </c>
      <c r="E56" s="3">
        <v>42.78333333344199</v>
      </c>
      <c r="F56" s="3">
        <v>66.11666666669771</v>
      </c>
      <c r="G56" s="3">
        <v>74.73333333333721</v>
      </c>
      <c r="H56" s="3">
        <v>89.50000000011642</v>
      </c>
      <c r="I56" s="3">
        <v>104.53333333338378</v>
      </c>
      <c r="J56" s="3"/>
      <c r="K56" s="3"/>
      <c r="L56" s="3"/>
      <c r="M56" s="3"/>
      <c r="N56" s="3"/>
      <c r="O56" s="3"/>
      <c r="P56" s="80"/>
      <c r="Q56" s="4"/>
      <c r="R56" s="4"/>
      <c r="S56" s="4"/>
      <c r="T56" s="4"/>
      <c r="U56" s="4"/>
      <c r="V56" s="4"/>
      <c r="W56" s="4"/>
      <c r="X56" s="4"/>
    </row>
    <row x14ac:dyDescent="0.25" r="57" customHeight="1" ht="18.75">
      <c r="A57" s="1" t="s">
        <v>1451</v>
      </c>
      <c r="B57" s="3">
        <v>31.63333333324408</v>
      </c>
      <c r="C57" s="3">
        <v>36.433333333348855</v>
      </c>
      <c r="D57" s="3">
        <v>49.71666666667443</v>
      </c>
      <c r="E57" s="3">
        <v>72.49999999988358</v>
      </c>
      <c r="F57" s="3">
        <v>121.08333333319752</v>
      </c>
      <c r="G57" s="3"/>
      <c r="H57" s="3"/>
      <c r="I57" s="3"/>
      <c r="J57" s="3"/>
      <c r="K57" s="3"/>
      <c r="L57" s="3"/>
      <c r="M57" s="3"/>
      <c r="N57" s="3"/>
      <c r="O57" s="3"/>
      <c r="P57" s="80"/>
      <c r="Q57" s="4"/>
      <c r="R57" s="4"/>
      <c r="S57" s="4"/>
      <c r="T57" s="4"/>
      <c r="U57" s="4"/>
      <c r="V57" s="4"/>
      <c r="W57" s="4"/>
      <c r="X57" s="4"/>
    </row>
    <row x14ac:dyDescent="0.25" r="58" customHeight="1" ht="18.75">
      <c r="A58" s="1" t="s">
        <v>1452</v>
      </c>
      <c r="B58" s="3">
        <v>21.466666666790843</v>
      </c>
      <c r="C58" s="3">
        <v>33.23333333339542</v>
      </c>
      <c r="D58" s="3">
        <v>42</v>
      </c>
      <c r="E58" s="3">
        <v>68.95000000001164</v>
      </c>
      <c r="F58" s="3">
        <v>113.96666666673264</v>
      </c>
      <c r="G58" s="3">
        <v>124.21666666679084</v>
      </c>
      <c r="H58" s="3">
        <v>138.8666666666977</v>
      </c>
      <c r="I58" s="3">
        <v>189.56666666676756</v>
      </c>
      <c r="J58" s="3"/>
      <c r="K58" s="3"/>
      <c r="L58" s="3"/>
      <c r="M58" s="3"/>
      <c r="N58" s="3"/>
      <c r="O58" s="4"/>
      <c r="P58" s="80"/>
      <c r="Q58" s="4"/>
      <c r="R58" s="4"/>
      <c r="S58" s="4"/>
      <c r="T58" s="4"/>
      <c r="U58" s="4"/>
      <c r="V58" s="4"/>
      <c r="W58" s="4"/>
      <c r="X58" s="4"/>
    </row>
    <row x14ac:dyDescent="0.25" r="59" customHeight="1" ht="18.75">
      <c r="A59" s="1" t="s">
        <v>1453</v>
      </c>
      <c r="B59" s="3">
        <v>16.983333333337214</v>
      </c>
      <c r="C59" s="3">
        <v>24.04999999998836</v>
      </c>
      <c r="D59" s="3">
        <v>39.949999999953434</v>
      </c>
      <c r="E59" s="3">
        <v>65.01666666660458</v>
      </c>
      <c r="F59" s="3">
        <v>89.15000000002328</v>
      </c>
      <c r="G59" s="3">
        <v>113.76666666660458</v>
      </c>
      <c r="H59" s="3">
        <v>137.29999999998836</v>
      </c>
      <c r="I59" s="3">
        <v>144.09999999997672</v>
      </c>
      <c r="J59" s="3">
        <v>160.51666666654637</v>
      </c>
      <c r="K59" s="3">
        <v>185.66666666662786</v>
      </c>
      <c r="L59" s="3">
        <v>209.34999999997672</v>
      </c>
      <c r="M59" s="3">
        <v>233.8833333333023</v>
      </c>
      <c r="N59" s="3"/>
      <c r="O59" s="3"/>
      <c r="P59" s="80"/>
      <c r="Q59" s="4"/>
      <c r="R59" s="4"/>
      <c r="S59" s="4"/>
      <c r="T59" s="4"/>
      <c r="U59" s="4"/>
      <c r="V59" s="4"/>
      <c r="W59" s="4"/>
      <c r="X59" s="4"/>
    </row>
    <row x14ac:dyDescent="0.25" r="60" customHeight="1" ht="18.75">
      <c r="A60" s="1" t="s">
        <v>1454</v>
      </c>
      <c r="B60" s="3">
        <v>7.78333333338378</v>
      </c>
      <c r="C60" s="3">
        <v>27.79999999998836</v>
      </c>
      <c r="D60" s="3">
        <v>30.91666666668607</v>
      </c>
      <c r="E60" s="3">
        <v>54.75</v>
      </c>
      <c r="F60" s="3">
        <v>77.7666666667792</v>
      </c>
      <c r="G60" s="3">
        <v>103.23333333333721</v>
      </c>
      <c r="H60" s="3"/>
      <c r="I60" s="3"/>
      <c r="J60" s="3"/>
      <c r="K60" s="3"/>
      <c r="L60" s="3"/>
      <c r="M60" s="3"/>
      <c r="N60" s="3"/>
      <c r="O60" s="3"/>
      <c r="P60" s="80"/>
      <c r="Q60" s="4"/>
      <c r="R60" s="4"/>
      <c r="S60" s="4"/>
      <c r="T60" s="4"/>
      <c r="U60" s="4"/>
      <c r="V60" s="4"/>
      <c r="W60" s="4"/>
      <c r="X60" s="4"/>
    </row>
    <row x14ac:dyDescent="0.25" r="61" customHeight="1" ht="18.75">
      <c r="A61" s="1" t="s">
        <v>1455</v>
      </c>
      <c r="B61" s="3">
        <v>4.200000000069849</v>
      </c>
      <c r="C61" s="3">
        <v>10.95000000006985</v>
      </c>
      <c r="D61" s="3">
        <v>20.050000000046566</v>
      </c>
      <c r="E61" s="3">
        <v>27.366666666639503</v>
      </c>
      <c r="F61" s="3">
        <v>43.533333333267365</v>
      </c>
      <c r="G61" s="3">
        <v>67.93333333334886</v>
      </c>
      <c r="H61" s="3">
        <v>91.93333333334886</v>
      </c>
      <c r="I61" s="3">
        <v>115.25000000005821</v>
      </c>
      <c r="J61" s="3">
        <v>139.96666666661622</v>
      </c>
      <c r="K61" s="3"/>
      <c r="L61" s="3"/>
      <c r="M61" s="3"/>
      <c r="N61" s="3"/>
      <c r="O61" s="3"/>
      <c r="P61" s="80"/>
      <c r="Q61" s="4"/>
      <c r="R61" s="4"/>
      <c r="S61" s="4"/>
      <c r="T61" s="4"/>
      <c r="U61" s="4"/>
      <c r="V61" s="4"/>
      <c r="W61" s="4"/>
      <c r="X61" s="4"/>
    </row>
    <row x14ac:dyDescent="0.25" r="62" customHeight="1" ht="18.75">
      <c r="A62" s="1" t="s">
        <v>1456</v>
      </c>
      <c r="B62" s="3">
        <v>4.78333333338378</v>
      </c>
      <c r="C62" s="3">
        <v>7.866666666639503</v>
      </c>
      <c r="D62" s="3">
        <v>16.533333333267365</v>
      </c>
      <c r="E62" s="3">
        <v>41.81666666659294</v>
      </c>
      <c r="F62" s="3">
        <v>65.36666666669771</v>
      </c>
      <c r="G62" s="3">
        <v>89.90000000002328</v>
      </c>
      <c r="H62" s="3">
        <v>114.51666666660458</v>
      </c>
      <c r="I62" s="3"/>
      <c r="J62" s="3"/>
      <c r="K62" s="3"/>
      <c r="L62" s="3"/>
      <c r="M62" s="3"/>
      <c r="N62" s="3"/>
      <c r="O62" s="3"/>
      <c r="P62" s="80"/>
      <c r="Q62" s="4"/>
      <c r="R62" s="4"/>
      <c r="S62" s="4"/>
      <c r="T62" s="4"/>
      <c r="U62" s="4"/>
      <c r="V62" s="4"/>
      <c r="W62" s="4"/>
      <c r="X62" s="4"/>
    </row>
    <row x14ac:dyDescent="0.25" r="63" customHeight="1" ht="18.75">
      <c r="A63" s="1" t="s">
        <v>1457</v>
      </c>
      <c r="B63" s="3">
        <v>10.883333333360497</v>
      </c>
      <c r="C63" s="3">
        <v>15.900000000139698</v>
      </c>
      <c r="D63" s="3">
        <v>27.099999999976717</v>
      </c>
      <c r="E63" s="3">
        <v>51.68333333346527</v>
      </c>
      <c r="F63" s="3">
        <v>76.73333333339542</v>
      </c>
      <c r="G63" s="3">
        <v>98.98333333345363</v>
      </c>
      <c r="H63" s="3">
        <v>122.88333333347691</v>
      </c>
      <c r="I63" s="3">
        <v>147.43333333334886</v>
      </c>
      <c r="J63" s="3"/>
      <c r="K63" s="3"/>
      <c r="L63" s="3"/>
      <c r="M63" s="3"/>
      <c r="N63" s="3"/>
      <c r="O63" s="3"/>
      <c r="P63" s="80"/>
      <c r="Q63" s="4"/>
      <c r="R63" s="4"/>
      <c r="S63" s="4"/>
      <c r="T63" s="4"/>
      <c r="U63" s="4"/>
      <c r="V63" s="4"/>
      <c r="W63" s="4"/>
      <c r="X63" s="4"/>
    </row>
    <row x14ac:dyDescent="0.25" r="64" customHeight="1" ht="18.75">
      <c r="A64" s="1" t="s">
        <v>1458</v>
      </c>
      <c r="B64" s="3">
        <v>9.416666666627862</v>
      </c>
      <c r="C64" s="3">
        <v>17.70000000006985</v>
      </c>
      <c r="D64" s="3">
        <v>23.116666666581295</v>
      </c>
      <c r="E64" s="3">
        <v>40.61666666669771</v>
      </c>
      <c r="F64" s="3">
        <v>64.95000000006985</v>
      </c>
      <c r="G64" s="3">
        <v>89.39999999996508</v>
      </c>
      <c r="H64" s="3">
        <v>112.03333333338378</v>
      </c>
      <c r="I64" s="3">
        <v>137.93333333329065</v>
      </c>
      <c r="J64" s="3">
        <v>160.83333333337214</v>
      </c>
      <c r="K64" s="3">
        <v>185.85000000003492</v>
      </c>
      <c r="L64" s="3"/>
      <c r="M64" s="3"/>
      <c r="N64" s="3"/>
      <c r="O64" s="3"/>
      <c r="P64" s="80"/>
      <c r="Q64" s="4"/>
      <c r="R64" s="4"/>
      <c r="S64" s="4"/>
      <c r="T64" s="4"/>
      <c r="U64" s="4"/>
      <c r="V64" s="4"/>
      <c r="W64" s="4"/>
      <c r="X64" s="4"/>
    </row>
    <row x14ac:dyDescent="0.25" r="65" customHeight="1" ht="18.75">
      <c r="A65" s="1" t="s">
        <v>1459</v>
      </c>
      <c r="B65" s="3">
        <v>4.283333333325572</v>
      </c>
      <c r="C65" s="3">
        <v>9.616666666581295</v>
      </c>
      <c r="D65" s="3">
        <v>20.633333333360497</v>
      </c>
      <c r="E65" s="3">
        <v>44.83333333331393</v>
      </c>
      <c r="F65" s="3">
        <v>69.2333333332208</v>
      </c>
      <c r="G65" s="3">
        <v>92.58333333319752</v>
      </c>
      <c r="H65" s="3">
        <v>116.6333333333605</v>
      </c>
      <c r="I65" s="3">
        <v>141.18333333323244</v>
      </c>
      <c r="J65" s="3">
        <v>165.81666666653473</v>
      </c>
      <c r="K65" s="3"/>
      <c r="L65" s="3"/>
      <c r="M65" s="3"/>
      <c r="N65" s="3"/>
      <c r="O65" s="3"/>
      <c r="P65" s="80"/>
      <c r="Q65" s="4"/>
      <c r="R65" s="4"/>
      <c r="S65" s="4"/>
      <c r="T65" s="4"/>
      <c r="U65" s="4"/>
      <c r="V65" s="4"/>
      <c r="W65" s="4"/>
      <c r="X65" s="4"/>
    </row>
    <row x14ac:dyDescent="0.25" r="66" customHeight="1" ht="18.75">
      <c r="A66" s="1" t="s">
        <v>19</v>
      </c>
      <c r="B66" s="3">
        <v>18.833333333255723</v>
      </c>
      <c r="C66" s="3">
        <v>23.283333333267365</v>
      </c>
      <c r="D66" s="3">
        <v>24.683333333290648</v>
      </c>
      <c r="E66" s="3">
        <v>48.53333333332557</v>
      </c>
      <c r="F66" s="3">
        <v>96.46666666661622</v>
      </c>
      <c r="G66" s="3">
        <v>120.03333333326736</v>
      </c>
      <c r="H66" s="5"/>
      <c r="I66" s="5"/>
      <c r="J66" s="5"/>
      <c r="K66" s="5"/>
      <c r="L66" s="4"/>
      <c r="M66" s="4"/>
      <c r="N66" s="4"/>
      <c r="O66" s="4"/>
      <c r="P66" s="80"/>
      <c r="Q66" s="4"/>
      <c r="R66" s="4"/>
      <c r="S66" s="4"/>
      <c r="T66" s="4"/>
      <c r="U66" s="4"/>
      <c r="V66" s="4"/>
      <c r="W66" s="4"/>
      <c r="X66" s="4"/>
    </row>
    <row x14ac:dyDescent="0.25" r="67" customHeight="1" ht="18.75">
      <c r="A67" s="1" t="s">
        <v>20</v>
      </c>
      <c r="B67" s="3">
        <v>20.516666666662786</v>
      </c>
      <c r="C67" s="3">
        <v>23.933333333290648</v>
      </c>
      <c r="D67" s="3">
        <v>24.266666666662786</v>
      </c>
      <c r="E67" s="3">
        <v>48.199999999953434</v>
      </c>
      <c r="F67" s="3">
        <v>72.14999999996508</v>
      </c>
      <c r="G67" s="3">
        <v>96.016666666721</v>
      </c>
      <c r="H67" s="3">
        <v>120.04999999998836</v>
      </c>
      <c r="I67" s="5"/>
      <c r="J67" s="5"/>
      <c r="K67" s="5"/>
      <c r="L67" s="4"/>
      <c r="M67" s="4"/>
      <c r="N67" s="4"/>
      <c r="O67" s="4"/>
      <c r="P67" s="80"/>
      <c r="Q67" s="4"/>
      <c r="R67" s="4"/>
      <c r="S67" s="4"/>
      <c r="T67" s="4"/>
      <c r="U67" s="4"/>
      <c r="V67" s="4"/>
      <c r="W67" s="4"/>
      <c r="X67" s="4"/>
    </row>
    <row x14ac:dyDescent="0.25" r="68" customHeight="1" ht="18.75">
      <c r="A68" s="1" t="s">
        <v>21</v>
      </c>
      <c r="B68" s="3">
        <v>7.7333333333954215</v>
      </c>
      <c r="C68" s="3">
        <v>18.066666666709352</v>
      </c>
      <c r="D68" s="3">
        <v>24.566666666592937</v>
      </c>
      <c r="E68" s="3">
        <v>53.6166666666395</v>
      </c>
      <c r="F68" s="3">
        <v>72.04999999998836</v>
      </c>
      <c r="G68" s="3">
        <v>96.18333333340706</v>
      </c>
      <c r="H68" s="5"/>
      <c r="I68" s="5"/>
      <c r="J68" s="5"/>
      <c r="K68" s="5"/>
      <c r="L68" s="4"/>
      <c r="M68" s="4"/>
      <c r="N68" s="4"/>
      <c r="O68" s="4"/>
      <c r="P68" s="80"/>
      <c r="Q68" s="4"/>
      <c r="R68" s="4"/>
      <c r="S68" s="4"/>
      <c r="T68" s="4"/>
      <c r="U68" s="4"/>
      <c r="V68" s="4"/>
      <c r="W68" s="4"/>
      <c r="X68" s="4"/>
    </row>
    <row x14ac:dyDescent="0.25" r="69" customHeight="1" ht="18.75">
      <c r="A69" s="1" t="s">
        <v>22</v>
      </c>
      <c r="B69" s="3">
        <v>10.549999999988358</v>
      </c>
      <c r="C69" s="3">
        <v>15.650000000023283</v>
      </c>
      <c r="D69" s="3">
        <v>23.616666666639503</v>
      </c>
      <c r="E69" s="3">
        <v>24.383333333360497</v>
      </c>
      <c r="F69" s="3">
        <v>48.266666666662786</v>
      </c>
      <c r="G69" s="3">
        <v>72.21666666667443</v>
      </c>
      <c r="H69" s="3">
        <v>96.08333333325572</v>
      </c>
      <c r="I69" s="3">
        <v>120.81666666670935</v>
      </c>
      <c r="J69" s="3">
        <v>144.04999999998836</v>
      </c>
      <c r="K69" s="3">
        <v>168.65000000002328</v>
      </c>
      <c r="L69" s="3">
        <v>197.70000000006985</v>
      </c>
      <c r="M69" s="4"/>
      <c r="N69" s="4"/>
      <c r="O69" s="4"/>
      <c r="P69" s="80"/>
      <c r="Q69" s="4"/>
      <c r="R69" s="4"/>
      <c r="S69" s="4"/>
      <c r="T69" s="4"/>
      <c r="U69" s="4"/>
      <c r="V69" s="4"/>
      <c r="W69" s="4"/>
      <c r="X69" s="4"/>
    </row>
    <row x14ac:dyDescent="0.25" r="70" customHeight="1" ht="18.75">
      <c r="A70" s="1" t="s">
        <v>23</v>
      </c>
      <c r="B70" s="3">
        <v>7.849999999918509</v>
      </c>
      <c r="C70" s="3">
        <v>16.583333333255723</v>
      </c>
      <c r="D70" s="3">
        <v>24.383333333360497</v>
      </c>
      <c r="E70" s="3">
        <v>48.18333333340706</v>
      </c>
      <c r="F70" s="3">
        <v>72.14999999996508</v>
      </c>
      <c r="G70" s="3">
        <v>96.89999999996508</v>
      </c>
      <c r="H70" s="3">
        <v>120.04999999998836</v>
      </c>
      <c r="I70" s="5"/>
      <c r="J70" s="5"/>
      <c r="K70" s="5"/>
      <c r="L70" s="4"/>
      <c r="M70" s="4"/>
      <c r="N70" s="4"/>
      <c r="O70" s="4"/>
      <c r="P70" s="80"/>
      <c r="Q70" s="4"/>
      <c r="R70" s="4"/>
      <c r="S70" s="4"/>
      <c r="T70" s="4"/>
      <c r="U70" s="4"/>
      <c r="V70" s="4"/>
      <c r="W70" s="4"/>
      <c r="X70" s="4"/>
    </row>
    <row x14ac:dyDescent="0.25" r="71" customHeight="1" ht="18.75">
      <c r="A71" s="1" t="s">
        <v>24</v>
      </c>
      <c r="B71" s="3">
        <v>2.71666666661622</v>
      </c>
      <c r="C71" s="3">
        <v>8.866666666581295</v>
      </c>
      <c r="D71" s="3">
        <v>15.683333333290648</v>
      </c>
      <c r="E71" s="3">
        <v>24.083333333255723</v>
      </c>
      <c r="F71" s="3">
        <v>48.11666666669771</v>
      </c>
      <c r="G71" s="3">
        <v>72.34999999991851</v>
      </c>
      <c r="H71" s="3">
        <v>96.45000000006985</v>
      </c>
      <c r="I71" s="3">
        <v>120.06666666670935</v>
      </c>
      <c r="J71" s="3">
        <v>144.43333333334886</v>
      </c>
      <c r="K71" s="3">
        <v>174.1166666666977</v>
      </c>
      <c r="L71" s="3">
        <v>198.19999999995343</v>
      </c>
      <c r="M71" s="4"/>
      <c r="N71" s="4"/>
      <c r="O71" s="4"/>
      <c r="P71" s="80"/>
      <c r="Q71" s="4"/>
      <c r="R71" s="4"/>
      <c r="S71" s="4"/>
      <c r="T71" s="4"/>
      <c r="U71" s="4"/>
      <c r="V71" s="4"/>
      <c r="W71" s="4"/>
      <c r="X71" s="4"/>
    </row>
    <row x14ac:dyDescent="0.25" r="72" customHeight="1" ht="18.75">
      <c r="A72" s="1" t="s">
        <v>25</v>
      </c>
      <c r="B72" s="3">
        <v>7.21666666661622</v>
      </c>
      <c r="C72" s="3">
        <v>12.500000000058208</v>
      </c>
      <c r="D72" s="3">
        <v>17.800000000046566</v>
      </c>
      <c r="E72" s="3">
        <v>24.11666666669771</v>
      </c>
      <c r="F72" s="3">
        <v>48.58333333331393</v>
      </c>
      <c r="G72" s="3">
        <v>72.08333333325572</v>
      </c>
      <c r="H72" s="3">
        <v>96.16666666668607</v>
      </c>
      <c r="I72" s="3">
        <v>125.96666666673264</v>
      </c>
      <c r="J72" s="3">
        <v>144.06666666670935</v>
      </c>
      <c r="K72" s="3">
        <v>161.54999999993015</v>
      </c>
      <c r="L72" s="3">
        <v>168.04999999998836</v>
      </c>
      <c r="M72" s="3">
        <v>192.08333333325572</v>
      </c>
      <c r="N72" s="4"/>
      <c r="O72" s="4"/>
      <c r="P72" s="80"/>
      <c r="Q72" s="4"/>
      <c r="R72" s="4"/>
      <c r="S72" s="4"/>
      <c r="T72" s="4"/>
      <c r="U72" s="4"/>
      <c r="V72" s="4"/>
      <c r="W72" s="4"/>
      <c r="X72" s="4"/>
    </row>
    <row x14ac:dyDescent="0.25" r="73" customHeight="1" ht="18.75">
      <c r="A73" s="1" t="s">
        <v>26</v>
      </c>
      <c r="B73" s="3">
        <v>2.266666666720994</v>
      </c>
      <c r="C73" s="3">
        <v>2.4999999999417923</v>
      </c>
      <c r="D73" s="3">
        <v>8.59999999991851</v>
      </c>
      <c r="E73" s="3">
        <v>16.20000000006985</v>
      </c>
      <c r="F73" s="3">
        <v>24.566666666592937</v>
      </c>
      <c r="G73" s="3">
        <v>48.33333333337214</v>
      </c>
      <c r="H73" s="3">
        <v>72.31666666665114</v>
      </c>
      <c r="I73" s="3">
        <v>96.04999999998836</v>
      </c>
      <c r="J73" s="5"/>
      <c r="K73" s="5"/>
      <c r="L73" s="4"/>
      <c r="M73" s="4"/>
      <c r="N73" s="4"/>
      <c r="O73" s="4"/>
      <c r="P73" s="80"/>
      <c r="Q73" s="4"/>
      <c r="R73" s="4"/>
      <c r="S73" s="4"/>
      <c r="T73" s="4"/>
      <c r="U73" s="4"/>
      <c r="V73" s="4"/>
      <c r="W73" s="4"/>
      <c r="X73" s="4"/>
    </row>
    <row x14ac:dyDescent="0.25" r="74" customHeight="1" ht="18.75">
      <c r="A74" s="1" t="s">
        <v>27</v>
      </c>
      <c r="B74" s="3">
        <v>2.9333333332906477</v>
      </c>
      <c r="C74" s="3">
        <v>3.2333333333954215</v>
      </c>
      <c r="D74" s="3">
        <v>16.883333333360497</v>
      </c>
      <c r="E74" s="3">
        <v>24.33333333337214</v>
      </c>
      <c r="F74" s="3">
        <v>48.016666666720994</v>
      </c>
      <c r="G74" s="3">
        <v>72.16666666668607</v>
      </c>
      <c r="H74" s="3">
        <v>88.61666666669771</v>
      </c>
      <c r="I74" s="3">
        <v>96.08333333325572</v>
      </c>
      <c r="J74" s="3">
        <v>120.06666666670935</v>
      </c>
      <c r="K74" s="3">
        <v>144.2666666666628</v>
      </c>
      <c r="L74" s="3">
        <v>173.81666666659294</v>
      </c>
      <c r="M74" s="3">
        <v>192.4833333333372</v>
      </c>
      <c r="N74" s="3">
        <v>216.06666666670935</v>
      </c>
      <c r="O74" s="3">
        <v>245.76666666660458</v>
      </c>
      <c r="P74" s="3">
        <v>269.8500000000349</v>
      </c>
      <c r="Q74" s="4"/>
      <c r="R74" s="4"/>
      <c r="S74" s="4"/>
      <c r="T74" s="4"/>
      <c r="U74" s="4"/>
      <c r="V74" s="4"/>
      <c r="W74" s="4"/>
      <c r="X74" s="4"/>
    </row>
    <row x14ac:dyDescent="0.25" r="75" customHeight="1" ht="18.75">
      <c r="A75" s="1" t="s">
        <v>28</v>
      </c>
      <c r="B75" s="3">
        <v>11.08333333331393</v>
      </c>
      <c r="C75" s="3">
        <v>16.90000000008149</v>
      </c>
      <c r="D75" s="3">
        <v>24.51666666660458</v>
      </c>
      <c r="E75" s="3">
        <v>48.149999999965075</v>
      </c>
      <c r="F75" s="3">
        <v>72.09999999997672</v>
      </c>
      <c r="G75" s="3">
        <v>96.18333333340706</v>
      </c>
      <c r="H75" s="3">
        <v>120.14999999996508</v>
      </c>
      <c r="I75" s="3">
        <v>144.04999999998836</v>
      </c>
      <c r="J75" s="3">
        <v>173.66666666662786</v>
      </c>
      <c r="K75" s="3">
        <v>216.09999999997672</v>
      </c>
      <c r="L75" s="4"/>
      <c r="M75" s="4"/>
      <c r="N75" s="4"/>
      <c r="O75" s="4"/>
      <c r="P75" s="80"/>
      <c r="Q75" s="4"/>
      <c r="R75" s="4"/>
      <c r="S75" s="4"/>
      <c r="T75" s="4"/>
      <c r="U75" s="4"/>
      <c r="V75" s="4"/>
      <c r="W75" s="4"/>
      <c r="X75" s="4"/>
    </row>
    <row x14ac:dyDescent="0.25" r="76" customHeight="1" ht="18.75">
      <c r="A76" s="1" t="s">
        <v>29</v>
      </c>
      <c r="B76" s="3">
        <v>11.583333333372138</v>
      </c>
      <c r="C76" s="3">
        <v>16.416666666744277</v>
      </c>
      <c r="D76" s="3">
        <v>24.40000000008149</v>
      </c>
      <c r="E76" s="3">
        <v>48.23333333339542</v>
      </c>
      <c r="F76" s="3">
        <v>72.06666666670935</v>
      </c>
      <c r="G76" s="3">
        <v>96.016666666721</v>
      </c>
      <c r="H76" s="5"/>
      <c r="I76" s="5"/>
      <c r="J76" s="5"/>
      <c r="K76" s="5"/>
      <c r="L76" s="4"/>
      <c r="M76" s="4"/>
      <c r="N76" s="4"/>
      <c r="O76" s="4"/>
      <c r="P76" s="80"/>
      <c r="Q76" s="4"/>
      <c r="R76" s="4"/>
      <c r="S76" s="4"/>
      <c r="T76" s="4"/>
      <c r="U76" s="4"/>
      <c r="V76" s="4"/>
      <c r="W76" s="4"/>
      <c r="X76" s="4"/>
    </row>
    <row x14ac:dyDescent="0.25" r="77" customHeight="1" ht="18.75">
      <c r="A77" s="1" t="s">
        <v>30</v>
      </c>
      <c r="B77" s="3">
        <v>13.78333333338378</v>
      </c>
      <c r="C77" s="3">
        <v>18.899999999965075</v>
      </c>
      <c r="D77" s="3">
        <v>24.366666666639503</v>
      </c>
      <c r="E77" s="3">
        <v>48.433333333348855</v>
      </c>
      <c r="F77" s="3">
        <v>72.55000000004657</v>
      </c>
      <c r="G77" s="3">
        <v>96.24999999994179</v>
      </c>
      <c r="H77" s="3">
        <v>120.3666666666395</v>
      </c>
      <c r="I77" s="3">
        <v>144.03333333326736</v>
      </c>
      <c r="J77" s="3">
        <v>168.04999999998836</v>
      </c>
      <c r="K77" s="5"/>
      <c r="L77" s="4"/>
      <c r="M77" s="4"/>
      <c r="N77" s="4"/>
      <c r="O77" s="4"/>
      <c r="P77" s="80"/>
      <c r="Q77" s="4"/>
      <c r="R77" s="4"/>
      <c r="S77" s="4"/>
      <c r="T77" s="4"/>
      <c r="U77" s="4"/>
      <c r="V77" s="4"/>
      <c r="W77" s="4"/>
      <c r="X77" s="4"/>
    </row>
    <row x14ac:dyDescent="0.25" r="78" customHeight="1" ht="18.75">
      <c r="A78" s="1" t="s">
        <v>31</v>
      </c>
      <c r="B78" s="3">
        <v>11.233333333279006</v>
      </c>
      <c r="C78" s="3">
        <v>17.616666666639503</v>
      </c>
      <c r="D78" s="3">
        <v>24.11666666669771</v>
      </c>
      <c r="E78" s="3">
        <v>39.616666666581295</v>
      </c>
      <c r="F78" s="3">
        <v>48.04999999998836</v>
      </c>
      <c r="G78" s="3">
        <v>72.23333333339542</v>
      </c>
      <c r="H78" s="3">
        <v>101.76666666660458</v>
      </c>
      <c r="I78" s="5"/>
      <c r="J78" s="5"/>
      <c r="K78" s="5"/>
      <c r="L78" s="4"/>
      <c r="M78" s="4"/>
      <c r="N78" s="4"/>
      <c r="O78" s="4"/>
      <c r="P78" s="80"/>
      <c r="Q78" s="4"/>
      <c r="R78" s="4"/>
      <c r="S78" s="4"/>
      <c r="T78" s="4"/>
      <c r="U78" s="4"/>
      <c r="V78" s="4"/>
      <c r="W78" s="4"/>
      <c r="X78" s="4"/>
    </row>
    <row x14ac:dyDescent="0.25" r="79" customHeight="1" ht="18.75">
      <c r="A79" s="1" t="s">
        <v>32</v>
      </c>
      <c r="B79" s="3">
        <v>11.433333333407063</v>
      </c>
      <c r="C79" s="3">
        <v>16.96666666661622</v>
      </c>
      <c r="D79" s="3">
        <v>24.266666666662786</v>
      </c>
      <c r="E79" s="3">
        <v>48.199999999953434</v>
      </c>
      <c r="F79" s="3">
        <v>72.56666666659294</v>
      </c>
      <c r="G79" s="3">
        <v>96.16666666668607</v>
      </c>
      <c r="H79" s="3">
        <v>125.48333333339542</v>
      </c>
      <c r="I79" s="3">
        <v>144.18333333340706</v>
      </c>
      <c r="J79" s="5"/>
      <c r="K79" s="5"/>
      <c r="L79" s="4"/>
      <c r="M79" s="4"/>
      <c r="N79" s="4"/>
      <c r="O79" s="4"/>
      <c r="P79" s="80"/>
      <c r="Q79" s="4"/>
      <c r="R79" s="4"/>
      <c r="S79" s="4"/>
      <c r="T79" s="4"/>
      <c r="U79" s="4"/>
      <c r="V79" s="4"/>
      <c r="W79" s="4"/>
      <c r="X79" s="4"/>
    </row>
    <row x14ac:dyDescent="0.25" r="80" customHeight="1" ht="18.75">
      <c r="A80" s="1" t="s">
        <v>33</v>
      </c>
      <c r="B80" s="3">
        <v>15.066666666709352</v>
      </c>
      <c r="C80" s="3">
        <v>18.75</v>
      </c>
      <c r="D80" s="6">
        <v>24</v>
      </c>
      <c r="E80" s="3">
        <v>48.133333333418705</v>
      </c>
      <c r="F80" s="3">
        <v>72.94999999995343</v>
      </c>
      <c r="G80" s="3">
        <v>87.29999999993015</v>
      </c>
      <c r="H80" s="3">
        <v>101.75000000005821</v>
      </c>
      <c r="I80" s="3">
        <v>125.83333333331393</v>
      </c>
      <c r="J80" s="5"/>
      <c r="K80" s="5"/>
      <c r="L80" s="4"/>
      <c r="M80" s="4"/>
      <c r="N80" s="4"/>
      <c r="O80" s="4"/>
      <c r="P80" s="80"/>
      <c r="Q80" s="4"/>
      <c r="R80" s="4"/>
      <c r="S80" s="4"/>
      <c r="T80" s="4"/>
      <c r="U80" s="4"/>
      <c r="V80" s="4"/>
      <c r="W80" s="4"/>
      <c r="X80" s="4"/>
    </row>
    <row x14ac:dyDescent="0.25" r="81" customHeight="1" ht="18.75">
      <c r="A81" s="1" t="s">
        <v>34</v>
      </c>
      <c r="B81" s="3">
        <v>18.58333333331393</v>
      </c>
      <c r="C81" s="3">
        <v>23.349999999976717</v>
      </c>
      <c r="D81" s="3">
        <v>24.099999999976717</v>
      </c>
      <c r="E81" s="3">
        <v>48.34999999991851</v>
      </c>
      <c r="F81" s="3">
        <v>72.18333333340706</v>
      </c>
      <c r="G81" s="3">
        <v>101.83333333331393</v>
      </c>
      <c r="H81" s="5"/>
      <c r="I81" s="5"/>
      <c r="J81" s="5"/>
      <c r="K81" s="5"/>
      <c r="L81" s="4"/>
      <c r="M81" s="4"/>
      <c r="N81" s="4"/>
      <c r="O81" s="4"/>
      <c r="P81" s="80"/>
      <c r="Q81" s="4"/>
      <c r="R81" s="4"/>
      <c r="S81" s="4"/>
      <c r="T81" s="4"/>
      <c r="U81" s="4"/>
      <c r="V81" s="4"/>
      <c r="W81" s="4"/>
      <c r="X81" s="4"/>
    </row>
    <row x14ac:dyDescent="0.25" r="82" customHeight="1" ht="18.75">
      <c r="A82" s="1" t="s">
        <v>35</v>
      </c>
      <c r="B82" s="3">
        <v>19.84999999991851</v>
      </c>
      <c r="C82" s="3">
        <v>24.033333333267365</v>
      </c>
      <c r="D82" s="3">
        <v>24.33333333337214</v>
      </c>
      <c r="E82" s="3">
        <v>39.93333333340706</v>
      </c>
      <c r="F82" s="3">
        <v>54.316666666651145</v>
      </c>
      <c r="G82" s="3">
        <v>72.14999999996508</v>
      </c>
      <c r="H82" s="3">
        <v>96.21666666667443</v>
      </c>
      <c r="I82" s="3">
        <v>120.11666666669771</v>
      </c>
      <c r="J82" s="5"/>
      <c r="K82" s="5"/>
      <c r="L82" s="4"/>
      <c r="M82" s="4"/>
      <c r="N82" s="4"/>
      <c r="O82" s="4"/>
      <c r="P82" s="80"/>
      <c r="Q82" s="4"/>
      <c r="R82" s="4"/>
      <c r="S82" s="4"/>
      <c r="T82" s="4"/>
      <c r="U82" s="4"/>
      <c r="V82" s="4"/>
      <c r="W82" s="4"/>
      <c r="X82" s="4"/>
    </row>
    <row x14ac:dyDescent="0.25" r="83" customHeight="1" ht="18.75">
      <c r="A83" s="1" t="s">
        <v>36</v>
      </c>
      <c r="B83" s="3">
        <v>17.349999999976717</v>
      </c>
      <c r="C83" s="3">
        <v>23.399999999965075</v>
      </c>
      <c r="D83" s="3">
        <v>24.46666666661622</v>
      </c>
      <c r="E83" s="3">
        <v>40.8666666666395</v>
      </c>
      <c r="F83" s="3">
        <v>48.56666666659294</v>
      </c>
      <c r="G83" s="3">
        <v>72.04999999998836</v>
      </c>
      <c r="H83" s="3">
        <v>96.28333333338378</v>
      </c>
      <c r="I83" s="3">
        <v>120.23333333339542</v>
      </c>
      <c r="J83" s="3">
        <v>144.016666666721</v>
      </c>
      <c r="K83" s="3">
        <v>168.016666666721</v>
      </c>
      <c r="L83" s="3">
        <v>192.09999999997672</v>
      </c>
      <c r="M83" s="4"/>
      <c r="N83" s="4"/>
      <c r="O83" s="4"/>
      <c r="P83" s="80"/>
      <c r="Q83" s="4"/>
      <c r="R83" s="4"/>
      <c r="S83" s="4"/>
      <c r="T83" s="4"/>
      <c r="U83" s="4"/>
      <c r="V83" s="4"/>
      <c r="W83" s="4"/>
      <c r="X83" s="4"/>
    </row>
    <row x14ac:dyDescent="0.25" r="84" customHeight="1" ht="18.75">
      <c r="A84" s="1" t="s">
        <v>37</v>
      </c>
      <c r="B84" s="3">
        <v>18.04999999998836</v>
      </c>
      <c r="C84" s="3">
        <v>23.13333333330229</v>
      </c>
      <c r="D84" s="3">
        <v>24.183333333407063</v>
      </c>
      <c r="E84" s="3">
        <v>48.600000000034925</v>
      </c>
      <c r="F84" s="3">
        <v>72.93333333340706</v>
      </c>
      <c r="G84" s="3">
        <v>96.28333333338378</v>
      </c>
      <c r="H84" s="3">
        <v>120.04999999998836</v>
      </c>
      <c r="I84" s="3">
        <v>149.7500000000582</v>
      </c>
      <c r="J84" s="5"/>
      <c r="K84" s="5"/>
      <c r="L84" s="4"/>
      <c r="M84" s="4"/>
      <c r="N84" s="4"/>
      <c r="O84" s="4"/>
      <c r="P84" s="80"/>
      <c r="Q84" s="4"/>
      <c r="R84" s="4"/>
      <c r="S84" s="4"/>
      <c r="T84" s="4"/>
      <c r="U84" s="4"/>
      <c r="V84" s="4"/>
      <c r="W84" s="4"/>
      <c r="X84" s="4"/>
    </row>
    <row x14ac:dyDescent="0.25" r="85" customHeight="1" ht="18.75">
      <c r="A85" s="1" t="s">
        <v>38</v>
      </c>
      <c r="B85" s="3">
        <v>20.349999999976717</v>
      </c>
      <c r="C85" s="3">
        <v>21.533333333325572</v>
      </c>
      <c r="D85" s="3">
        <v>24.28333333338378</v>
      </c>
      <c r="E85" s="3">
        <v>48.51666666660458</v>
      </c>
      <c r="F85" s="3">
        <v>72.1333333334187</v>
      </c>
      <c r="G85" s="3">
        <v>96.66666666674428</v>
      </c>
      <c r="H85" s="3">
        <v>114.86666666669771</v>
      </c>
      <c r="I85" s="3">
        <v>120.28333333338378</v>
      </c>
      <c r="J85" s="3">
        <v>144.41666666662786</v>
      </c>
      <c r="K85" s="3">
        <v>168.29999999993015</v>
      </c>
      <c r="L85" s="3">
        <v>192.51666666660458</v>
      </c>
      <c r="M85" s="3">
        <v>922.0666666666511</v>
      </c>
      <c r="N85" s="3">
        <v>925.1333333333605</v>
      </c>
      <c r="O85" s="4"/>
      <c r="P85" s="80"/>
      <c r="Q85" s="4"/>
      <c r="R85" s="4"/>
      <c r="S85" s="4"/>
      <c r="T85" s="4"/>
      <c r="U85" s="4"/>
      <c r="V85" s="4"/>
      <c r="W85" s="4"/>
      <c r="X85" s="4"/>
    </row>
    <row x14ac:dyDescent="0.25" r="86" customHeight="1" ht="18.75">
      <c r="A86" s="1" t="s">
        <v>39</v>
      </c>
      <c r="B86" s="3">
        <v>21.40000000008149</v>
      </c>
      <c r="C86" s="3">
        <v>24.999999999941792</v>
      </c>
      <c r="D86" s="3">
        <v>41.683333333348855</v>
      </c>
      <c r="E86" s="3">
        <v>54.16666666668607</v>
      </c>
      <c r="F86" s="3">
        <v>72.04999999998836</v>
      </c>
      <c r="G86" s="3">
        <v>101.96666666673264</v>
      </c>
      <c r="H86" s="3">
        <v>125.81666666659294</v>
      </c>
      <c r="I86" s="3">
        <v>168.06666666670935</v>
      </c>
      <c r="J86" s="3">
        <v>192.04999999998836</v>
      </c>
      <c r="K86" s="3">
        <v>210.89999999996508</v>
      </c>
      <c r="L86" s="3">
        <v>226.6333333334187</v>
      </c>
      <c r="M86" s="4"/>
      <c r="N86" s="4"/>
      <c r="O86" s="4"/>
      <c r="P86" s="80"/>
      <c r="Q86" s="4"/>
      <c r="R86" s="4"/>
      <c r="S86" s="4"/>
      <c r="T86" s="4"/>
      <c r="U86" s="4"/>
      <c r="V86" s="4"/>
      <c r="W86" s="4"/>
      <c r="X86" s="4"/>
    </row>
    <row x14ac:dyDescent="0.25" r="87" customHeight="1" ht="18.75">
      <c r="A87" s="1" t="s">
        <v>40</v>
      </c>
      <c r="B87" s="3">
        <v>2.516666666662786</v>
      </c>
      <c r="C87" s="3">
        <v>2.53333333338378</v>
      </c>
      <c r="D87" s="3">
        <v>16.233333333337214</v>
      </c>
      <c r="E87" s="3">
        <v>24.199999999953434</v>
      </c>
      <c r="F87" s="3">
        <v>48.33333333337214</v>
      </c>
      <c r="G87" s="3">
        <v>72.08333333325572</v>
      </c>
      <c r="H87" s="3">
        <v>96.03333333326736</v>
      </c>
      <c r="I87" s="3">
        <v>120.09999999997672</v>
      </c>
      <c r="J87" s="3">
        <v>140.6166666666395</v>
      </c>
      <c r="K87" s="3">
        <v>144.4833333333372</v>
      </c>
      <c r="L87" s="3">
        <v>176.8666666665813</v>
      </c>
      <c r="M87" s="4"/>
      <c r="N87" s="4"/>
      <c r="O87" s="4"/>
      <c r="P87" s="80"/>
      <c r="Q87" s="4"/>
      <c r="R87" s="4"/>
      <c r="S87" s="4"/>
      <c r="T87" s="4"/>
      <c r="U87" s="4"/>
      <c r="V87" s="4"/>
      <c r="W87" s="4"/>
      <c r="X87" s="4"/>
    </row>
    <row x14ac:dyDescent="0.25" r="88" customHeight="1" ht="18.75">
      <c r="A88" s="1" t="s">
        <v>41</v>
      </c>
      <c r="B88" s="3">
        <v>14.349999999976717</v>
      </c>
      <c r="C88" s="3">
        <v>19.483333333279006</v>
      </c>
      <c r="D88" s="3">
        <v>24.29999999993015</v>
      </c>
      <c r="E88" s="3">
        <v>49.016666666662786</v>
      </c>
      <c r="F88" s="3">
        <v>72.34999999991851</v>
      </c>
      <c r="G88" s="3">
        <v>101.59999999991851</v>
      </c>
      <c r="H88" s="3">
        <v>120.03333333326736</v>
      </c>
      <c r="I88" s="3">
        <v>144.04999999998836</v>
      </c>
      <c r="J88" s="3">
        <v>168.03333333326736</v>
      </c>
      <c r="K88" s="5"/>
      <c r="L88" s="4"/>
      <c r="M88" s="4"/>
      <c r="N88" s="4"/>
      <c r="O88" s="4"/>
      <c r="P88" s="80"/>
      <c r="Q88" s="4"/>
      <c r="R88" s="4"/>
      <c r="S88" s="4"/>
      <c r="T88" s="4"/>
      <c r="U88" s="4"/>
      <c r="V88" s="4"/>
      <c r="W88" s="4"/>
      <c r="X88" s="4"/>
    </row>
    <row x14ac:dyDescent="0.25" r="89" customHeight="1" ht="18.75">
      <c r="A89" s="1" t="s">
        <v>42</v>
      </c>
      <c r="B89" s="3">
        <v>19.066666666651145</v>
      </c>
      <c r="C89" s="3">
        <v>23.683333333348855</v>
      </c>
      <c r="D89" s="3">
        <v>24.216666666674428</v>
      </c>
      <c r="E89" s="3">
        <v>48.40000000008149</v>
      </c>
      <c r="F89" s="3">
        <v>72.03333333326736</v>
      </c>
      <c r="G89" s="3">
        <v>96.16666666668607</v>
      </c>
      <c r="H89" s="3">
        <v>120.11666666669771</v>
      </c>
      <c r="I89" s="3">
        <v>149.95000000001164</v>
      </c>
      <c r="J89" s="3">
        <v>168.04999999998836</v>
      </c>
      <c r="K89" s="3">
        <v>192.06666666670935</v>
      </c>
      <c r="L89" s="3">
        <v>210.45000000006985</v>
      </c>
      <c r="M89" s="3">
        <v>216.19999999995343</v>
      </c>
      <c r="N89" s="4"/>
      <c r="O89" s="4"/>
      <c r="P89" s="80"/>
      <c r="Q89" s="4"/>
      <c r="R89" s="4"/>
      <c r="S89" s="4"/>
      <c r="T89" s="4"/>
      <c r="U89" s="4"/>
      <c r="V89" s="4"/>
      <c r="W89" s="4"/>
      <c r="X89" s="4"/>
    </row>
    <row x14ac:dyDescent="0.25" r="90" customHeight="1" ht="18.75">
      <c r="A90" s="1" t="s">
        <v>43</v>
      </c>
      <c r="B90" s="3">
        <v>21.899999999965075</v>
      </c>
      <c r="C90" s="3">
        <v>24.500000000058208</v>
      </c>
      <c r="D90" s="3">
        <v>41.71666666661622</v>
      </c>
      <c r="E90" s="3">
        <v>48.266666666662786</v>
      </c>
      <c r="F90" s="3">
        <v>72.60000000003492</v>
      </c>
      <c r="G90" s="3">
        <v>96.53333333332557</v>
      </c>
      <c r="H90" s="3">
        <v>120.3833333333605</v>
      </c>
      <c r="I90" s="3">
        <v>138.23333333339542</v>
      </c>
      <c r="J90" s="3">
        <v>144.4833333333372</v>
      </c>
      <c r="K90" s="3">
        <v>168.09999999997672</v>
      </c>
      <c r="L90" s="4"/>
      <c r="M90" s="4"/>
      <c r="N90" s="4"/>
      <c r="O90" s="4"/>
      <c r="P90" s="80"/>
      <c r="Q90" s="4"/>
      <c r="R90" s="4"/>
      <c r="S90" s="4"/>
      <c r="T90" s="4"/>
      <c r="U90" s="4"/>
      <c r="V90" s="4"/>
      <c r="W90" s="4"/>
      <c r="X90" s="4"/>
    </row>
    <row x14ac:dyDescent="0.25" r="91" customHeight="1" ht="18.75">
      <c r="A91" s="1" t="s">
        <v>44</v>
      </c>
      <c r="B91" s="3">
        <v>8.54999999993015</v>
      </c>
      <c r="C91" s="3">
        <v>14.183333333290648</v>
      </c>
      <c r="D91" s="3">
        <v>24.40000000008149</v>
      </c>
      <c r="E91" s="3">
        <v>48.40000000008149</v>
      </c>
      <c r="F91" s="3">
        <v>72.21666666667443</v>
      </c>
      <c r="G91" s="3">
        <v>96.28333333338378</v>
      </c>
      <c r="H91" s="3">
        <v>125.80000000004657</v>
      </c>
      <c r="I91" s="3">
        <v>144.03333333326736</v>
      </c>
      <c r="J91" s="3">
        <v>168.04999999998836</v>
      </c>
      <c r="K91" s="3">
        <v>198.08333333325572</v>
      </c>
      <c r="L91" s="3">
        <v>221.70000000006985</v>
      </c>
      <c r="M91" s="3">
        <v>245.83333333331393</v>
      </c>
      <c r="N91" s="3">
        <v>264.03333333326736</v>
      </c>
      <c r="O91" s="3">
        <v>288.06666666670935</v>
      </c>
      <c r="P91" s="3">
        <v>341.8666666665813</v>
      </c>
      <c r="Q91" s="3">
        <v>365.7666666666046</v>
      </c>
      <c r="R91" s="3">
        <v>384.0833333332557</v>
      </c>
      <c r="S91" s="4"/>
      <c r="T91" s="4"/>
      <c r="U91" s="4"/>
      <c r="V91" s="4"/>
      <c r="W91" s="4"/>
      <c r="X91" s="4"/>
    </row>
    <row x14ac:dyDescent="0.25" r="92" customHeight="1" ht="18.75">
      <c r="A92" s="1" t="s">
        <v>45</v>
      </c>
      <c r="B92" s="3">
        <v>12.716666666732635</v>
      </c>
      <c r="C92" s="3">
        <v>14.516666666662786</v>
      </c>
      <c r="D92" s="3">
        <v>24.933333333407063</v>
      </c>
      <c r="E92" s="3">
        <v>48.23333333339542</v>
      </c>
      <c r="F92" s="3">
        <v>72.40000000008149</v>
      </c>
      <c r="G92" s="6">
        <v>96</v>
      </c>
      <c r="H92" s="3">
        <v>120.03333333326736</v>
      </c>
      <c r="I92" s="3">
        <v>149.8666666665813</v>
      </c>
      <c r="J92" s="5"/>
      <c r="K92" s="5"/>
      <c r="L92" s="4"/>
      <c r="M92" s="4"/>
      <c r="N92" s="4"/>
      <c r="O92" s="4"/>
      <c r="P92" s="80"/>
      <c r="Q92" s="4"/>
      <c r="R92" s="4"/>
      <c r="S92" s="4"/>
      <c r="T92" s="4"/>
      <c r="U92" s="4"/>
      <c r="V92" s="4"/>
      <c r="W92" s="4"/>
      <c r="X92" s="4"/>
    </row>
    <row x14ac:dyDescent="0.25" r="93" customHeight="1" ht="18.75">
      <c r="A93" s="1" t="s">
        <v>46</v>
      </c>
      <c r="B93" s="3">
        <v>17.050000000046566</v>
      </c>
      <c r="C93" s="3">
        <v>21.683333333290648</v>
      </c>
      <c r="D93" s="3">
        <v>24.41666666662786</v>
      </c>
      <c r="E93" s="3">
        <v>24.433333333348855</v>
      </c>
      <c r="F93" s="3">
        <v>48.56666666659294</v>
      </c>
      <c r="G93" s="3">
        <v>72.50000000005821</v>
      </c>
      <c r="H93" s="3">
        <v>96.81666666670935</v>
      </c>
      <c r="I93" s="3">
        <v>120.16666666668607</v>
      </c>
      <c r="J93" s="3">
        <v>144.16666666668607</v>
      </c>
      <c r="K93" s="3">
        <v>168.766666666721</v>
      </c>
      <c r="L93" s="3">
        <v>200.3833333334187</v>
      </c>
      <c r="M93" s="3">
        <v>216.016666666721</v>
      </c>
      <c r="N93" s="3">
        <v>240.04999999998836</v>
      </c>
      <c r="O93" s="3">
        <v>264.2166666666744</v>
      </c>
      <c r="P93" s="3">
        <v>288.1333333334187</v>
      </c>
      <c r="Q93" s="3">
        <v>312.1166666666977</v>
      </c>
      <c r="R93" s="3">
        <v>336.0833333332557</v>
      </c>
      <c r="S93" s="3">
        <v>360.04999999998836</v>
      </c>
      <c r="T93" s="3">
        <v>389.7500000000582</v>
      </c>
      <c r="U93" s="3">
        <v>408.0833333332557</v>
      </c>
      <c r="V93" s="3">
        <v>432.0999999999767</v>
      </c>
      <c r="W93" s="3">
        <v>462.0833333332557</v>
      </c>
      <c r="X93" s="3">
        <v>486.016666666721</v>
      </c>
    </row>
    <row x14ac:dyDescent="0.25" r="94" customHeight="1" ht="18.75">
      <c r="A94" s="1" t="s">
        <v>47</v>
      </c>
      <c r="B94" s="3">
        <v>15.700000000011642</v>
      </c>
      <c r="C94" s="3">
        <v>22.816666666651145</v>
      </c>
      <c r="D94" s="3">
        <v>24.86666666669771</v>
      </c>
      <c r="E94" s="3">
        <v>48.600000000034925</v>
      </c>
      <c r="F94" s="3">
        <v>72.28333333338378</v>
      </c>
      <c r="G94" s="3">
        <v>96.65000000002328</v>
      </c>
      <c r="H94" s="3">
        <v>120.016666666721</v>
      </c>
      <c r="I94" s="3">
        <v>144.03333333326736</v>
      </c>
      <c r="J94" s="3">
        <v>160.71666666667443</v>
      </c>
      <c r="K94" s="3">
        <v>173.6166666666395</v>
      </c>
      <c r="L94" s="4"/>
      <c r="M94" s="4"/>
      <c r="N94" s="4"/>
      <c r="O94" s="4"/>
      <c r="P94" s="80"/>
      <c r="Q94" s="4"/>
      <c r="R94" s="4"/>
      <c r="S94" s="4"/>
      <c r="T94" s="4"/>
      <c r="U94" s="4"/>
      <c r="V94" s="4"/>
      <c r="W94" s="4"/>
      <c r="X94" s="4"/>
    </row>
    <row x14ac:dyDescent="0.25" r="95" customHeight="1" ht="18.75">
      <c r="A95" s="1" t="s">
        <v>48</v>
      </c>
      <c r="B95" s="3">
        <v>23.050000000046566</v>
      </c>
      <c r="C95" s="3">
        <v>24.29999999993015</v>
      </c>
      <c r="D95" s="3">
        <v>48.45000000006985</v>
      </c>
      <c r="E95" s="3">
        <v>72.43333333334886</v>
      </c>
      <c r="F95" s="3">
        <v>96.1333333334187</v>
      </c>
      <c r="G95" s="3">
        <v>120.16666666668607</v>
      </c>
      <c r="H95" s="3">
        <v>144.56666666659294</v>
      </c>
      <c r="I95" s="3">
        <v>168.08333333325572</v>
      </c>
      <c r="J95" s="3">
        <v>192.06666666670935</v>
      </c>
      <c r="K95" s="5"/>
      <c r="L95" s="4"/>
      <c r="M95" s="4"/>
      <c r="N95" s="4"/>
      <c r="O95" s="4"/>
      <c r="P95" s="80"/>
      <c r="Q95" s="4"/>
      <c r="R95" s="4"/>
      <c r="S95" s="4"/>
      <c r="T95" s="4"/>
      <c r="U95" s="4"/>
      <c r="V95" s="4"/>
      <c r="W95" s="4"/>
      <c r="X95" s="4"/>
    </row>
    <row x14ac:dyDescent="0.25" r="96" customHeight="1" ht="18.75">
      <c r="A96" s="1" t="s">
        <v>49</v>
      </c>
      <c r="B96" s="3">
        <v>22.983333333337214</v>
      </c>
      <c r="C96" s="3">
        <v>24.566666666592937</v>
      </c>
      <c r="D96" s="3">
        <v>25.5</v>
      </c>
      <c r="E96" s="3">
        <v>41.966666666732635</v>
      </c>
      <c r="F96" s="3">
        <v>48.08333333325572</v>
      </c>
      <c r="G96" s="3">
        <v>72.34999999991851</v>
      </c>
      <c r="H96" s="3">
        <v>96.29999999993015</v>
      </c>
      <c r="I96" s="3">
        <v>120.06666666670935</v>
      </c>
      <c r="J96" s="3">
        <v>144.2499999999418</v>
      </c>
      <c r="K96" s="3">
        <v>168.016666666721</v>
      </c>
      <c r="L96" s="4"/>
      <c r="M96" s="4"/>
      <c r="N96" s="4"/>
      <c r="O96" s="4"/>
      <c r="P96" s="80"/>
      <c r="Q96" s="4"/>
      <c r="R96" s="4"/>
      <c r="S96" s="4"/>
      <c r="T96" s="4"/>
      <c r="U96" s="4"/>
      <c r="V96" s="4"/>
      <c r="W96" s="4"/>
      <c r="X96" s="4"/>
    </row>
    <row x14ac:dyDescent="0.25" r="97" customHeight="1" ht="18.75">
      <c r="A97" s="1" t="s">
        <v>50</v>
      </c>
      <c r="B97" s="3">
        <v>16.03333333338378</v>
      </c>
      <c r="C97" s="3">
        <v>21.75</v>
      </c>
      <c r="D97" s="3">
        <v>24.083333333255723</v>
      </c>
      <c r="E97" s="3">
        <v>48.21666666667443</v>
      </c>
      <c r="F97" s="3">
        <v>72.43333333334886</v>
      </c>
      <c r="G97" s="3">
        <v>96.16666666668607</v>
      </c>
      <c r="H97" s="3">
        <v>120.1333333334187</v>
      </c>
      <c r="I97" s="5"/>
      <c r="J97" s="5"/>
      <c r="K97" s="5"/>
      <c r="L97" s="4"/>
      <c r="M97" s="4"/>
      <c r="N97" s="4"/>
      <c r="O97" s="4"/>
      <c r="P97" s="80"/>
      <c r="Q97" s="4"/>
      <c r="R97" s="4"/>
      <c r="S97" s="4"/>
      <c r="T97" s="4"/>
      <c r="U97" s="4"/>
      <c r="V97" s="4"/>
      <c r="W97" s="4"/>
      <c r="X97" s="4"/>
    </row>
    <row x14ac:dyDescent="0.25" r="98" customHeight="1" ht="18.75">
      <c r="A98" s="1" t="s">
        <v>51</v>
      </c>
      <c r="B98" s="3">
        <v>11.70000000006985</v>
      </c>
      <c r="C98" s="3">
        <v>17.48333333339542</v>
      </c>
      <c r="D98" s="3">
        <v>24.11666666669771</v>
      </c>
      <c r="E98" s="3">
        <v>48.28333333338378</v>
      </c>
      <c r="F98" s="3">
        <v>72.28333333338378</v>
      </c>
      <c r="G98" s="3">
        <v>96.26666666666279</v>
      </c>
      <c r="H98" s="3">
        <v>131.71666666661622</v>
      </c>
      <c r="I98" s="3">
        <v>144.3833333333605</v>
      </c>
      <c r="J98" s="3">
        <v>168.08333333325572</v>
      </c>
      <c r="K98" s="5"/>
      <c r="L98" s="4"/>
      <c r="M98" s="4"/>
      <c r="N98" s="4"/>
      <c r="O98" s="4"/>
      <c r="P98" s="80"/>
      <c r="Q98" s="4"/>
      <c r="R98" s="4"/>
      <c r="S98" s="4"/>
      <c r="T98" s="4"/>
      <c r="U98" s="4"/>
      <c r="V98" s="4"/>
      <c r="W98" s="4"/>
      <c r="X98" s="4"/>
    </row>
    <row x14ac:dyDescent="0.25" r="99" customHeight="1" ht="18.75">
      <c r="A99" s="1" t="s">
        <v>52</v>
      </c>
      <c r="B99" s="3">
        <v>1.0166666666627862</v>
      </c>
      <c r="C99" s="3">
        <v>1.3500000000349246</v>
      </c>
      <c r="D99" s="3">
        <v>15.666666666744277</v>
      </c>
      <c r="E99" s="3">
        <v>26.48333333339542</v>
      </c>
      <c r="F99" s="3">
        <v>48.483333333337214</v>
      </c>
      <c r="G99" s="3">
        <v>72.51666666660458</v>
      </c>
      <c r="H99" s="3">
        <v>96.06666666670935</v>
      </c>
      <c r="I99" s="3">
        <v>120.33333333337214</v>
      </c>
      <c r="J99" s="3">
        <v>144.06666666670935</v>
      </c>
      <c r="K99" s="3">
        <v>168.08333333325572</v>
      </c>
      <c r="L99" s="3">
        <v>192.08333333325572</v>
      </c>
      <c r="M99" s="3">
        <v>216.06666666670935</v>
      </c>
      <c r="N99" s="3">
        <v>245.78333333332557</v>
      </c>
      <c r="O99" s="3">
        <v>264.04999999998836</v>
      </c>
      <c r="P99" s="3">
        <v>288.06666666670935</v>
      </c>
      <c r="Q99" s="3">
        <v>313.08333333337214</v>
      </c>
      <c r="R99" s="3">
        <v>336.1333333334187</v>
      </c>
      <c r="S99" s="3">
        <v>360.2166666666744</v>
      </c>
      <c r="T99" s="4"/>
      <c r="U99" s="4"/>
      <c r="V99" s="4"/>
      <c r="W99" s="4"/>
      <c r="X99" s="4"/>
    </row>
    <row x14ac:dyDescent="0.25" r="100" customHeight="1" ht="18.75">
      <c r="A100" s="1" t="s">
        <v>53</v>
      </c>
      <c r="B100" s="3">
        <v>16.38333333330229</v>
      </c>
      <c r="C100" s="3">
        <v>21.533333333325572</v>
      </c>
      <c r="D100" s="3">
        <v>24.16666666668607</v>
      </c>
      <c r="E100" s="3">
        <v>48.46666666661622</v>
      </c>
      <c r="F100" s="3">
        <v>72.48333333333721</v>
      </c>
      <c r="G100" s="3">
        <v>96.09999999997672</v>
      </c>
      <c r="H100" s="3">
        <v>144.04999999998836</v>
      </c>
      <c r="I100" s="3">
        <v>168.06666666670935</v>
      </c>
      <c r="J100" s="3">
        <v>192.1166666666977</v>
      </c>
      <c r="K100" s="5"/>
      <c r="L100" s="4"/>
      <c r="M100" s="4"/>
      <c r="N100" s="4"/>
      <c r="O100" s="4"/>
      <c r="P100" s="80"/>
      <c r="Q100" s="4"/>
      <c r="R100" s="4"/>
      <c r="S100" s="4"/>
      <c r="T100" s="4"/>
      <c r="U100" s="4"/>
      <c r="V100" s="4"/>
      <c r="W100" s="4"/>
      <c r="X100" s="4"/>
    </row>
    <row x14ac:dyDescent="0.25" r="101" customHeight="1" ht="18.75">
      <c r="A101" s="1" t="s">
        <v>54</v>
      </c>
      <c r="B101" s="3">
        <v>21.04999999998836</v>
      </c>
      <c r="C101" s="3">
        <v>24.033333333267365</v>
      </c>
      <c r="D101" s="3">
        <v>24.11666666669771</v>
      </c>
      <c r="E101" s="3">
        <v>40.66666666668607</v>
      </c>
      <c r="F101" s="3">
        <v>48.033333333267365</v>
      </c>
      <c r="G101" s="3">
        <v>72.24999999994179</v>
      </c>
      <c r="H101" s="3">
        <v>96.70000000001164</v>
      </c>
      <c r="I101" s="3">
        <v>111.79999999998836</v>
      </c>
      <c r="J101" s="3">
        <v>120.16666666668607</v>
      </c>
      <c r="K101" s="3">
        <v>144.08333333325572</v>
      </c>
      <c r="L101" s="3">
        <v>168.4833333333372</v>
      </c>
      <c r="M101" s="4"/>
      <c r="N101" s="4"/>
      <c r="O101" s="4"/>
      <c r="P101" s="80"/>
      <c r="Q101" s="4"/>
      <c r="R101" s="4"/>
      <c r="S101" s="4"/>
      <c r="T101" s="4"/>
      <c r="U101" s="4"/>
      <c r="V101" s="4"/>
      <c r="W101" s="4"/>
      <c r="X101" s="4"/>
    </row>
    <row x14ac:dyDescent="0.25" r="102" customHeight="1" ht="18.75">
      <c r="A102" s="1" t="s">
        <v>55</v>
      </c>
      <c r="B102" s="3">
        <v>11.200000000011642</v>
      </c>
      <c r="C102" s="3">
        <v>17.433333333407063</v>
      </c>
      <c r="D102" s="3">
        <v>24.133333333418705</v>
      </c>
      <c r="E102" s="3">
        <v>48.149999999965075</v>
      </c>
      <c r="F102" s="3">
        <v>72.08333333325572</v>
      </c>
      <c r="G102" s="3">
        <v>96.11666666669771</v>
      </c>
      <c r="H102" s="3">
        <v>120.34999999991851</v>
      </c>
      <c r="I102" s="3">
        <v>144.45000000006985</v>
      </c>
      <c r="J102" s="3">
        <v>168.2666666666628</v>
      </c>
      <c r="K102" s="3">
        <v>190.03333333338378</v>
      </c>
      <c r="L102" s="3">
        <v>192.23333333339542</v>
      </c>
      <c r="M102" s="3">
        <v>246.19999999995343</v>
      </c>
      <c r="N102" s="4"/>
      <c r="O102" s="4"/>
      <c r="P102" s="80"/>
      <c r="Q102" s="4"/>
      <c r="R102" s="4"/>
      <c r="S102" s="4"/>
      <c r="T102" s="4"/>
      <c r="U102" s="4"/>
      <c r="V102" s="4"/>
      <c r="W102" s="4"/>
      <c r="X102" s="4"/>
    </row>
    <row x14ac:dyDescent="0.25" r="103" customHeight="1" ht="18.75">
      <c r="A103" s="1" t="s">
        <v>56</v>
      </c>
      <c r="B103" s="3">
        <v>20.349999999976717</v>
      </c>
      <c r="C103" s="3">
        <v>23.166666666744277</v>
      </c>
      <c r="D103" s="3">
        <v>24.11666666669771</v>
      </c>
      <c r="E103" s="3">
        <v>48.29999999993015</v>
      </c>
      <c r="F103" s="3">
        <v>72.34999999991851</v>
      </c>
      <c r="G103" s="3">
        <v>96.23333333339542</v>
      </c>
      <c r="H103" s="3">
        <v>120.09999999997672</v>
      </c>
      <c r="I103" s="3">
        <v>144.08333333325572</v>
      </c>
      <c r="J103" s="5"/>
      <c r="K103" s="5"/>
      <c r="L103" s="4"/>
      <c r="M103" s="4"/>
      <c r="N103" s="4"/>
      <c r="O103" s="4"/>
      <c r="P103" s="80"/>
      <c r="Q103" s="4"/>
      <c r="R103" s="4"/>
      <c r="S103" s="4"/>
      <c r="T103" s="4"/>
      <c r="U103" s="4"/>
      <c r="V103" s="4"/>
      <c r="W103" s="4"/>
      <c r="X103" s="4"/>
    </row>
    <row x14ac:dyDescent="0.25" r="104" customHeight="1" ht="18.75">
      <c r="A104" s="1" t="s">
        <v>57</v>
      </c>
      <c r="B104" s="3">
        <v>14.750000000058208</v>
      </c>
      <c r="C104" s="3">
        <v>19.016666666662786</v>
      </c>
      <c r="D104" s="3">
        <v>24.29999999993015</v>
      </c>
      <c r="E104" s="3">
        <v>48.45000000006985</v>
      </c>
      <c r="F104" s="3">
        <v>65.33333333325572</v>
      </c>
      <c r="G104" s="3">
        <v>72.43333333334886</v>
      </c>
      <c r="H104" s="3">
        <v>96.1333333334187</v>
      </c>
      <c r="I104" s="3">
        <v>120.31666666665114</v>
      </c>
      <c r="J104" s="5"/>
      <c r="K104" s="5"/>
      <c r="L104" s="4"/>
      <c r="M104" s="4"/>
      <c r="N104" s="4"/>
      <c r="O104" s="4"/>
      <c r="P104" s="80"/>
      <c r="Q104" s="4"/>
      <c r="R104" s="4"/>
      <c r="S104" s="4"/>
      <c r="T104" s="4"/>
      <c r="U104" s="4"/>
      <c r="V104" s="4"/>
      <c r="W104" s="4"/>
      <c r="X104" s="4"/>
    </row>
    <row x14ac:dyDescent="0.25" r="105" customHeight="1" ht="18.75">
      <c r="A105" s="1" t="s">
        <v>58</v>
      </c>
      <c r="B105" s="3">
        <v>18.683333333290648</v>
      </c>
      <c r="C105" s="3">
        <v>23.066666666592937</v>
      </c>
      <c r="D105" s="3">
        <v>24.29999999993015</v>
      </c>
      <c r="E105" s="3">
        <v>48.45000000006985</v>
      </c>
      <c r="F105" s="3">
        <v>72.43333333334886</v>
      </c>
      <c r="G105" s="3">
        <v>96.1333333334187</v>
      </c>
      <c r="H105" s="3">
        <v>120.16666666668607</v>
      </c>
      <c r="I105" s="3">
        <v>144.016666666721</v>
      </c>
      <c r="J105" s="5"/>
      <c r="K105" s="5"/>
      <c r="L105" s="4"/>
      <c r="M105" s="4"/>
      <c r="N105" s="4"/>
      <c r="O105" s="4"/>
      <c r="P105" s="80"/>
      <c r="Q105" s="4"/>
      <c r="R105" s="4"/>
      <c r="S105" s="4"/>
      <c r="T105" s="4"/>
      <c r="U105" s="4"/>
      <c r="V105" s="4"/>
      <c r="W105" s="4"/>
      <c r="X105" s="4"/>
    </row>
    <row x14ac:dyDescent="0.25" r="106" customHeight="1" ht="18.75">
      <c r="A106" s="1" t="s">
        <v>59</v>
      </c>
      <c r="B106" s="3">
        <v>11.916666666744277</v>
      </c>
      <c r="C106" s="3">
        <v>21.23333333339542</v>
      </c>
      <c r="D106" s="3">
        <v>24.34999999991851</v>
      </c>
      <c r="E106" s="3">
        <v>48.33333333337214</v>
      </c>
      <c r="F106" s="3">
        <v>72.24999999994179</v>
      </c>
      <c r="G106" s="3">
        <v>96.71666666673264</v>
      </c>
      <c r="H106" s="3">
        <v>125.70000000006985</v>
      </c>
      <c r="I106" s="3">
        <v>144.016666666721</v>
      </c>
      <c r="J106" s="5"/>
      <c r="K106" s="5"/>
      <c r="L106" s="4"/>
      <c r="M106" s="4"/>
      <c r="N106" s="4"/>
      <c r="O106" s="4"/>
      <c r="P106" s="80"/>
      <c r="Q106" s="4"/>
      <c r="R106" s="4"/>
      <c r="S106" s="4"/>
      <c r="T106" s="4"/>
      <c r="U106" s="4"/>
      <c r="V106" s="4"/>
      <c r="W106" s="4"/>
      <c r="X106" s="4"/>
    </row>
    <row x14ac:dyDescent="0.25" r="107" customHeight="1" ht="18.75">
      <c r="A107" s="1" t="s">
        <v>60</v>
      </c>
      <c r="B107" s="3">
        <v>14.41666666668607</v>
      </c>
      <c r="C107" s="3">
        <v>23.54999999993015</v>
      </c>
      <c r="D107" s="3">
        <v>24.45000000006985</v>
      </c>
      <c r="E107" s="3">
        <v>48.91666666668607</v>
      </c>
      <c r="F107" s="3">
        <v>72.41666666662786</v>
      </c>
      <c r="G107" s="3">
        <v>96.21666666667443</v>
      </c>
      <c r="H107" s="3">
        <v>120.18333333340706</v>
      </c>
      <c r="I107" s="3">
        <v>144.51666666660458</v>
      </c>
      <c r="J107" s="3">
        <v>174.06666666670935</v>
      </c>
      <c r="K107" s="3">
        <v>197.76666666660458</v>
      </c>
      <c r="L107" s="3">
        <v>221.6333333333605</v>
      </c>
      <c r="M107" s="3">
        <v>240.06666666670935</v>
      </c>
      <c r="N107" s="4"/>
      <c r="O107" s="4"/>
      <c r="P107" s="80"/>
      <c r="Q107" s="4"/>
      <c r="R107" s="4"/>
      <c r="S107" s="4"/>
      <c r="T107" s="4"/>
      <c r="U107" s="4"/>
      <c r="V107" s="4"/>
      <c r="W107" s="4"/>
      <c r="X107" s="4"/>
    </row>
    <row x14ac:dyDescent="0.25" r="108" customHeight="1" ht="18.75">
      <c r="A108" s="1" t="s">
        <v>61</v>
      </c>
      <c r="B108" s="3">
        <v>13.916666666627862</v>
      </c>
      <c r="C108" s="6">
        <v>18</v>
      </c>
      <c r="D108" s="3">
        <v>24.34999999991851</v>
      </c>
      <c r="E108" s="3">
        <v>48.550000000046566</v>
      </c>
      <c r="F108" s="3">
        <v>77.75000000005821</v>
      </c>
      <c r="G108" s="3">
        <v>101.70000000006985</v>
      </c>
      <c r="H108" s="3">
        <v>120.21666666667443</v>
      </c>
      <c r="I108" s="5"/>
      <c r="J108" s="5"/>
      <c r="K108" s="5"/>
      <c r="L108" s="4"/>
      <c r="M108" s="4"/>
      <c r="N108" s="4"/>
      <c r="O108" s="4"/>
      <c r="P108" s="80"/>
      <c r="Q108" s="4"/>
      <c r="R108" s="4"/>
      <c r="S108" s="4"/>
      <c r="T108" s="4"/>
      <c r="U108" s="4"/>
      <c r="V108" s="4"/>
      <c r="W108" s="4"/>
      <c r="X108" s="4"/>
    </row>
    <row x14ac:dyDescent="0.25" r="109" customHeight="1" ht="18.75">
      <c r="A109" s="1" t="s">
        <v>62</v>
      </c>
      <c r="B109" s="3">
        <v>17.066666666592937</v>
      </c>
      <c r="C109" s="3">
        <v>22.533333333267365</v>
      </c>
      <c r="D109" s="3">
        <v>24.316666666651145</v>
      </c>
      <c r="E109" s="3">
        <v>48.18333333340706</v>
      </c>
      <c r="F109" s="3">
        <v>72.19999999995343</v>
      </c>
      <c r="G109" s="3">
        <v>96.08333333325572</v>
      </c>
      <c r="H109" s="3">
        <v>120.08333333325572</v>
      </c>
      <c r="I109" s="3">
        <v>149.54999999993015</v>
      </c>
      <c r="J109" s="3">
        <v>168.08333333325572</v>
      </c>
      <c r="K109" s="3">
        <v>192.19999999995343</v>
      </c>
      <c r="L109" s="4"/>
      <c r="M109" s="4"/>
      <c r="N109" s="4"/>
      <c r="O109" s="4"/>
      <c r="P109" s="80"/>
      <c r="Q109" s="4"/>
      <c r="R109" s="4"/>
      <c r="S109" s="4"/>
      <c r="T109" s="4"/>
      <c r="U109" s="4"/>
      <c r="V109" s="4"/>
      <c r="W109" s="4"/>
      <c r="X109" s="4"/>
    </row>
    <row x14ac:dyDescent="0.25" r="110" customHeight="1" ht="18.75">
      <c r="A110" s="1" t="s">
        <v>63</v>
      </c>
      <c r="B110" s="3">
        <v>20.116666666581295</v>
      </c>
      <c r="C110" s="3">
        <v>21.899999999965075</v>
      </c>
      <c r="D110" s="3">
        <v>24.28333333338378</v>
      </c>
      <c r="E110" s="3">
        <v>48.40000000008149</v>
      </c>
      <c r="F110" s="3">
        <v>72.53333333332557</v>
      </c>
      <c r="G110" s="3">
        <v>96.46666666661622</v>
      </c>
      <c r="H110" s="3">
        <v>120.04999999998836</v>
      </c>
      <c r="I110" s="3">
        <v>144.016666666721</v>
      </c>
      <c r="J110" s="3">
        <v>168.14999999996508</v>
      </c>
      <c r="K110" s="5"/>
      <c r="L110" s="4"/>
      <c r="M110" s="4"/>
      <c r="N110" s="4"/>
      <c r="O110" s="4"/>
      <c r="P110" s="80"/>
      <c r="Q110" s="4"/>
      <c r="R110" s="4"/>
      <c r="S110" s="4"/>
      <c r="T110" s="4"/>
      <c r="U110" s="4"/>
      <c r="V110" s="4"/>
      <c r="W110" s="4"/>
      <c r="X110" s="4"/>
    </row>
    <row x14ac:dyDescent="0.25" r="111" customHeight="1" ht="18.75">
      <c r="A111" s="1" t="s">
        <v>64</v>
      </c>
      <c r="B111" s="3">
        <v>17.54999999993015</v>
      </c>
      <c r="C111" s="3">
        <v>22.016666666662786</v>
      </c>
      <c r="D111" s="3">
        <v>24.33333333337214</v>
      </c>
      <c r="E111" s="3">
        <v>48.3666666666395</v>
      </c>
      <c r="F111" s="3">
        <v>72.19999999995343</v>
      </c>
      <c r="G111" s="3">
        <v>96.45000000006985</v>
      </c>
      <c r="H111" s="3">
        <v>120.56666666659294</v>
      </c>
      <c r="I111" s="3">
        <v>144.06666666670935</v>
      </c>
      <c r="J111" s="3">
        <v>168.18333333340706</v>
      </c>
      <c r="K111" s="3">
        <v>197.6500000000815</v>
      </c>
      <c r="L111" s="3">
        <v>216.03333333326736</v>
      </c>
      <c r="M111" s="3">
        <v>240.03333333326736</v>
      </c>
      <c r="N111" s="3">
        <v>264.06666666670935</v>
      </c>
      <c r="O111" s="3">
        <v>288.1166666666977</v>
      </c>
      <c r="P111" s="6">
        <v>318</v>
      </c>
      <c r="Q111" s="3">
        <v>336.04999999998836</v>
      </c>
      <c r="R111" s="3">
        <v>351.6500000000233</v>
      </c>
      <c r="S111" s="3">
        <v>360.0999999999767</v>
      </c>
      <c r="T111" s="4"/>
      <c r="U111" s="4"/>
      <c r="V111" s="4"/>
      <c r="W111" s="4"/>
      <c r="X111" s="4"/>
    </row>
    <row x14ac:dyDescent="0.25" r="112" customHeight="1" ht="18.75">
      <c r="A112" s="1" t="s">
        <v>0</v>
      </c>
      <c r="B112" s="6">
        <v>6</v>
      </c>
      <c r="C112" s="3">
        <v>10.466666666558012</v>
      </c>
      <c r="D112" s="3">
        <v>18.93333333323244</v>
      </c>
      <c r="E112" s="3">
        <v>43.46666666655801</v>
      </c>
      <c r="F112" s="3">
        <v>67.41666666656965</v>
      </c>
      <c r="G112" s="3">
        <v>92.58333333319752</v>
      </c>
      <c r="H112" s="3">
        <v>116.20000000001164</v>
      </c>
      <c r="I112" s="3">
        <v>164.0999999998603</v>
      </c>
      <c r="J112" s="5"/>
      <c r="K112" s="5"/>
      <c r="L112" s="4"/>
      <c r="M112" s="4"/>
      <c r="N112" s="4"/>
      <c r="O112" s="4"/>
      <c r="P112" s="80"/>
      <c r="Q112" s="4"/>
      <c r="R112" s="4"/>
      <c r="S112" s="4"/>
      <c r="T112" s="4"/>
      <c r="U112" s="4"/>
      <c r="V112" s="4"/>
      <c r="W112" s="4"/>
      <c r="X112" s="4"/>
    </row>
    <row x14ac:dyDescent="0.25" r="113" customHeight="1" ht="18.75">
      <c r="A113" s="1" t="s">
        <v>1</v>
      </c>
      <c r="B113" s="3">
        <v>5.066666666592937</v>
      </c>
      <c r="C113" s="3">
        <v>10.316666666592937</v>
      </c>
      <c r="D113" s="3">
        <v>22.833333333197515</v>
      </c>
      <c r="E113" s="3">
        <v>48.11666666652309</v>
      </c>
      <c r="F113" s="3">
        <v>72.08333333325572</v>
      </c>
      <c r="G113" s="3">
        <v>97.26666666660458</v>
      </c>
      <c r="H113" s="3">
        <v>120.76666666654637</v>
      </c>
      <c r="I113" s="3">
        <v>144.65000000002328</v>
      </c>
      <c r="J113" s="3">
        <v>168.70000000001164</v>
      </c>
      <c r="K113" s="5"/>
      <c r="L113" s="4"/>
      <c r="M113" s="4"/>
      <c r="N113" s="4"/>
      <c r="O113" s="4"/>
      <c r="P113" s="80"/>
      <c r="Q113" s="4"/>
      <c r="R113" s="4"/>
      <c r="S113" s="4"/>
      <c r="T113" s="4"/>
      <c r="U113" s="4"/>
      <c r="V113" s="4"/>
      <c r="W113" s="4"/>
      <c r="X113" s="4"/>
    </row>
    <row x14ac:dyDescent="0.25" r="114" customHeight="1" ht="18.75">
      <c r="A114" s="1" t="s">
        <v>2</v>
      </c>
      <c r="B114" s="3">
        <v>0.8499999999767169</v>
      </c>
      <c r="C114" s="3">
        <v>3.849999999976717</v>
      </c>
      <c r="D114" s="3">
        <v>11.08333333331393</v>
      </c>
      <c r="E114" s="3">
        <v>35.13333333330229</v>
      </c>
      <c r="F114" s="3">
        <v>58.5</v>
      </c>
      <c r="G114" s="3">
        <v>81.98333333339542</v>
      </c>
      <c r="H114" s="3">
        <v>106.31666666659294</v>
      </c>
      <c r="I114" s="5"/>
      <c r="J114" s="5"/>
      <c r="K114" s="5"/>
      <c r="L114" s="4"/>
      <c r="M114" s="4"/>
      <c r="N114" s="4"/>
      <c r="O114" s="4"/>
      <c r="P114" s="80"/>
      <c r="Q114" s="4"/>
      <c r="R114" s="4"/>
      <c r="S114" s="4"/>
      <c r="T114" s="4"/>
      <c r="U114" s="4"/>
      <c r="V114" s="4"/>
      <c r="W114" s="4"/>
      <c r="X114" s="4"/>
    </row>
    <row x14ac:dyDescent="0.25" r="115" customHeight="1" ht="18.75">
      <c r="A115" s="1" t="s">
        <v>3</v>
      </c>
      <c r="B115" s="3">
        <v>5.150000000023283</v>
      </c>
      <c r="C115" s="3">
        <v>12.366666666639503</v>
      </c>
      <c r="D115" s="3">
        <v>19.466666666558012</v>
      </c>
      <c r="E115" s="3">
        <v>44.733333333337214</v>
      </c>
      <c r="F115" s="3">
        <v>68.25</v>
      </c>
      <c r="G115" s="5"/>
      <c r="H115" s="5"/>
      <c r="I115" s="5"/>
      <c r="J115" s="5"/>
      <c r="K115" s="5"/>
      <c r="L115" s="4"/>
      <c r="M115" s="4"/>
      <c r="N115" s="4"/>
      <c r="O115" s="4"/>
      <c r="P115" s="80"/>
      <c r="Q115" s="4"/>
      <c r="R115" s="4"/>
      <c r="S115" s="4"/>
      <c r="T115" s="4"/>
      <c r="U115" s="4"/>
      <c r="V115" s="4"/>
      <c r="W115" s="4"/>
      <c r="X115" s="4"/>
    </row>
    <row x14ac:dyDescent="0.25" r="116" customHeight="1" ht="18.75">
      <c r="A116" s="1" t="s">
        <v>4</v>
      </c>
      <c r="B116" s="3">
        <v>5.183333333465271</v>
      </c>
      <c r="C116" s="3">
        <v>9.45000000006985</v>
      </c>
      <c r="D116" s="3">
        <v>29.566666666651145</v>
      </c>
      <c r="E116" s="3">
        <v>54.96666666667443</v>
      </c>
      <c r="F116" s="3">
        <v>78.65000000002328</v>
      </c>
      <c r="G116" s="3">
        <v>102.46666666679084</v>
      </c>
      <c r="H116" s="3">
        <v>126.5166666667792</v>
      </c>
      <c r="I116" s="5"/>
      <c r="J116" s="5"/>
      <c r="K116" s="5"/>
      <c r="L116" s="4"/>
      <c r="M116" s="4"/>
      <c r="N116" s="4"/>
      <c r="O116" s="4"/>
      <c r="P116" s="80"/>
      <c r="Q116" s="4"/>
      <c r="R116" s="4"/>
      <c r="S116" s="4"/>
      <c r="T116" s="4"/>
      <c r="U116" s="4"/>
      <c r="V116" s="4"/>
      <c r="W116" s="4"/>
      <c r="X116" s="4"/>
    </row>
    <row x14ac:dyDescent="0.25" r="117" customHeight="1" ht="18.75">
      <c r="A117" s="1" t="s">
        <v>5</v>
      </c>
      <c r="B117" s="3">
        <v>4.383333333302289</v>
      </c>
      <c r="C117" s="3">
        <v>12.083333333255723</v>
      </c>
      <c r="D117" s="3">
        <v>14.116666666581295</v>
      </c>
      <c r="E117" s="3">
        <v>38.26666666654637</v>
      </c>
      <c r="F117" s="3">
        <v>61.833333333197515</v>
      </c>
      <c r="G117" s="3">
        <v>86.03333333332557</v>
      </c>
      <c r="H117" s="3">
        <v>110.36666666652309</v>
      </c>
      <c r="I117" s="5"/>
      <c r="J117" s="5"/>
      <c r="K117" s="5"/>
      <c r="L117" s="4"/>
      <c r="M117" s="4"/>
      <c r="N117" s="4"/>
      <c r="O117" s="4"/>
      <c r="P117" s="80"/>
      <c r="Q117" s="4"/>
      <c r="R117" s="4"/>
      <c r="S117" s="4"/>
      <c r="T117" s="4"/>
      <c r="U117" s="4"/>
      <c r="V117" s="4"/>
      <c r="W117" s="4"/>
      <c r="X117" s="4"/>
    </row>
    <row x14ac:dyDescent="0.25" r="118" customHeight="1" ht="18.75">
      <c r="A118" s="1" t="s">
        <v>6</v>
      </c>
      <c r="B118" s="3">
        <v>8.71666666661622</v>
      </c>
      <c r="C118" s="3">
        <v>26.033333333325572</v>
      </c>
      <c r="D118" s="3">
        <v>50.83333333331393</v>
      </c>
      <c r="E118" s="5"/>
      <c r="F118" s="5"/>
      <c r="G118" s="5"/>
      <c r="H118" s="5"/>
      <c r="I118" s="5"/>
      <c r="J118" s="5"/>
      <c r="K118" s="5"/>
      <c r="L118" s="4"/>
      <c r="M118" s="4"/>
      <c r="N118" s="4"/>
      <c r="O118" s="4"/>
      <c r="P118" s="80"/>
      <c r="Q118" s="4"/>
      <c r="R118" s="4"/>
      <c r="S118" s="4"/>
      <c r="T118" s="4"/>
      <c r="U118" s="4"/>
      <c r="V118" s="4"/>
      <c r="W118" s="4"/>
      <c r="X118" s="4"/>
    </row>
    <row x14ac:dyDescent="0.25" r="119" customHeight="1" ht="18.75">
      <c r="A119" s="1" t="s">
        <v>7</v>
      </c>
      <c r="B119" s="3">
        <v>32.383333333418705</v>
      </c>
      <c r="C119" s="3">
        <v>43.03333333338378</v>
      </c>
      <c r="D119" s="3">
        <v>67.83333333337214</v>
      </c>
      <c r="E119" s="3">
        <v>75.45000000006985</v>
      </c>
      <c r="F119" s="3">
        <v>90.65000000002328</v>
      </c>
      <c r="G119" s="3">
        <v>115.53333333326736</v>
      </c>
      <c r="H119" s="5"/>
      <c r="I119" s="5"/>
      <c r="J119" s="5"/>
      <c r="K119" s="5"/>
      <c r="L119" s="4"/>
      <c r="M119" s="4"/>
      <c r="N119" s="4"/>
      <c r="O119" s="4"/>
      <c r="P119" s="80"/>
      <c r="Q119" s="4"/>
      <c r="R119" s="4"/>
      <c r="S119" s="4"/>
      <c r="T119" s="4"/>
      <c r="U119" s="4"/>
      <c r="V119" s="4"/>
      <c r="W119" s="4"/>
      <c r="X119" s="4"/>
    </row>
    <row x14ac:dyDescent="0.25" r="120" customHeight="1" ht="18.75">
      <c r="A120" s="1" t="s">
        <v>8</v>
      </c>
      <c r="B120" s="3">
        <v>4.933333333348855</v>
      </c>
      <c r="C120" s="3">
        <v>8.783333333325572</v>
      </c>
      <c r="D120" s="3">
        <v>18.98333333339542</v>
      </c>
      <c r="E120" s="3">
        <v>43.466666666732635</v>
      </c>
      <c r="F120" s="3">
        <v>67.41666666674428</v>
      </c>
      <c r="G120" s="3">
        <v>90.56666666659294</v>
      </c>
      <c r="H120" s="5"/>
      <c r="I120" s="5"/>
      <c r="J120" s="5"/>
      <c r="K120" s="5"/>
      <c r="L120" s="4"/>
      <c r="M120" s="4"/>
      <c r="N120" s="4"/>
      <c r="O120" s="4"/>
      <c r="P120" s="80"/>
      <c r="Q120" s="4"/>
      <c r="R120" s="4"/>
      <c r="S120" s="4"/>
      <c r="T120" s="4"/>
      <c r="U120" s="4"/>
      <c r="V120" s="4"/>
      <c r="W120" s="4"/>
      <c r="X120" s="4"/>
    </row>
    <row x14ac:dyDescent="0.25" r="121" customHeight="1" ht="18.75">
      <c r="A121" s="1" t="s">
        <v>9</v>
      </c>
      <c r="B121" s="3">
        <v>7.366666666755918</v>
      </c>
      <c r="C121" s="3">
        <v>15.75</v>
      </c>
      <c r="D121" s="3">
        <v>25.533333333441988</v>
      </c>
      <c r="E121" s="3">
        <v>43.28333333332557</v>
      </c>
      <c r="F121" s="3">
        <v>66.41666666680248</v>
      </c>
      <c r="G121" s="3">
        <v>89.56666666665114</v>
      </c>
      <c r="H121" s="3">
        <v>114.93333333340706</v>
      </c>
      <c r="I121" s="3">
        <v>162.61666666675592</v>
      </c>
      <c r="J121" s="5"/>
      <c r="K121" s="5"/>
      <c r="L121" s="4"/>
      <c r="M121" s="4"/>
      <c r="N121" s="4"/>
      <c r="O121" s="4"/>
      <c r="P121" s="80"/>
      <c r="Q121" s="4"/>
      <c r="R121" s="4"/>
      <c r="S121" s="4"/>
      <c r="T121" s="4"/>
      <c r="U121" s="4"/>
      <c r="V121" s="4"/>
      <c r="W121" s="4"/>
      <c r="X121" s="4"/>
    </row>
    <row x14ac:dyDescent="0.25" r="122" customHeight="1" ht="18.75">
      <c r="A122" s="1" t="s">
        <v>10</v>
      </c>
      <c r="B122" s="3">
        <v>23.800000000046566</v>
      </c>
      <c r="C122" s="3">
        <v>23.7666666667792</v>
      </c>
      <c r="D122" s="3">
        <v>29.216666666732635</v>
      </c>
      <c r="E122" s="3">
        <v>42.46666666679084</v>
      </c>
      <c r="F122" s="3">
        <v>66.41666666680248</v>
      </c>
      <c r="G122" s="3">
        <v>89.06666666676756</v>
      </c>
      <c r="H122" s="3">
        <v>114.3666666666395</v>
      </c>
      <c r="I122" s="3">
        <v>138.73333333345363</v>
      </c>
      <c r="J122" s="3">
        <v>138.73333333345363</v>
      </c>
      <c r="K122" s="5"/>
      <c r="L122" s="4"/>
      <c r="M122" s="4"/>
      <c r="N122" s="4"/>
      <c r="O122" s="4"/>
      <c r="P122" s="80"/>
      <c r="Q122" s="4"/>
      <c r="R122" s="4"/>
      <c r="S122" s="4"/>
      <c r="T122" s="4"/>
      <c r="U122" s="4"/>
      <c r="V122" s="4"/>
      <c r="W122" s="4"/>
      <c r="X122" s="4"/>
    </row>
    <row x14ac:dyDescent="0.25" r="123" customHeight="1" ht="18.75">
      <c r="A123" s="1" t="s">
        <v>11</v>
      </c>
      <c r="B123" s="3">
        <v>13.549999999988358</v>
      </c>
      <c r="C123" s="3">
        <v>18.550000000046566</v>
      </c>
      <c r="D123" s="3">
        <v>27.716666666732635</v>
      </c>
      <c r="E123" s="3">
        <v>38.49999999994179</v>
      </c>
      <c r="F123" s="3">
        <v>51.29999999993015</v>
      </c>
      <c r="G123" s="3">
        <v>75.31666666665114</v>
      </c>
      <c r="H123" s="3">
        <v>100.8833333333605</v>
      </c>
      <c r="I123" s="3">
        <v>123.94999999995343</v>
      </c>
      <c r="J123" s="3">
        <v>148.1166666666395</v>
      </c>
      <c r="K123" s="3">
        <v>171.6333333333023</v>
      </c>
      <c r="L123" s="4"/>
      <c r="M123" s="4"/>
      <c r="N123" s="4"/>
      <c r="O123" s="4"/>
      <c r="P123" s="80"/>
      <c r="Q123" s="4"/>
      <c r="R123" s="4"/>
      <c r="S123" s="4"/>
      <c r="T123" s="4"/>
      <c r="U123" s="4"/>
      <c r="V123" s="4"/>
      <c r="W123" s="4"/>
      <c r="X123" s="4"/>
    </row>
    <row x14ac:dyDescent="0.25" r="124" customHeight="1" ht="18.75">
      <c r="A124" s="1" t="s">
        <v>12</v>
      </c>
      <c r="B124" s="3">
        <v>17.933333333290648</v>
      </c>
      <c r="C124" s="3">
        <v>30.550000000046566</v>
      </c>
      <c r="D124" s="3">
        <v>38.78333333332557</v>
      </c>
      <c r="E124" s="3">
        <v>63.29999999993015</v>
      </c>
      <c r="F124" s="3">
        <v>72.24999999994179</v>
      </c>
      <c r="G124" s="3">
        <v>87.55000000004657</v>
      </c>
      <c r="H124" s="3">
        <v>136.2500000000582</v>
      </c>
      <c r="I124" s="5"/>
      <c r="J124" s="5"/>
      <c r="K124" s="5"/>
      <c r="L124" s="4"/>
      <c r="M124" s="4"/>
      <c r="N124" s="4"/>
      <c r="O124" s="4"/>
      <c r="P124" s="80"/>
      <c r="Q124" s="4"/>
      <c r="R124" s="4"/>
      <c r="S124" s="4"/>
      <c r="T124" s="4"/>
      <c r="U124" s="4"/>
      <c r="V124" s="4"/>
      <c r="W124" s="4"/>
      <c r="X124" s="4"/>
    </row>
    <row x14ac:dyDescent="0.25" r="125" customHeight="1" ht="18.75">
      <c r="A125" s="1" t="s">
        <v>13</v>
      </c>
      <c r="B125" s="3">
        <v>11.666666666802485</v>
      </c>
      <c r="C125" s="3">
        <v>12.150000000139698</v>
      </c>
      <c r="D125" s="3">
        <v>19.350000000034925</v>
      </c>
      <c r="E125" s="3">
        <v>32.516666666662786</v>
      </c>
      <c r="F125" s="3">
        <v>56.550000000104774</v>
      </c>
      <c r="G125" s="3">
        <v>81.18333333340706</v>
      </c>
      <c r="H125" s="3">
        <v>104.95000000001164</v>
      </c>
      <c r="I125" s="3">
        <v>127.76666666666279</v>
      </c>
      <c r="J125" s="3">
        <v>178.28333333332557</v>
      </c>
      <c r="K125" s="3">
        <v>200.83333333331393</v>
      </c>
      <c r="L125" s="4"/>
      <c r="M125" s="4"/>
      <c r="N125" s="4"/>
      <c r="O125" s="4"/>
      <c r="P125" s="80"/>
      <c r="Q125" s="4"/>
      <c r="R125" s="4"/>
      <c r="S125" s="4"/>
      <c r="T125" s="4"/>
      <c r="U125" s="4"/>
      <c r="V125" s="4"/>
      <c r="W125" s="4"/>
      <c r="X125" s="4"/>
    </row>
    <row x14ac:dyDescent="0.25" r="126" customHeight="1" ht="18.75">
      <c r="A126" s="1" t="s">
        <v>14</v>
      </c>
      <c r="B126" s="6">
        <v>9</v>
      </c>
      <c r="C126" s="3">
        <v>20.41666666668607</v>
      </c>
      <c r="D126" s="3">
        <v>32.60000000009313</v>
      </c>
      <c r="E126" s="3">
        <v>56.550000000104774</v>
      </c>
      <c r="F126" s="3">
        <v>81.8833333334187</v>
      </c>
      <c r="G126" s="6">
        <v>105</v>
      </c>
      <c r="H126" s="3">
        <v>127.66666666668607</v>
      </c>
      <c r="I126" s="3">
        <v>152.5166666666628</v>
      </c>
      <c r="J126" s="5"/>
      <c r="K126" s="5"/>
      <c r="L126" s="4"/>
      <c r="M126" s="4"/>
      <c r="N126" s="4"/>
      <c r="O126" s="4"/>
      <c r="P126" s="80"/>
      <c r="Q126" s="4"/>
      <c r="R126" s="4"/>
      <c r="S126" s="4"/>
      <c r="T126" s="4"/>
      <c r="U126" s="4"/>
      <c r="V126" s="4"/>
      <c r="W126" s="4"/>
      <c r="X126" s="4"/>
    </row>
    <row x14ac:dyDescent="0.25" r="127" customHeight="1" ht="18.75">
      <c r="A127" s="1" t="s">
        <v>15</v>
      </c>
      <c r="B127" s="3">
        <v>17.966666666732635</v>
      </c>
      <c r="C127" s="3">
        <v>20.7666666667792</v>
      </c>
      <c r="D127" s="3">
        <v>32.70000000006985</v>
      </c>
      <c r="E127" s="3">
        <v>57.883333333418705</v>
      </c>
      <c r="F127" s="3">
        <v>80.95000000001164</v>
      </c>
      <c r="G127" s="3">
        <v>103.85000000009313</v>
      </c>
      <c r="H127" s="3">
        <v>128.5166666666628</v>
      </c>
      <c r="I127" s="3">
        <v>153.31666666665114</v>
      </c>
      <c r="J127" s="3">
        <v>176.05000000004657</v>
      </c>
      <c r="K127" s="3">
        <v>190.46666666673264</v>
      </c>
      <c r="L127" s="3">
        <v>200.34999999997672</v>
      </c>
      <c r="M127" s="3">
        <v>209.15000000002328</v>
      </c>
      <c r="N127" s="3">
        <v>248.43333333340706</v>
      </c>
      <c r="O127" s="3">
        <v>272.5333333333838</v>
      </c>
      <c r="P127" s="80"/>
      <c r="Q127" s="4"/>
      <c r="R127" s="4"/>
      <c r="S127" s="4"/>
      <c r="T127" s="4"/>
      <c r="U127" s="4"/>
      <c r="V127" s="4"/>
      <c r="W127" s="4"/>
      <c r="X127" s="4"/>
    </row>
    <row x14ac:dyDescent="0.25" r="128" customHeight="1" ht="18.75">
      <c r="A128" s="1" t="s">
        <v>16</v>
      </c>
      <c r="B128" s="3">
        <v>10.833333333372138</v>
      </c>
      <c r="C128" s="3">
        <v>14.70000000006985</v>
      </c>
      <c r="D128" s="3">
        <v>22.933333333348855</v>
      </c>
      <c r="E128" s="3">
        <v>71.03333333332557</v>
      </c>
      <c r="F128" s="3">
        <v>94.73333333339542</v>
      </c>
      <c r="G128" s="3">
        <v>118.91666666662786</v>
      </c>
      <c r="H128" s="3">
        <v>143.91666666674428</v>
      </c>
      <c r="I128" s="5"/>
      <c r="J128" s="5"/>
      <c r="K128" s="5"/>
      <c r="L128" s="4"/>
      <c r="M128" s="4"/>
      <c r="N128" s="4"/>
      <c r="O128" s="4"/>
      <c r="P128" s="80"/>
      <c r="Q128" s="4"/>
      <c r="R128" s="4"/>
      <c r="S128" s="4"/>
      <c r="T128" s="4"/>
      <c r="U128" s="4"/>
      <c r="V128" s="4"/>
      <c r="W128" s="4"/>
      <c r="X128" s="4"/>
    </row>
    <row x14ac:dyDescent="0.25" r="129" customHeight="1" ht="18.75">
      <c r="A129" s="1" t="s">
        <v>17</v>
      </c>
      <c r="B129" s="3">
        <v>38.966666666732635</v>
      </c>
      <c r="C129" s="3">
        <v>44.00000000005821</v>
      </c>
      <c r="D129" s="3">
        <v>59.850000000034925</v>
      </c>
      <c r="E129" s="3">
        <v>81.68333333329065</v>
      </c>
      <c r="F129" s="3">
        <v>105.14999999996508</v>
      </c>
      <c r="G129" s="3">
        <v>130.41666666674428</v>
      </c>
      <c r="H129" s="3">
        <v>139.04999999993015</v>
      </c>
      <c r="I129" s="3">
        <v>155.20000000001164</v>
      </c>
      <c r="J129" s="3">
        <v>179.25</v>
      </c>
      <c r="K129" s="3">
        <v>202.7499999999418</v>
      </c>
      <c r="L129" s="4"/>
      <c r="M129" s="4"/>
      <c r="N129" s="4"/>
      <c r="O129" s="4"/>
      <c r="P129" s="80"/>
      <c r="Q129" s="4"/>
      <c r="R129" s="4"/>
      <c r="S129" s="4"/>
      <c r="T129" s="4"/>
      <c r="U129" s="4"/>
      <c r="V129" s="4"/>
      <c r="W129" s="4"/>
      <c r="X129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129"/>
  <sheetViews>
    <sheetView workbookViewId="0"/>
  </sheetViews>
  <sheetFormatPr defaultRowHeight="15" x14ac:dyDescent="0.25"/>
  <cols>
    <col min="1" max="1" style="8" width="13.576428571428572" customWidth="1" bestFit="1"/>
    <col min="2" max="2" style="9" width="13.576428571428572" customWidth="1" bestFit="1"/>
    <col min="3" max="3" style="9" width="13.576428571428572" customWidth="1" bestFit="1"/>
    <col min="4" max="4" style="9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9" width="13.576428571428572" customWidth="1" bestFit="1"/>
    <col min="10" max="10" style="9" width="13.576428571428572" customWidth="1" bestFit="1"/>
    <col min="11" max="11" style="9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</cols>
  <sheetData>
    <row x14ac:dyDescent="0.25" r="1" customHeight="1" ht="18.75">
      <c r="A1" s="1" t="s">
        <v>1548</v>
      </c>
      <c r="B1" s="3">
        <v>1.43</v>
      </c>
      <c r="C1" s="3">
        <v>1.09</v>
      </c>
      <c r="D1" s="3">
        <v>0.982</v>
      </c>
      <c r="E1" s="3">
        <v>1.22</v>
      </c>
      <c r="F1" s="3">
        <v>1.26</v>
      </c>
      <c r="G1" s="3">
        <v>0.886</v>
      </c>
      <c r="H1" s="3">
        <v>0.541</v>
      </c>
      <c r="I1" s="5"/>
      <c r="J1" s="5"/>
      <c r="K1" s="5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x14ac:dyDescent="0.25" r="2" customHeight="1" ht="18.75">
      <c r="A2" s="1" t="s">
        <v>1549</v>
      </c>
      <c r="B2" s="3">
        <v>2.2</v>
      </c>
      <c r="C2" s="3">
        <v>1.96</v>
      </c>
      <c r="D2" s="3">
        <v>1.67</v>
      </c>
      <c r="E2" s="3">
        <v>1.46</v>
      </c>
      <c r="F2" s="3">
        <v>1.27</v>
      </c>
      <c r="G2" s="3">
        <v>1.38</v>
      </c>
      <c r="H2" s="5"/>
      <c r="I2" s="5"/>
      <c r="J2" s="5"/>
      <c r="K2" s="5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x14ac:dyDescent="0.25" r="3" customHeight="1" ht="18.75">
      <c r="A3" s="1" t="s">
        <v>1550</v>
      </c>
      <c r="B3" s="3">
        <v>17.79</v>
      </c>
      <c r="C3" s="3">
        <v>7.41</v>
      </c>
      <c r="D3" s="3">
        <v>2.01</v>
      </c>
      <c r="E3" s="3">
        <v>1.11</v>
      </c>
      <c r="F3" s="3">
        <v>1.27</v>
      </c>
      <c r="G3" s="3">
        <v>1.21</v>
      </c>
      <c r="H3" s="3">
        <v>0.944</v>
      </c>
      <c r="I3" s="3">
        <v>0.599</v>
      </c>
      <c r="J3" s="5"/>
      <c r="K3" s="5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x14ac:dyDescent="0.25" r="4" customHeight="1" ht="18.75">
      <c r="A4" s="1" t="s">
        <v>1551</v>
      </c>
      <c r="B4" s="3">
        <v>0.44</v>
      </c>
      <c r="C4" s="3">
        <v>5.71</v>
      </c>
      <c r="D4" s="6">
        <v>5</v>
      </c>
      <c r="E4" s="3">
        <v>4.2</v>
      </c>
      <c r="F4" s="3">
        <v>3.6</v>
      </c>
      <c r="G4" s="3">
        <v>3.94</v>
      </c>
      <c r="H4" s="3">
        <v>4.04</v>
      </c>
      <c r="I4" s="3">
        <v>4.33</v>
      </c>
      <c r="J4" s="3">
        <v>4.08</v>
      </c>
      <c r="K4" s="3">
        <v>2.84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x14ac:dyDescent="0.25" r="5" customHeight="1" ht="18.75">
      <c r="A5" s="1" t="s">
        <v>1552</v>
      </c>
      <c r="B5" s="3">
        <v>0.707</v>
      </c>
      <c r="C5" s="3">
        <v>1.19</v>
      </c>
      <c r="D5" s="3">
        <v>0.673</v>
      </c>
      <c r="E5" s="3">
        <v>0.342</v>
      </c>
      <c r="F5" s="3">
        <v>0.28</v>
      </c>
      <c r="G5" s="3">
        <v>0.188</v>
      </c>
      <c r="H5" s="3">
        <v>0.193</v>
      </c>
      <c r="I5" s="3">
        <v>0.183</v>
      </c>
      <c r="J5" s="5"/>
      <c r="K5" s="5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x14ac:dyDescent="0.25" r="6" customHeight="1" ht="18.75">
      <c r="A6" s="1" t="s">
        <v>1553</v>
      </c>
      <c r="B6" s="3">
        <v>1.83</v>
      </c>
      <c r="C6" s="3">
        <v>1.64</v>
      </c>
      <c r="D6" s="3">
        <v>1.42</v>
      </c>
      <c r="E6" s="3">
        <v>1.02</v>
      </c>
      <c r="F6" s="3">
        <v>1.12</v>
      </c>
      <c r="G6" s="3">
        <v>1.03</v>
      </c>
      <c r="H6" s="3">
        <v>0.948</v>
      </c>
      <c r="I6" s="3">
        <v>0.661</v>
      </c>
      <c r="J6" s="5"/>
      <c r="K6" s="5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x14ac:dyDescent="0.25" r="7" customHeight="1" ht="18.75">
      <c r="A7" s="1" t="s">
        <v>1554</v>
      </c>
      <c r="B7" s="3">
        <v>3.01</v>
      </c>
      <c r="C7" s="3">
        <v>6.3</v>
      </c>
      <c r="D7" s="3">
        <v>5.6</v>
      </c>
      <c r="E7" s="3">
        <v>2.72</v>
      </c>
      <c r="F7" s="3">
        <v>2.4</v>
      </c>
      <c r="G7" s="3">
        <v>2.63</v>
      </c>
      <c r="H7" s="3">
        <v>2.19</v>
      </c>
      <c r="I7" s="3">
        <v>2.49</v>
      </c>
      <c r="J7" s="3">
        <v>2.01</v>
      </c>
      <c r="K7" s="3">
        <v>1.41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x14ac:dyDescent="0.25" r="8" customHeight="1" ht="18.75">
      <c r="A8" s="1" t="s">
        <v>1555</v>
      </c>
      <c r="B8" s="3">
        <v>0.303</v>
      </c>
      <c r="C8" s="3">
        <v>0.626</v>
      </c>
      <c r="D8" s="3">
        <v>0.568</v>
      </c>
      <c r="E8" s="3">
        <v>0.356</v>
      </c>
      <c r="F8" s="3">
        <v>0.317</v>
      </c>
      <c r="G8" s="3">
        <v>0.336</v>
      </c>
      <c r="H8" s="3">
        <v>0.359</v>
      </c>
      <c r="I8" s="3">
        <v>0.216</v>
      </c>
      <c r="J8" s="5"/>
      <c r="K8" s="5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x14ac:dyDescent="0.25" r="9" customHeight="1" ht="18.75">
      <c r="A9" s="1" t="s">
        <v>1556</v>
      </c>
      <c r="B9" s="3">
        <v>5.9</v>
      </c>
      <c r="C9" s="3">
        <v>4.22</v>
      </c>
      <c r="D9" s="3">
        <v>4.13</v>
      </c>
      <c r="E9" s="3">
        <v>3.33</v>
      </c>
      <c r="F9" s="3">
        <v>2.75</v>
      </c>
      <c r="G9" s="3">
        <v>3.06</v>
      </c>
      <c r="H9" s="3">
        <v>2.74</v>
      </c>
      <c r="I9" s="3">
        <v>1.92</v>
      </c>
      <c r="J9" s="5"/>
      <c r="K9" s="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x14ac:dyDescent="0.25" r="10" customHeight="1" ht="18.75">
      <c r="A10" s="1" t="s">
        <v>1557</v>
      </c>
      <c r="B10" s="3">
        <v>6.68</v>
      </c>
      <c r="C10" s="3">
        <v>8.64</v>
      </c>
      <c r="D10" s="6">
        <v>4</v>
      </c>
      <c r="E10" s="3">
        <v>2.85</v>
      </c>
      <c r="F10" s="3">
        <v>2.46</v>
      </c>
      <c r="G10" s="3">
        <v>2.17</v>
      </c>
      <c r="H10" s="3">
        <v>1.5</v>
      </c>
      <c r="I10" s="3">
        <v>0.774</v>
      </c>
      <c r="J10" s="5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x14ac:dyDescent="0.25" r="11" customHeight="1" ht="18.75">
      <c r="A11" s="1" t="s">
        <v>1558</v>
      </c>
      <c r="B11" s="3">
        <v>0.482</v>
      </c>
      <c r="C11" s="3">
        <v>2.52</v>
      </c>
      <c r="D11" s="3">
        <v>1.34</v>
      </c>
      <c r="E11" s="3">
        <v>0.497</v>
      </c>
      <c r="F11" s="3">
        <v>0.67</v>
      </c>
      <c r="G11" s="3">
        <v>0.624</v>
      </c>
      <c r="H11" s="5"/>
      <c r="I11" s="5"/>
      <c r="J11" s="5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x14ac:dyDescent="0.25" r="12" customHeight="1" ht="18.75">
      <c r="A12" s="1" t="s">
        <v>1559</v>
      </c>
      <c r="B12" s="3">
        <v>3.81</v>
      </c>
      <c r="C12" s="3">
        <v>17.76</v>
      </c>
      <c r="D12" s="3">
        <v>11.07</v>
      </c>
      <c r="E12" s="3">
        <v>6.71</v>
      </c>
      <c r="F12" s="3">
        <v>4.97</v>
      </c>
      <c r="G12" s="3">
        <v>4.76</v>
      </c>
      <c r="H12" s="3">
        <v>4.68</v>
      </c>
      <c r="I12" s="3">
        <v>4.72</v>
      </c>
      <c r="J12" s="3">
        <v>3.77</v>
      </c>
      <c r="K12" s="3">
        <v>2.5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x14ac:dyDescent="0.25" r="13" customHeight="1" ht="18.75">
      <c r="A13" s="1" t="s">
        <v>1560</v>
      </c>
      <c r="B13" s="3">
        <v>10.83</v>
      </c>
      <c r="C13" s="3">
        <v>9.12</v>
      </c>
      <c r="D13" s="3">
        <v>2.82</v>
      </c>
      <c r="E13" s="3">
        <v>2.27</v>
      </c>
      <c r="F13" s="3">
        <v>2.18</v>
      </c>
      <c r="G13" s="3">
        <v>2.36</v>
      </c>
      <c r="H13" s="3">
        <v>2.5</v>
      </c>
      <c r="I13" s="3">
        <v>1.91</v>
      </c>
      <c r="J13" s="3">
        <v>1.7</v>
      </c>
      <c r="K13" s="3">
        <v>1.21</v>
      </c>
      <c r="L13" s="3">
        <v>0.848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x14ac:dyDescent="0.25" r="14" customHeight="1" ht="18.75">
      <c r="A14" s="1" t="s">
        <v>1561</v>
      </c>
      <c r="B14" s="3">
        <v>0.37</v>
      </c>
      <c r="C14" s="3">
        <v>0.356</v>
      </c>
      <c r="D14" s="3">
        <v>0.243</v>
      </c>
      <c r="E14" s="3">
        <v>0.093</v>
      </c>
      <c r="F14" s="3">
        <v>0.076</v>
      </c>
      <c r="G14" s="3">
        <v>0.065</v>
      </c>
      <c r="H14" s="3">
        <v>0.048</v>
      </c>
      <c r="I14" s="3">
        <v>0.03</v>
      </c>
      <c r="J14" s="5"/>
      <c r="K14" s="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x14ac:dyDescent="0.25" r="15" customHeight="1" ht="18.75">
      <c r="A15" s="1" t="s">
        <v>1562</v>
      </c>
      <c r="B15" s="3">
        <v>1.86</v>
      </c>
      <c r="C15" s="3">
        <v>4.78</v>
      </c>
      <c r="D15" s="3">
        <v>3.06</v>
      </c>
      <c r="E15" s="3">
        <v>1.17</v>
      </c>
      <c r="F15" s="3">
        <v>1.5</v>
      </c>
      <c r="G15" s="3">
        <v>1.6</v>
      </c>
      <c r="H15" s="5"/>
      <c r="I15" s="5"/>
      <c r="J15" s="5"/>
      <c r="K15" s="5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x14ac:dyDescent="0.25" r="16" customHeight="1" ht="18.75">
      <c r="A16" s="1" t="s">
        <v>1563</v>
      </c>
      <c r="B16" s="3">
        <v>0.857</v>
      </c>
      <c r="C16" s="3">
        <v>0.55</v>
      </c>
      <c r="D16" s="3">
        <v>0.547</v>
      </c>
      <c r="E16" s="3">
        <v>0.522</v>
      </c>
      <c r="F16" s="3">
        <v>0.367</v>
      </c>
      <c r="G16" s="3">
        <v>0.271</v>
      </c>
      <c r="H16" s="3">
        <v>0.17</v>
      </c>
      <c r="I16" s="5"/>
      <c r="J16" s="5"/>
      <c r="K16" s="5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x14ac:dyDescent="0.25" r="17" customHeight="1" ht="18.75">
      <c r="A17" s="1" t="s">
        <v>1564</v>
      </c>
      <c r="B17" s="3">
        <v>0.333</v>
      </c>
      <c r="C17" s="3">
        <v>0.55</v>
      </c>
      <c r="D17" s="3">
        <v>0.588</v>
      </c>
      <c r="E17" s="3">
        <v>0.679</v>
      </c>
      <c r="F17" s="3">
        <v>0.616</v>
      </c>
      <c r="G17" s="3">
        <v>0.501</v>
      </c>
      <c r="H17" s="3">
        <v>0.39</v>
      </c>
      <c r="I17" s="5"/>
      <c r="J17" s="5"/>
      <c r="K17" s="5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x14ac:dyDescent="0.25" r="18" customHeight="1" ht="18.75">
      <c r="A18" s="1" t="s">
        <v>1565</v>
      </c>
      <c r="B18" s="3">
        <v>26.41</v>
      </c>
      <c r="C18" s="3">
        <v>35.32</v>
      </c>
      <c r="D18" s="3">
        <v>23.67</v>
      </c>
      <c r="E18" s="3">
        <v>11.87</v>
      </c>
      <c r="F18" s="3">
        <v>9.68</v>
      </c>
      <c r="G18" s="3">
        <v>9.18</v>
      </c>
      <c r="H18" s="3">
        <v>9.92</v>
      </c>
      <c r="I18" s="3">
        <v>7.2</v>
      </c>
      <c r="J18" s="3">
        <v>5.96</v>
      </c>
      <c r="K18" s="3">
        <v>4.96</v>
      </c>
      <c r="L18" s="3">
        <v>3.4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x14ac:dyDescent="0.25" r="19" customHeight="1" ht="18.75">
      <c r="A19" s="1" t="s">
        <v>1566</v>
      </c>
      <c r="B19" s="3">
        <v>0.776</v>
      </c>
      <c r="C19" s="3">
        <v>11.43</v>
      </c>
      <c r="D19" s="3">
        <v>5.19</v>
      </c>
      <c r="E19" s="3">
        <v>4.41</v>
      </c>
      <c r="F19" s="3">
        <v>5.97</v>
      </c>
      <c r="G19" s="3">
        <v>5.49</v>
      </c>
      <c r="H19" s="3">
        <v>2.88</v>
      </c>
      <c r="I19" s="3">
        <v>0.524</v>
      </c>
      <c r="J19" s="5"/>
      <c r="K19" s="5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x14ac:dyDescent="0.25" r="20" customHeight="1" ht="18.75">
      <c r="A20" s="1" t="s">
        <v>1567</v>
      </c>
      <c r="B20" s="3">
        <v>14.74</v>
      </c>
      <c r="C20" s="3">
        <v>8.99</v>
      </c>
      <c r="D20" s="3">
        <v>3.06</v>
      </c>
      <c r="E20" s="5"/>
      <c r="F20" s="5"/>
      <c r="G20" s="5"/>
      <c r="H20" s="5"/>
      <c r="I20" s="5"/>
      <c r="J20" s="5"/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x14ac:dyDescent="0.25" r="21" customHeight="1" ht="18.75">
      <c r="A21" s="1" t="s">
        <v>1568</v>
      </c>
      <c r="B21" s="3">
        <v>4.04</v>
      </c>
      <c r="C21" s="3">
        <v>5.27</v>
      </c>
      <c r="D21" s="3">
        <v>2.42</v>
      </c>
      <c r="E21" s="3">
        <v>5.97</v>
      </c>
      <c r="F21" s="3">
        <v>0.752</v>
      </c>
      <c r="G21" s="5"/>
      <c r="H21" s="5"/>
      <c r="I21" s="5"/>
      <c r="J21" s="5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x14ac:dyDescent="0.25" r="22" customHeight="1" ht="18.75">
      <c r="A22" s="1" t="s">
        <v>1569</v>
      </c>
      <c r="B22" s="3">
        <v>1.34</v>
      </c>
      <c r="C22" s="3">
        <v>3.11</v>
      </c>
      <c r="D22" s="3">
        <v>2.67</v>
      </c>
      <c r="E22" s="3">
        <v>2.78</v>
      </c>
      <c r="F22" s="3">
        <v>2.9</v>
      </c>
      <c r="G22" s="3">
        <v>2.13</v>
      </c>
      <c r="H22" s="3">
        <v>0.969</v>
      </c>
      <c r="I22" s="3">
        <v>0.658</v>
      </c>
      <c r="J22" s="3">
        <v>0.483</v>
      </c>
      <c r="K22" s="3">
        <v>0.268</v>
      </c>
      <c r="L22" s="3">
        <v>0.189</v>
      </c>
      <c r="M22" s="3">
        <v>0.118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x14ac:dyDescent="0.25" r="23" customHeight="1" ht="18.75">
      <c r="A23" s="1" t="s">
        <v>1570</v>
      </c>
      <c r="B23" s="3">
        <v>0.088</v>
      </c>
      <c r="C23" s="3">
        <v>0.069</v>
      </c>
      <c r="D23" s="3">
        <v>5.73</v>
      </c>
      <c r="E23" s="3">
        <v>0.069</v>
      </c>
      <c r="F23" s="3">
        <v>0.076</v>
      </c>
      <c r="G23" s="3">
        <v>0.066</v>
      </c>
      <c r="H23" s="3">
        <v>0.041</v>
      </c>
      <c r="I23" s="5"/>
      <c r="J23" s="5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x14ac:dyDescent="0.25" r="24" customHeight="1" ht="18.75">
      <c r="A24" s="1" t="s">
        <v>1571</v>
      </c>
      <c r="B24" s="3">
        <v>0.699</v>
      </c>
      <c r="C24" s="3">
        <v>6.34</v>
      </c>
      <c r="D24" s="3">
        <v>8.8</v>
      </c>
      <c r="E24" s="3">
        <v>7.8</v>
      </c>
      <c r="F24" s="3">
        <v>10.31</v>
      </c>
      <c r="G24" s="3">
        <v>9.1</v>
      </c>
      <c r="H24" s="3">
        <v>9.38</v>
      </c>
      <c r="I24" s="3">
        <v>8.51</v>
      </c>
      <c r="J24" s="5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x14ac:dyDescent="0.25" r="25" customHeight="1" ht="18.75">
      <c r="A25" s="1" t="s">
        <v>1572</v>
      </c>
      <c r="B25" s="3">
        <v>17.79</v>
      </c>
      <c r="C25" s="3">
        <v>7.41</v>
      </c>
      <c r="D25" s="3">
        <v>2.01</v>
      </c>
      <c r="E25" s="3">
        <v>1.11</v>
      </c>
      <c r="F25" s="3">
        <v>1.27</v>
      </c>
      <c r="G25" s="3">
        <v>1.21</v>
      </c>
      <c r="H25" s="3">
        <v>0.944</v>
      </c>
      <c r="I25" s="3">
        <v>0.599</v>
      </c>
      <c r="J25" s="5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x14ac:dyDescent="0.25" r="26" customHeight="1" ht="18.75">
      <c r="A26" s="1" t="s">
        <v>1573</v>
      </c>
      <c r="B26" s="3">
        <v>15.13</v>
      </c>
      <c r="C26" s="3">
        <v>24.39</v>
      </c>
      <c r="D26" s="3">
        <v>21.44</v>
      </c>
      <c r="E26" s="3">
        <v>10.59</v>
      </c>
      <c r="F26" s="3">
        <v>8.73</v>
      </c>
      <c r="G26" s="3">
        <v>7.28</v>
      </c>
      <c r="H26" s="3">
        <v>6.22</v>
      </c>
      <c r="I26" s="3">
        <v>5.88</v>
      </c>
      <c r="J26" s="3">
        <v>5.32</v>
      </c>
      <c r="K26" s="3">
        <v>4.01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x14ac:dyDescent="0.25" r="27" customHeight="1" ht="18.75">
      <c r="A27" s="1" t="s">
        <v>1574</v>
      </c>
      <c r="B27" s="3">
        <v>0.776</v>
      </c>
      <c r="C27" s="3">
        <v>11.43</v>
      </c>
      <c r="D27" s="3">
        <v>5.19</v>
      </c>
      <c r="E27" s="3">
        <v>4.41</v>
      </c>
      <c r="F27" s="3">
        <v>5.97</v>
      </c>
      <c r="G27" s="3">
        <v>5.49</v>
      </c>
      <c r="H27" s="3">
        <v>2.88</v>
      </c>
      <c r="I27" s="3">
        <v>0.524</v>
      </c>
      <c r="J27" s="5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x14ac:dyDescent="0.25" r="28" customHeight="1" ht="18.75">
      <c r="A28" s="1" t="s">
        <v>1575</v>
      </c>
      <c r="B28" s="3">
        <v>1.54</v>
      </c>
      <c r="C28" s="3">
        <v>2.47</v>
      </c>
      <c r="D28" s="3">
        <v>2.51</v>
      </c>
      <c r="E28" s="3">
        <v>1.37</v>
      </c>
      <c r="F28" s="3">
        <v>1.07</v>
      </c>
      <c r="G28" s="3">
        <v>1.08</v>
      </c>
      <c r="H28" s="3">
        <v>1.02</v>
      </c>
      <c r="I28" s="3">
        <v>1.21</v>
      </c>
      <c r="J28" s="5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x14ac:dyDescent="0.25" r="29" customHeight="1" ht="18.75">
      <c r="A29" s="1" t="s">
        <v>1576</v>
      </c>
      <c r="B29" s="3">
        <v>2.56</v>
      </c>
      <c r="C29" s="3">
        <v>2.55</v>
      </c>
      <c r="D29" s="3">
        <v>2.2</v>
      </c>
      <c r="E29" s="3">
        <v>1.74</v>
      </c>
      <c r="F29" s="3">
        <v>0.812</v>
      </c>
      <c r="G29" s="5"/>
      <c r="H29" s="5"/>
      <c r="I29" s="5"/>
      <c r="J29" s="5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x14ac:dyDescent="0.25" r="30" customHeight="1" ht="18.75">
      <c r="A30" s="1" t="s">
        <v>1577</v>
      </c>
      <c r="B30" s="3">
        <v>0.176</v>
      </c>
      <c r="C30" s="3">
        <v>5.28</v>
      </c>
      <c r="D30" s="3">
        <v>4.97</v>
      </c>
      <c r="E30" s="3">
        <v>3.58</v>
      </c>
      <c r="F30" s="3">
        <v>4.27</v>
      </c>
      <c r="G30" s="3">
        <v>4.1</v>
      </c>
      <c r="H30" s="3">
        <v>2.76</v>
      </c>
      <c r="I30" s="3">
        <v>2.02</v>
      </c>
      <c r="J30" s="3">
        <v>1.44</v>
      </c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x14ac:dyDescent="0.25" r="31" customHeight="1" ht="18.75">
      <c r="A31" s="1" t="s">
        <v>1578</v>
      </c>
      <c r="B31" s="6">
        <v>13</v>
      </c>
      <c r="C31" s="3">
        <v>2.42</v>
      </c>
      <c r="D31" s="3">
        <v>12.67</v>
      </c>
      <c r="E31" s="3">
        <v>8.94</v>
      </c>
      <c r="F31" s="3">
        <v>9.76</v>
      </c>
      <c r="G31" s="3">
        <v>8.22</v>
      </c>
      <c r="H31" s="3">
        <v>8.22</v>
      </c>
      <c r="I31" s="3">
        <v>6.66</v>
      </c>
      <c r="J31" s="3">
        <v>5.11</v>
      </c>
      <c r="K31" s="3">
        <v>2.1</v>
      </c>
      <c r="L31" s="3">
        <v>0.758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x14ac:dyDescent="0.25" r="32" customHeight="1" ht="18.75">
      <c r="A32" s="1" t="s">
        <v>1579</v>
      </c>
      <c r="B32" s="3">
        <v>0.148</v>
      </c>
      <c r="C32" s="3">
        <v>0.365</v>
      </c>
      <c r="D32" s="3">
        <v>0.188</v>
      </c>
      <c r="E32" s="3">
        <v>0.186</v>
      </c>
      <c r="F32" s="3">
        <v>0.235</v>
      </c>
      <c r="G32" s="3">
        <v>0.24</v>
      </c>
      <c r="H32" s="3">
        <v>0.159</v>
      </c>
      <c r="I32" s="3">
        <v>0.08</v>
      </c>
      <c r="J32" s="5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x14ac:dyDescent="0.25" r="33" customHeight="1" ht="18.75">
      <c r="A33" s="1" t="s">
        <v>1580</v>
      </c>
      <c r="B33" s="3">
        <v>0.683</v>
      </c>
      <c r="C33" s="3">
        <v>1.5</v>
      </c>
      <c r="D33" s="3">
        <v>1.62</v>
      </c>
      <c r="E33" s="3">
        <v>1.13</v>
      </c>
      <c r="F33" s="3">
        <v>1.28</v>
      </c>
      <c r="G33" s="3">
        <v>1.29</v>
      </c>
      <c r="H33" s="3">
        <v>1.19</v>
      </c>
      <c r="I33" s="5"/>
      <c r="J33" s="5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x14ac:dyDescent="0.25" r="34" customHeight="1" ht="18.75">
      <c r="A34" s="1" t="s">
        <v>1581</v>
      </c>
      <c r="B34" s="3">
        <v>0.935</v>
      </c>
      <c r="C34" s="3">
        <v>0.95</v>
      </c>
      <c r="D34" s="3">
        <v>0.648</v>
      </c>
      <c r="E34" s="3">
        <v>0.429</v>
      </c>
      <c r="F34" s="3">
        <v>0.352</v>
      </c>
      <c r="G34" s="3">
        <v>0.245</v>
      </c>
      <c r="H34" s="3">
        <v>0.167</v>
      </c>
      <c r="I34" s="5"/>
      <c r="J34" s="5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x14ac:dyDescent="0.25" r="35" customHeight="1" ht="18.75">
      <c r="A35" s="1" t="s">
        <v>1582</v>
      </c>
      <c r="B35" s="3">
        <v>0.158</v>
      </c>
      <c r="C35" s="3">
        <v>0.138</v>
      </c>
      <c r="D35" s="3">
        <v>0.105</v>
      </c>
      <c r="E35" s="3">
        <v>0.078</v>
      </c>
      <c r="F35" s="3">
        <v>0.055</v>
      </c>
      <c r="G35" s="3">
        <v>0.041</v>
      </c>
      <c r="H35" s="3">
        <v>0.029</v>
      </c>
      <c r="I35" s="3">
        <v>0.032</v>
      </c>
      <c r="J35" s="5"/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x14ac:dyDescent="0.25" r="36" customHeight="1" ht="18.75">
      <c r="A36" s="1" t="s">
        <v>1583</v>
      </c>
      <c r="B36" s="3">
        <v>0.331</v>
      </c>
      <c r="C36" s="3">
        <v>1.46</v>
      </c>
      <c r="D36" s="3">
        <v>1.44</v>
      </c>
      <c r="E36" s="3">
        <v>1.52</v>
      </c>
      <c r="F36" s="3">
        <v>1.98</v>
      </c>
      <c r="G36" s="3">
        <v>1.65</v>
      </c>
      <c r="H36" s="3">
        <v>1.02</v>
      </c>
      <c r="I36" s="5"/>
      <c r="J36" s="5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x14ac:dyDescent="0.25" r="37" customHeight="1" ht="18.75">
      <c r="A37" s="1" t="s">
        <v>1584</v>
      </c>
      <c r="B37" s="3">
        <v>16.15</v>
      </c>
      <c r="C37" s="3">
        <v>15.7</v>
      </c>
      <c r="D37" s="3">
        <v>9.9</v>
      </c>
      <c r="E37" s="3">
        <v>5.51</v>
      </c>
      <c r="F37" s="3">
        <v>4.52</v>
      </c>
      <c r="G37" s="3">
        <v>4.35</v>
      </c>
      <c r="H37" s="3">
        <v>3.21</v>
      </c>
      <c r="I37" s="3">
        <v>2.12</v>
      </c>
      <c r="J37" s="5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x14ac:dyDescent="0.25" r="38" customHeight="1" ht="18.75">
      <c r="A38" s="1" t="s">
        <v>1585</v>
      </c>
      <c r="B38" s="3">
        <v>0.239</v>
      </c>
      <c r="C38" s="3">
        <v>0.234</v>
      </c>
      <c r="D38" s="3">
        <v>0.236</v>
      </c>
      <c r="E38" s="3">
        <v>0.25</v>
      </c>
      <c r="F38" s="3">
        <v>0.221</v>
      </c>
      <c r="G38" s="3">
        <v>0.154</v>
      </c>
      <c r="H38" s="3">
        <v>0.151</v>
      </c>
      <c r="I38" s="3">
        <v>0.168</v>
      </c>
      <c r="J38" s="3">
        <v>0.126</v>
      </c>
      <c r="K38" s="3">
        <v>0.078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x14ac:dyDescent="0.25" r="39" customHeight="1" ht="18.75">
      <c r="A39" s="1" t="s">
        <v>1586</v>
      </c>
      <c r="B39" s="3">
        <v>0.206</v>
      </c>
      <c r="C39" s="3">
        <v>0.803</v>
      </c>
      <c r="D39" s="3">
        <v>1.05</v>
      </c>
      <c r="E39" s="3">
        <v>0.488</v>
      </c>
      <c r="F39" s="3">
        <v>0.504</v>
      </c>
      <c r="G39" s="3">
        <v>0.62</v>
      </c>
      <c r="H39" s="3">
        <v>0.428</v>
      </c>
      <c r="I39" s="5"/>
      <c r="J39" s="5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x14ac:dyDescent="0.25" r="40" customHeight="1" ht="18.75">
      <c r="A40" s="1" t="s">
        <v>1587</v>
      </c>
      <c r="B40" s="3">
        <v>15.999</v>
      </c>
      <c r="C40" s="3">
        <v>26.15</v>
      </c>
      <c r="D40" s="3">
        <v>12.8</v>
      </c>
      <c r="E40" s="3">
        <v>17.51</v>
      </c>
      <c r="F40" s="3">
        <v>9.69</v>
      </c>
      <c r="G40" s="3">
        <v>18.58</v>
      </c>
      <c r="H40" s="3">
        <v>13.73</v>
      </c>
      <c r="I40" s="3">
        <v>9.46</v>
      </c>
      <c r="J40" s="5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x14ac:dyDescent="0.25" r="41" customHeight="1" ht="18.75">
      <c r="A41" s="1" t="s">
        <v>1435</v>
      </c>
      <c r="B41" s="3">
        <v>1.21</v>
      </c>
      <c r="C41" s="3">
        <v>2.79</v>
      </c>
      <c r="D41" s="3">
        <v>1.25</v>
      </c>
      <c r="E41" s="3">
        <v>0.603</v>
      </c>
      <c r="F41" s="3">
        <v>0.665</v>
      </c>
      <c r="G41" s="3">
        <v>0.692</v>
      </c>
      <c r="H41" s="3">
        <v>0.541</v>
      </c>
      <c r="I41" s="3">
        <v>0.483</v>
      </c>
      <c r="J41" s="3">
        <v>0.102</v>
      </c>
      <c r="K41" s="3">
        <v>0.069</v>
      </c>
      <c r="L41" s="3">
        <v>0.051</v>
      </c>
      <c r="M41" s="3">
        <v>0.035</v>
      </c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x14ac:dyDescent="0.25" r="42" customHeight="1" ht="18.75">
      <c r="A42" s="1" t="s">
        <v>1436</v>
      </c>
      <c r="B42" s="3">
        <v>16.63</v>
      </c>
      <c r="C42" s="3">
        <v>21.43</v>
      </c>
      <c r="D42" s="3">
        <v>13.57</v>
      </c>
      <c r="E42" s="3">
        <v>8.8</v>
      </c>
      <c r="F42" s="3">
        <v>7.91</v>
      </c>
      <c r="G42" s="3">
        <v>7.22</v>
      </c>
      <c r="H42" s="3">
        <v>6.78</v>
      </c>
      <c r="I42" s="3">
        <v>5.47</v>
      </c>
      <c r="J42" s="3">
        <v>4.72</v>
      </c>
      <c r="K42" s="3">
        <v>3.83</v>
      </c>
      <c r="L42" s="3">
        <v>3.02</v>
      </c>
      <c r="M42" s="3">
        <v>2.35</v>
      </c>
      <c r="N42" s="3">
        <v>1.52</v>
      </c>
      <c r="O42" s="3">
        <v>1.12</v>
      </c>
      <c r="P42" s="4"/>
      <c r="Q42" s="4"/>
      <c r="R42" s="4"/>
      <c r="S42" s="4"/>
      <c r="T42" s="4"/>
      <c r="U42" s="4"/>
      <c r="V42" s="4"/>
      <c r="W42" s="4"/>
      <c r="X42" s="4"/>
    </row>
    <row x14ac:dyDescent="0.25" r="43" customHeight="1" ht="18.75">
      <c r="A43" s="1" t="s">
        <v>1437</v>
      </c>
      <c r="B43" s="3">
        <v>1.08</v>
      </c>
      <c r="C43" s="3">
        <v>7.25</v>
      </c>
      <c r="D43" s="3">
        <v>11.13</v>
      </c>
      <c r="E43" s="3">
        <v>6.28</v>
      </c>
      <c r="F43" s="3">
        <v>6.41</v>
      </c>
      <c r="G43" s="3">
        <v>5.47</v>
      </c>
      <c r="H43" s="6">
        <v>4</v>
      </c>
      <c r="I43" s="3">
        <v>1.34</v>
      </c>
      <c r="J43" s="3">
        <v>0.828</v>
      </c>
      <c r="K43" s="3">
        <v>0.476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x14ac:dyDescent="0.25" r="44" customHeight="1" ht="18.75">
      <c r="A44" s="1" t="s">
        <v>1438</v>
      </c>
      <c r="B44" s="3">
        <v>0.058</v>
      </c>
      <c r="C44" s="3">
        <v>0.215</v>
      </c>
      <c r="D44" s="3">
        <v>0.331</v>
      </c>
      <c r="E44" s="3">
        <v>0.298</v>
      </c>
      <c r="F44" s="3">
        <v>0.33</v>
      </c>
      <c r="G44" s="3">
        <v>0.333</v>
      </c>
      <c r="H44" s="3">
        <v>0.196</v>
      </c>
      <c r="I44" s="3">
        <v>0.078</v>
      </c>
      <c r="J44" s="3">
        <v>0.035</v>
      </c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x14ac:dyDescent="0.25" r="45" customHeight="1" ht="18.75">
      <c r="A45" s="1" t="s">
        <v>1439</v>
      </c>
      <c r="B45" s="3">
        <v>0.53</v>
      </c>
      <c r="C45" s="3">
        <v>0.749</v>
      </c>
      <c r="D45" s="3">
        <v>0.911</v>
      </c>
      <c r="E45" s="3">
        <v>0.673</v>
      </c>
      <c r="F45" s="3">
        <v>0.474</v>
      </c>
      <c r="G45" s="3">
        <v>0.438</v>
      </c>
      <c r="H45" s="3">
        <v>0.354</v>
      </c>
      <c r="I45" s="3">
        <v>0.371</v>
      </c>
      <c r="J45" s="3">
        <v>0.281</v>
      </c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x14ac:dyDescent="0.25" r="46" customHeight="1" ht="18.75">
      <c r="A46" s="1" t="s">
        <v>1440</v>
      </c>
      <c r="B46" s="3">
        <v>1.68</v>
      </c>
      <c r="C46" s="3">
        <v>3.74</v>
      </c>
      <c r="D46" s="3">
        <v>6.42</v>
      </c>
      <c r="E46" s="3">
        <v>3.69</v>
      </c>
      <c r="F46" s="3">
        <v>3.05</v>
      </c>
      <c r="G46" s="3">
        <v>2.41</v>
      </c>
      <c r="H46" s="3">
        <v>2.14</v>
      </c>
      <c r="I46" s="3">
        <v>2.39</v>
      </c>
      <c r="J46" s="3">
        <v>1.48</v>
      </c>
      <c r="K46" s="3">
        <v>0.62</v>
      </c>
      <c r="L46" s="3">
        <v>0.319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x14ac:dyDescent="0.25" r="47" customHeight="1" ht="18.75">
      <c r="A47" s="1" t="s">
        <v>1441</v>
      </c>
      <c r="B47" s="3">
        <v>1.71</v>
      </c>
      <c r="C47" s="3">
        <v>9.36</v>
      </c>
      <c r="D47" s="3">
        <v>8.43</v>
      </c>
      <c r="E47" s="3">
        <v>4.3</v>
      </c>
      <c r="F47" s="3">
        <v>4.74</v>
      </c>
      <c r="G47" s="3">
        <v>3.85</v>
      </c>
      <c r="H47" s="5"/>
      <c r="I47" s="5"/>
      <c r="J47" s="5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x14ac:dyDescent="0.25" r="48" customHeight="1" ht="18.75">
      <c r="A48" s="1" t="s">
        <v>1442</v>
      </c>
      <c r="B48" s="3">
        <v>0.31</v>
      </c>
      <c r="C48" s="3">
        <v>3.72</v>
      </c>
      <c r="D48" s="3">
        <v>4.18</v>
      </c>
      <c r="E48" s="3">
        <v>2.13</v>
      </c>
      <c r="F48" s="3">
        <v>2.67</v>
      </c>
      <c r="G48" s="3">
        <v>3.99</v>
      </c>
      <c r="H48" s="3">
        <v>3.16</v>
      </c>
      <c r="I48" s="3">
        <v>1.71</v>
      </c>
      <c r="J48" s="3">
        <v>0.76</v>
      </c>
      <c r="K48" s="3">
        <v>0.455</v>
      </c>
      <c r="L48" s="3">
        <v>0.293</v>
      </c>
      <c r="M48" s="3">
        <v>0.182</v>
      </c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x14ac:dyDescent="0.25" r="49" customHeight="1" ht="18.75">
      <c r="A49" s="1" t="s">
        <v>1443</v>
      </c>
      <c r="B49" s="3">
        <v>1.57</v>
      </c>
      <c r="C49" s="3">
        <v>7.81</v>
      </c>
      <c r="D49" s="3">
        <v>7.46</v>
      </c>
      <c r="E49" s="3">
        <v>6.58</v>
      </c>
      <c r="F49" s="3">
        <v>5.93</v>
      </c>
      <c r="G49" s="3">
        <v>4.98</v>
      </c>
      <c r="H49" s="3">
        <v>1.72</v>
      </c>
      <c r="I49" s="3">
        <v>0.43</v>
      </c>
      <c r="J49" s="3">
        <v>0.144</v>
      </c>
      <c r="K49" s="3">
        <v>2.18</v>
      </c>
      <c r="L49" s="3">
        <v>2.14</v>
      </c>
      <c r="M49" s="3">
        <v>2.16</v>
      </c>
      <c r="N49" s="3">
        <v>0.896</v>
      </c>
      <c r="O49" s="3">
        <v>0.973</v>
      </c>
      <c r="P49" s="4"/>
      <c r="Q49" s="4"/>
      <c r="R49" s="4"/>
      <c r="S49" s="4"/>
      <c r="T49" s="4"/>
      <c r="U49" s="4"/>
      <c r="V49" s="4"/>
      <c r="W49" s="4"/>
      <c r="X49" s="4"/>
    </row>
    <row x14ac:dyDescent="0.25" r="50" customHeight="1" ht="18.75">
      <c r="A50" s="1" t="s">
        <v>1444</v>
      </c>
      <c r="B50" s="3">
        <v>5.15</v>
      </c>
      <c r="C50" s="3">
        <v>3.82</v>
      </c>
      <c r="D50" s="3">
        <v>3.03</v>
      </c>
      <c r="E50" s="3">
        <v>2.81</v>
      </c>
      <c r="F50" s="3">
        <v>2.69</v>
      </c>
      <c r="G50" s="3">
        <v>2.13</v>
      </c>
      <c r="H50" s="3">
        <v>0.889</v>
      </c>
      <c r="I50" s="3">
        <v>0.458</v>
      </c>
      <c r="J50" s="3">
        <v>0.228</v>
      </c>
      <c r="K50" s="3">
        <v>0.124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x14ac:dyDescent="0.25" r="51" customHeight="1" ht="18.75">
      <c r="A51" s="34" t="s">
        <v>1445</v>
      </c>
      <c r="B51" s="3">
        <v>5.65</v>
      </c>
      <c r="C51" s="3">
        <v>18.55</v>
      </c>
      <c r="D51" s="3">
        <v>9.43</v>
      </c>
      <c r="E51" s="3">
        <v>4.24</v>
      </c>
      <c r="F51" s="3">
        <v>3.51</v>
      </c>
      <c r="G51" s="3">
        <v>3.17</v>
      </c>
      <c r="H51" s="3">
        <v>2.36</v>
      </c>
      <c r="I51" s="3">
        <v>1.91</v>
      </c>
      <c r="J51" s="3">
        <v>1.56</v>
      </c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x14ac:dyDescent="0.25" r="52" customHeight="1" ht="18.75">
      <c r="A52" s="1" t="s">
        <v>1446</v>
      </c>
      <c r="B52" s="3">
        <v>0.733</v>
      </c>
      <c r="C52" s="3">
        <v>1.11</v>
      </c>
      <c r="D52" s="3">
        <v>1.18</v>
      </c>
      <c r="E52" s="3">
        <v>0.963</v>
      </c>
      <c r="F52" s="3">
        <v>0.963</v>
      </c>
      <c r="G52" s="3">
        <v>1.09</v>
      </c>
      <c r="H52" s="3">
        <v>1.87</v>
      </c>
      <c r="I52" s="3">
        <v>2.16</v>
      </c>
      <c r="J52" s="3">
        <v>1.92</v>
      </c>
      <c r="K52" s="3">
        <v>1.46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x14ac:dyDescent="0.25" r="53" customHeight="1" ht="18.75">
      <c r="A53" s="1" t="s">
        <v>1447</v>
      </c>
      <c r="B53" s="3">
        <v>0.206</v>
      </c>
      <c r="C53" s="3">
        <v>0.803</v>
      </c>
      <c r="D53" s="3">
        <v>1.05</v>
      </c>
      <c r="E53" s="3">
        <v>0.504</v>
      </c>
      <c r="F53" s="3">
        <v>0.753</v>
      </c>
      <c r="G53" s="3">
        <v>0.62</v>
      </c>
      <c r="H53" s="3">
        <v>0.428</v>
      </c>
      <c r="I53" s="3">
        <v>0.247</v>
      </c>
      <c r="J53" s="5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x14ac:dyDescent="0.25" r="54" customHeight="1" ht="18.75">
      <c r="A54" s="1" t="s">
        <v>1448</v>
      </c>
      <c r="B54" s="3">
        <v>0.088</v>
      </c>
      <c r="C54" s="3">
        <v>0.069</v>
      </c>
      <c r="D54" s="3">
        <v>0.073</v>
      </c>
      <c r="E54" s="3">
        <v>0.069</v>
      </c>
      <c r="F54" s="3">
        <v>0.076</v>
      </c>
      <c r="G54" s="3">
        <v>0.066</v>
      </c>
      <c r="H54" s="3">
        <v>0.041</v>
      </c>
      <c r="I54" s="5"/>
      <c r="J54" s="5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x14ac:dyDescent="0.25" r="55" customHeight="1" ht="18.75">
      <c r="A55" s="1" t="s">
        <v>1449</v>
      </c>
      <c r="B55" s="3">
        <v>15.13</v>
      </c>
      <c r="C55" s="3">
        <v>24.39</v>
      </c>
      <c r="D55" s="3">
        <v>21.44</v>
      </c>
      <c r="E55" s="3">
        <v>10.59</v>
      </c>
      <c r="F55" s="3">
        <v>8.73</v>
      </c>
      <c r="G55" s="3">
        <v>7.28</v>
      </c>
      <c r="H55" s="3">
        <v>6.22</v>
      </c>
      <c r="I55" s="3">
        <v>5.88</v>
      </c>
      <c r="J55" s="5"/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x14ac:dyDescent="0.25" r="56" customHeight="1" ht="18.75">
      <c r="A56" s="1" t="s">
        <v>1450</v>
      </c>
      <c r="B56" s="3">
        <v>1.54</v>
      </c>
      <c r="C56" s="3">
        <v>2.47</v>
      </c>
      <c r="D56" s="3">
        <v>2.51</v>
      </c>
      <c r="E56" s="3">
        <v>1.37</v>
      </c>
      <c r="F56" s="3">
        <v>1.07</v>
      </c>
      <c r="G56" s="3">
        <v>1.08</v>
      </c>
      <c r="H56" s="3">
        <v>1.21</v>
      </c>
      <c r="I56" s="3">
        <v>1.02</v>
      </c>
      <c r="J56" s="5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x14ac:dyDescent="0.25" r="57" customHeight="1" ht="18.75">
      <c r="A57" s="1" t="s">
        <v>1451</v>
      </c>
      <c r="B57" s="3">
        <v>2.56</v>
      </c>
      <c r="C57" s="3">
        <v>2.55</v>
      </c>
      <c r="D57" s="3">
        <v>2.2</v>
      </c>
      <c r="E57" s="3">
        <v>1.74</v>
      </c>
      <c r="F57" s="3">
        <v>0.812</v>
      </c>
      <c r="G57" s="5"/>
      <c r="H57" s="5"/>
      <c r="I57" s="5"/>
      <c r="J57" s="5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x14ac:dyDescent="0.25" r="58" customHeight="1" ht="18.75">
      <c r="A58" s="34" t="s">
        <v>1452</v>
      </c>
      <c r="B58" s="3">
        <v>2.42</v>
      </c>
      <c r="C58" s="6">
        <v>13</v>
      </c>
      <c r="D58" s="3">
        <v>12.67</v>
      </c>
      <c r="E58" s="3">
        <v>8.94</v>
      </c>
      <c r="F58" s="3">
        <v>8.22</v>
      </c>
      <c r="G58" s="3">
        <v>6.66</v>
      </c>
      <c r="H58" s="3">
        <v>5.11</v>
      </c>
      <c r="I58" s="3">
        <v>0.758</v>
      </c>
      <c r="J58" s="5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x14ac:dyDescent="0.25" r="59" customHeight="1" ht="18.75">
      <c r="A59" s="1" t="s">
        <v>1453</v>
      </c>
      <c r="B59" s="3">
        <v>1.34</v>
      </c>
      <c r="C59" s="3">
        <v>3.11</v>
      </c>
      <c r="D59" s="3">
        <v>2.67</v>
      </c>
      <c r="E59" s="3">
        <v>2.78</v>
      </c>
      <c r="F59" s="3">
        <v>2.9</v>
      </c>
      <c r="G59" s="3">
        <v>2.13</v>
      </c>
      <c r="H59" s="3">
        <v>0.969</v>
      </c>
      <c r="I59" s="3">
        <v>0.658</v>
      </c>
      <c r="J59" s="3">
        <v>0.483</v>
      </c>
      <c r="K59" s="3">
        <v>0.268</v>
      </c>
      <c r="L59" s="3">
        <v>0.189</v>
      </c>
      <c r="M59" s="3">
        <v>0.118</v>
      </c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x14ac:dyDescent="0.25" r="60" customHeight="1" ht="18.75">
      <c r="A60" s="1" t="s">
        <v>1454</v>
      </c>
      <c r="B60" s="3">
        <v>5.27</v>
      </c>
      <c r="C60" s="3">
        <v>4.4</v>
      </c>
      <c r="D60" s="3">
        <v>2.42</v>
      </c>
      <c r="E60" s="3">
        <v>1.08</v>
      </c>
      <c r="F60" s="3">
        <v>0.752</v>
      </c>
      <c r="G60" s="3">
        <v>0.668</v>
      </c>
      <c r="H60" s="5"/>
      <c r="I60" s="5"/>
      <c r="J60" s="5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x14ac:dyDescent="0.25" r="61" customHeight="1" ht="18.75">
      <c r="A61" s="1" t="s">
        <v>1455</v>
      </c>
      <c r="B61" s="3">
        <v>20.85</v>
      </c>
      <c r="C61" s="3">
        <v>17.72</v>
      </c>
      <c r="D61" s="3">
        <v>9.85</v>
      </c>
      <c r="E61" s="3">
        <v>7.47</v>
      </c>
      <c r="F61" s="3">
        <v>6.16</v>
      </c>
      <c r="G61" s="3">
        <v>5.75</v>
      </c>
      <c r="H61" s="3">
        <v>4.52</v>
      </c>
      <c r="I61" s="3">
        <v>2.95</v>
      </c>
      <c r="J61" s="3">
        <v>1.33</v>
      </c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x14ac:dyDescent="0.25" r="62" customHeight="1" ht="18.75">
      <c r="A62" s="1" t="s">
        <v>1456</v>
      </c>
      <c r="B62" s="3">
        <v>2.82</v>
      </c>
      <c r="C62" s="3">
        <v>12.21</v>
      </c>
      <c r="D62" s="3">
        <v>7.8</v>
      </c>
      <c r="E62" s="3">
        <v>3.48</v>
      </c>
      <c r="F62" s="3">
        <v>3.66</v>
      </c>
      <c r="G62" s="3">
        <v>3.66</v>
      </c>
      <c r="H62" s="3">
        <v>2.22</v>
      </c>
      <c r="I62" s="5"/>
      <c r="J62" s="5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x14ac:dyDescent="0.25" r="63" customHeight="1" ht="18.75">
      <c r="A63" s="1" t="s">
        <v>1457</v>
      </c>
      <c r="B63" s="6">
        <v>4</v>
      </c>
      <c r="C63" s="3">
        <v>13.96</v>
      </c>
      <c r="D63" s="3">
        <v>12.05</v>
      </c>
      <c r="E63" s="3">
        <v>12.33</v>
      </c>
      <c r="F63" s="3">
        <v>11.89</v>
      </c>
      <c r="G63" s="3">
        <v>9.59</v>
      </c>
      <c r="H63" s="3">
        <v>8.9</v>
      </c>
      <c r="I63" s="3">
        <v>7.06</v>
      </c>
      <c r="J63" s="5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x14ac:dyDescent="0.25" r="64" customHeight="1" ht="18.75">
      <c r="A64" s="1" t="s">
        <v>1458</v>
      </c>
      <c r="B64" s="3">
        <v>1.02</v>
      </c>
      <c r="C64" s="3">
        <v>9.64</v>
      </c>
      <c r="D64" s="3">
        <v>5.76</v>
      </c>
      <c r="E64" s="3">
        <v>3.16</v>
      </c>
      <c r="F64" s="3">
        <v>2.68</v>
      </c>
      <c r="G64" s="3">
        <v>2.93</v>
      </c>
      <c r="H64" s="3">
        <v>2.9</v>
      </c>
      <c r="I64" s="3">
        <v>2.11</v>
      </c>
      <c r="J64" s="3">
        <v>1.34</v>
      </c>
      <c r="K64" s="3">
        <v>0.744</v>
      </c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x14ac:dyDescent="0.25" r="65" customHeight="1" ht="18.75">
      <c r="A65" s="1" t="s">
        <v>1459</v>
      </c>
      <c r="B65" s="3">
        <v>0.899</v>
      </c>
      <c r="C65" s="3">
        <v>2.83</v>
      </c>
      <c r="D65" s="3">
        <v>3.11</v>
      </c>
      <c r="E65" s="3">
        <v>1.83</v>
      </c>
      <c r="F65" s="3">
        <v>1.91</v>
      </c>
      <c r="G65" s="3">
        <v>1.64</v>
      </c>
      <c r="H65" s="3">
        <v>1.44</v>
      </c>
      <c r="I65" s="3">
        <v>1.14</v>
      </c>
      <c r="J65" s="3">
        <v>0.782</v>
      </c>
      <c r="K65" s="5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x14ac:dyDescent="0.25" r="66" customHeight="1" ht="18.75">
      <c r="A66" s="1" t="s">
        <v>19</v>
      </c>
      <c r="B66" s="3">
        <v>1.114</v>
      </c>
      <c r="C66" s="3">
        <v>2.935</v>
      </c>
      <c r="D66" s="3">
        <v>3.26</v>
      </c>
      <c r="E66" s="3">
        <v>2.269</v>
      </c>
      <c r="F66" s="3">
        <v>1.943</v>
      </c>
      <c r="G66" s="3">
        <v>1.057</v>
      </c>
      <c r="H66" s="5"/>
      <c r="I66" s="5"/>
      <c r="J66" s="5"/>
      <c r="K66" s="5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x14ac:dyDescent="0.25" r="67" customHeight="1" ht="18.75">
      <c r="A67" s="1" t="s">
        <v>20</v>
      </c>
      <c r="B67" s="3">
        <v>0.159</v>
      </c>
      <c r="C67" s="3">
        <v>10.68</v>
      </c>
      <c r="D67" s="3">
        <v>3.57</v>
      </c>
      <c r="E67" s="3">
        <v>2.1</v>
      </c>
      <c r="F67" s="3">
        <v>1.62</v>
      </c>
      <c r="G67" s="3">
        <v>1.73</v>
      </c>
      <c r="H67" s="3">
        <v>1.19</v>
      </c>
      <c r="I67" s="5"/>
      <c r="J67" s="5"/>
      <c r="K67" s="5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x14ac:dyDescent="0.25" r="68" customHeight="1" ht="18.75">
      <c r="A68" s="1" t="s">
        <v>21</v>
      </c>
      <c r="B68" s="3">
        <v>0.075</v>
      </c>
      <c r="C68" s="3">
        <v>0.188</v>
      </c>
      <c r="D68" s="3">
        <v>0.146</v>
      </c>
      <c r="E68" s="3">
        <v>0.181</v>
      </c>
      <c r="F68" s="3">
        <v>0.181</v>
      </c>
      <c r="G68" s="3">
        <v>0.146</v>
      </c>
      <c r="H68" s="5"/>
      <c r="I68" s="5"/>
      <c r="J68" s="5"/>
      <c r="K68" s="5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x14ac:dyDescent="0.25" r="69" customHeight="1" ht="18.75">
      <c r="A69" s="1" t="s">
        <v>22</v>
      </c>
      <c r="B69" s="3">
        <v>3.6</v>
      </c>
      <c r="C69" s="3">
        <v>7.33</v>
      </c>
      <c r="D69" s="3">
        <v>6.12</v>
      </c>
      <c r="E69" s="3">
        <v>4.84</v>
      </c>
      <c r="F69" s="3">
        <v>3.02</v>
      </c>
      <c r="G69" s="3">
        <v>2.42</v>
      </c>
      <c r="H69" s="3">
        <v>2.38</v>
      </c>
      <c r="I69" s="3">
        <v>1.62</v>
      </c>
      <c r="J69" s="3">
        <v>0.9</v>
      </c>
      <c r="K69" s="3">
        <v>0.775</v>
      </c>
      <c r="L69" s="3">
        <v>0.48</v>
      </c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x14ac:dyDescent="0.25" r="70" customHeight="1" ht="18.75">
      <c r="A70" s="1" t="s">
        <v>23</v>
      </c>
      <c r="B70" s="3">
        <v>0.2017</v>
      </c>
      <c r="C70" s="3">
        <v>0.1749</v>
      </c>
      <c r="D70" s="3">
        <v>0.191</v>
      </c>
      <c r="E70" s="3">
        <v>0.1581</v>
      </c>
      <c r="F70" s="3">
        <v>0.0757</v>
      </c>
      <c r="G70" s="3">
        <v>0.0436</v>
      </c>
      <c r="H70" s="3">
        <v>0.026699999999999998</v>
      </c>
      <c r="I70" s="5"/>
      <c r="J70" s="5"/>
      <c r="K70" s="5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x14ac:dyDescent="0.25" r="71" customHeight="1" ht="18.75">
      <c r="A71" s="1" t="s">
        <v>24</v>
      </c>
      <c r="B71" s="3">
        <v>5.04</v>
      </c>
      <c r="C71" s="3">
        <v>8.428</v>
      </c>
      <c r="D71" s="3">
        <v>9.269</v>
      </c>
      <c r="E71" s="3">
        <v>6.001</v>
      </c>
      <c r="F71" s="3">
        <v>4.499</v>
      </c>
      <c r="G71" s="3">
        <v>4.207</v>
      </c>
      <c r="H71" s="3">
        <v>3.747</v>
      </c>
      <c r="I71" s="3">
        <v>2.962</v>
      </c>
      <c r="J71" s="3">
        <v>1.92</v>
      </c>
      <c r="K71" s="3">
        <v>1.251</v>
      </c>
      <c r="L71" s="3">
        <v>0.8539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x14ac:dyDescent="0.25" r="72" customHeight="1" ht="18.75">
      <c r="A72" s="1" t="s">
        <v>25</v>
      </c>
      <c r="B72" s="3">
        <v>1.126</v>
      </c>
      <c r="C72" s="3">
        <v>2.227</v>
      </c>
      <c r="D72" s="3">
        <v>1.323</v>
      </c>
      <c r="E72" s="3">
        <v>0.8328</v>
      </c>
      <c r="F72" s="3">
        <v>0.8722000000000001</v>
      </c>
      <c r="G72" s="3">
        <v>1.075</v>
      </c>
      <c r="H72" s="3">
        <v>0.6477</v>
      </c>
      <c r="I72" s="3">
        <v>0.3399</v>
      </c>
      <c r="J72" s="3">
        <v>0.1539</v>
      </c>
      <c r="K72" s="3">
        <v>0.1188</v>
      </c>
      <c r="L72" s="3">
        <v>0.0968</v>
      </c>
      <c r="M72" s="3">
        <v>0.0583</v>
      </c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x14ac:dyDescent="0.25" r="73" customHeight="1" ht="18.75">
      <c r="A73" s="1" t="s">
        <v>26</v>
      </c>
      <c r="B73" s="3">
        <v>6.57</v>
      </c>
      <c r="C73" s="3">
        <v>9.1</v>
      </c>
      <c r="D73" s="3">
        <v>8.85</v>
      </c>
      <c r="E73" s="3">
        <v>9.86</v>
      </c>
      <c r="F73" s="3">
        <v>6.1</v>
      </c>
      <c r="G73" s="3">
        <v>5.6</v>
      </c>
      <c r="H73" s="3">
        <v>4.99</v>
      </c>
      <c r="I73" s="3">
        <v>3.06</v>
      </c>
      <c r="J73" s="5"/>
      <c r="K73" s="5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x14ac:dyDescent="0.25" r="74" customHeight="1" ht="18.75">
      <c r="A74" s="1" t="s">
        <v>27</v>
      </c>
      <c r="B74" s="3">
        <v>16.63</v>
      </c>
      <c r="C74" s="3">
        <v>21.43</v>
      </c>
      <c r="D74" s="3">
        <v>13.57</v>
      </c>
      <c r="E74" s="3">
        <v>8.8</v>
      </c>
      <c r="F74" s="3">
        <v>7.91</v>
      </c>
      <c r="G74" s="3">
        <v>7.22</v>
      </c>
      <c r="H74" s="3">
        <v>6.78</v>
      </c>
      <c r="I74" s="3">
        <v>5.47</v>
      </c>
      <c r="J74" s="3">
        <v>4.72</v>
      </c>
      <c r="K74" s="3">
        <v>3.83</v>
      </c>
      <c r="L74" s="3">
        <v>3.02</v>
      </c>
      <c r="M74" s="3">
        <v>2.35</v>
      </c>
      <c r="N74" s="3">
        <v>1.52</v>
      </c>
      <c r="O74" s="3">
        <v>1.12</v>
      </c>
      <c r="P74" s="3">
        <v>0.864</v>
      </c>
      <c r="Q74" s="4"/>
      <c r="R74" s="4"/>
      <c r="S74" s="4"/>
      <c r="T74" s="4"/>
      <c r="U74" s="4"/>
      <c r="V74" s="4"/>
      <c r="W74" s="4"/>
      <c r="X74" s="4"/>
    </row>
    <row x14ac:dyDescent="0.25" r="75" customHeight="1" ht="18.75">
      <c r="A75" s="1" t="s">
        <v>28</v>
      </c>
      <c r="B75" s="3">
        <v>0.426</v>
      </c>
      <c r="C75" s="3">
        <v>2.38</v>
      </c>
      <c r="D75" s="3">
        <v>1.88</v>
      </c>
      <c r="E75" s="3">
        <v>2.37</v>
      </c>
      <c r="F75" s="3">
        <v>2.45</v>
      </c>
      <c r="G75" s="3">
        <v>1.69</v>
      </c>
      <c r="H75" s="3">
        <v>0.71</v>
      </c>
      <c r="I75" s="3">
        <v>0.273</v>
      </c>
      <c r="J75" s="3">
        <v>0.147</v>
      </c>
      <c r="K75" s="3">
        <v>0.047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x14ac:dyDescent="0.25" r="76" customHeight="1" ht="18.75">
      <c r="A76" s="1" t="s">
        <v>29</v>
      </c>
      <c r="B76" s="3">
        <v>0.652</v>
      </c>
      <c r="C76" s="3">
        <v>1.42</v>
      </c>
      <c r="D76" s="3">
        <v>0.588</v>
      </c>
      <c r="E76" s="3">
        <v>0.563</v>
      </c>
      <c r="F76" s="3">
        <v>0.614</v>
      </c>
      <c r="G76" s="3">
        <v>0.365</v>
      </c>
      <c r="H76" s="5"/>
      <c r="I76" s="5"/>
      <c r="J76" s="5"/>
      <c r="K76" s="5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x14ac:dyDescent="0.25" r="77" customHeight="1" ht="18.75">
      <c r="A77" s="1" t="s">
        <v>30</v>
      </c>
      <c r="B77" s="3">
        <v>0.644</v>
      </c>
      <c r="C77" s="3">
        <v>2.55</v>
      </c>
      <c r="D77" s="3">
        <v>2.16</v>
      </c>
      <c r="E77" s="3">
        <v>1.38</v>
      </c>
      <c r="F77" s="3">
        <v>1.54</v>
      </c>
      <c r="G77" s="3">
        <v>1.11</v>
      </c>
      <c r="H77" s="3">
        <v>0.527</v>
      </c>
      <c r="I77" s="3">
        <v>0.74</v>
      </c>
      <c r="J77" s="3">
        <v>0.443</v>
      </c>
      <c r="K77" s="5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x14ac:dyDescent="0.25" r="78" customHeight="1" ht="18.75">
      <c r="A78" s="1" t="s">
        <v>31</v>
      </c>
      <c r="B78" s="3">
        <v>0.141</v>
      </c>
      <c r="C78" s="3">
        <v>0.304</v>
      </c>
      <c r="D78" s="3">
        <v>0.237</v>
      </c>
      <c r="E78" s="3">
        <v>0.197</v>
      </c>
      <c r="F78" s="3">
        <v>0.168</v>
      </c>
      <c r="G78" s="3">
        <v>0.162</v>
      </c>
      <c r="H78" s="3">
        <v>0.157</v>
      </c>
      <c r="I78" s="5"/>
      <c r="J78" s="5"/>
      <c r="K78" s="5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x14ac:dyDescent="0.25" r="79" customHeight="1" ht="18.75">
      <c r="A79" s="1" t="s">
        <v>32</v>
      </c>
      <c r="B79" s="3">
        <v>6.07</v>
      </c>
      <c r="C79" s="3">
        <v>13.87</v>
      </c>
      <c r="D79" s="3">
        <v>6.21</v>
      </c>
      <c r="E79" s="3">
        <v>3.84</v>
      </c>
      <c r="F79" s="3">
        <v>4.84</v>
      </c>
      <c r="G79" s="3">
        <v>4.72</v>
      </c>
      <c r="H79" s="3">
        <v>3.57</v>
      </c>
      <c r="I79" s="3">
        <v>2.29</v>
      </c>
      <c r="J79" s="5"/>
      <c r="K79" s="5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x14ac:dyDescent="0.25" r="80" customHeight="1" ht="18.75">
      <c r="A80" s="1" t="s">
        <v>33</v>
      </c>
      <c r="B80" s="3">
        <v>4.016</v>
      </c>
      <c r="C80" s="3">
        <v>9.697</v>
      </c>
      <c r="D80" s="3">
        <v>7.528</v>
      </c>
      <c r="E80" s="3">
        <v>3.415</v>
      </c>
      <c r="F80" s="3">
        <v>2.773</v>
      </c>
      <c r="G80" s="3">
        <v>2.565</v>
      </c>
      <c r="H80" s="3">
        <v>2.755</v>
      </c>
      <c r="I80" s="3">
        <v>2.032</v>
      </c>
      <c r="J80" s="5"/>
      <c r="K80" s="5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x14ac:dyDescent="0.25" r="81" customHeight="1" ht="18.75">
      <c r="A81" s="1" t="s">
        <v>34</v>
      </c>
      <c r="B81" s="3">
        <v>0.9347000000000001</v>
      </c>
      <c r="C81" s="3">
        <v>2.552</v>
      </c>
      <c r="D81" s="3">
        <v>1.661</v>
      </c>
      <c r="E81" s="3">
        <v>0.8097000000000001</v>
      </c>
      <c r="F81" s="3">
        <v>1.195</v>
      </c>
      <c r="G81" s="3">
        <v>0.9369</v>
      </c>
      <c r="H81" s="5"/>
      <c r="I81" s="5"/>
      <c r="J81" s="5"/>
      <c r="K81" s="5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x14ac:dyDescent="0.25" r="82" customHeight="1" ht="18.75">
      <c r="A82" s="1" t="s">
        <v>35</v>
      </c>
      <c r="B82" s="3">
        <v>0.5065</v>
      </c>
      <c r="C82" s="3">
        <v>1.165</v>
      </c>
      <c r="D82" s="3">
        <v>0.7231000000000001</v>
      </c>
      <c r="E82" s="3">
        <v>1.193</v>
      </c>
      <c r="F82" s="3">
        <v>0.988</v>
      </c>
      <c r="G82" s="3">
        <v>0.5214</v>
      </c>
      <c r="H82" s="3">
        <v>0.4775</v>
      </c>
      <c r="I82" s="3">
        <v>0.4122</v>
      </c>
      <c r="J82" s="5"/>
      <c r="K82" s="5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x14ac:dyDescent="0.25" r="83" customHeight="1" ht="18.75">
      <c r="A83" s="1" t="s">
        <v>36</v>
      </c>
      <c r="B83" s="3">
        <v>8.529</v>
      </c>
      <c r="C83" s="3">
        <v>21.415</v>
      </c>
      <c r="D83" s="3">
        <v>9.29</v>
      </c>
      <c r="E83" s="3">
        <v>6.714</v>
      </c>
      <c r="F83" s="3">
        <v>9.926</v>
      </c>
      <c r="G83" s="3">
        <v>8.207</v>
      </c>
      <c r="H83" s="3">
        <v>6.783</v>
      </c>
      <c r="I83" s="3">
        <v>4.236</v>
      </c>
      <c r="J83" s="3">
        <v>2.223</v>
      </c>
      <c r="K83" s="3">
        <v>1.154</v>
      </c>
      <c r="L83" s="3">
        <v>0.5778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x14ac:dyDescent="0.25" r="84" customHeight="1" ht="18.75">
      <c r="A84" s="1" t="s">
        <v>37</v>
      </c>
      <c r="B84" s="3">
        <v>3.358</v>
      </c>
      <c r="C84" s="3">
        <v>3.861</v>
      </c>
      <c r="D84" s="3">
        <v>2.665</v>
      </c>
      <c r="E84" s="3">
        <v>1.913</v>
      </c>
      <c r="F84" s="3">
        <v>1.319</v>
      </c>
      <c r="G84" s="3">
        <v>0.8441000000000001</v>
      </c>
      <c r="H84" s="3">
        <v>0.44739999999999996</v>
      </c>
      <c r="I84" s="3">
        <v>0.258</v>
      </c>
      <c r="J84" s="5"/>
      <c r="K84" s="5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x14ac:dyDescent="0.25" r="85" customHeight="1" ht="18.75">
      <c r="A85" s="1" t="s">
        <v>38</v>
      </c>
      <c r="B85" s="3">
        <v>0.273</v>
      </c>
      <c r="C85" s="3">
        <v>1.03</v>
      </c>
      <c r="D85" s="3">
        <v>2.49</v>
      </c>
      <c r="E85" s="3">
        <v>1.09</v>
      </c>
      <c r="F85" s="3">
        <v>0.995</v>
      </c>
      <c r="G85" s="3">
        <v>1.22</v>
      </c>
      <c r="H85" s="3">
        <v>1.13</v>
      </c>
      <c r="I85" s="3">
        <v>1.47</v>
      </c>
      <c r="J85" s="3">
        <v>0.918</v>
      </c>
      <c r="K85" s="3">
        <v>0.504</v>
      </c>
      <c r="L85" s="3">
        <v>0.342</v>
      </c>
      <c r="M85" s="3">
        <v>0.007</v>
      </c>
      <c r="N85" s="3">
        <v>0.008</v>
      </c>
      <c r="O85" s="4"/>
      <c r="P85" s="4"/>
      <c r="Q85" s="4"/>
      <c r="R85" s="4"/>
      <c r="S85" s="4"/>
      <c r="T85" s="4"/>
      <c r="U85" s="4"/>
      <c r="V85" s="4"/>
      <c r="W85" s="4"/>
      <c r="X85" s="4"/>
    </row>
    <row x14ac:dyDescent="0.25" r="86" customHeight="1" ht="18.75">
      <c r="A86" s="1" t="s">
        <v>39</v>
      </c>
      <c r="B86" s="3">
        <v>0.5236000000000001</v>
      </c>
      <c r="C86" s="3">
        <v>0.8316</v>
      </c>
      <c r="D86" s="3">
        <v>0.6948</v>
      </c>
      <c r="E86" s="3">
        <v>0.5834</v>
      </c>
      <c r="F86" s="3">
        <v>0.6237</v>
      </c>
      <c r="G86" s="3">
        <v>0.4669</v>
      </c>
      <c r="H86" s="3">
        <v>0.2857</v>
      </c>
      <c r="I86" s="3">
        <v>0.0582</v>
      </c>
      <c r="J86" s="3">
        <v>0.0315</v>
      </c>
      <c r="K86" s="3">
        <v>0.0314</v>
      </c>
      <c r="L86" s="3">
        <v>0.0315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x14ac:dyDescent="0.25" r="87" customHeight="1" ht="18.75">
      <c r="A87" s="1" t="s">
        <v>40</v>
      </c>
      <c r="B87" s="3">
        <v>0.596</v>
      </c>
      <c r="C87" s="3">
        <v>5.22</v>
      </c>
      <c r="D87" s="3">
        <v>11.77</v>
      </c>
      <c r="E87" s="3">
        <v>9.26</v>
      </c>
      <c r="F87" s="3">
        <v>7.76</v>
      </c>
      <c r="G87" s="3">
        <v>6.64</v>
      </c>
      <c r="H87" s="3">
        <v>4.02</v>
      </c>
      <c r="I87" s="3">
        <v>1.16</v>
      </c>
      <c r="J87" s="3">
        <v>0.569</v>
      </c>
      <c r="K87" s="3">
        <v>0.325</v>
      </c>
      <c r="L87" s="3">
        <v>0.143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x14ac:dyDescent="0.25" r="88" customHeight="1" ht="18.75">
      <c r="A88" s="1" t="s">
        <v>41</v>
      </c>
      <c r="B88" s="3">
        <v>7.662</v>
      </c>
      <c r="C88" s="3">
        <v>11.834</v>
      </c>
      <c r="D88" s="3">
        <v>5.907</v>
      </c>
      <c r="E88" s="3">
        <v>3.801</v>
      </c>
      <c r="F88" s="3">
        <v>3.09</v>
      </c>
      <c r="G88" s="3">
        <v>2.735</v>
      </c>
      <c r="H88" s="3">
        <v>2.105</v>
      </c>
      <c r="I88" s="3">
        <v>1.503</v>
      </c>
      <c r="J88" s="3">
        <v>1.08</v>
      </c>
      <c r="K88" s="5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x14ac:dyDescent="0.25" r="89" customHeight="1" ht="18.75">
      <c r="A89" s="1" t="s">
        <v>42</v>
      </c>
      <c r="B89" s="3">
        <v>5.049</v>
      </c>
      <c r="C89" s="3">
        <v>18.513</v>
      </c>
      <c r="D89" s="3">
        <v>13.889</v>
      </c>
      <c r="E89" s="3">
        <v>5.849</v>
      </c>
      <c r="F89" s="3">
        <v>7.09</v>
      </c>
      <c r="G89" s="3">
        <v>7.083</v>
      </c>
      <c r="H89" s="3">
        <v>4.766</v>
      </c>
      <c r="I89" s="3">
        <v>2.143</v>
      </c>
      <c r="J89" s="3">
        <v>1.026</v>
      </c>
      <c r="K89" s="3">
        <v>0.5024</v>
      </c>
      <c r="L89" s="3">
        <v>0.4487</v>
      </c>
      <c r="M89" s="3">
        <v>0.3185</v>
      </c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x14ac:dyDescent="0.25" r="90" customHeight="1" ht="18.75">
      <c r="A90" s="1" t="s">
        <v>43</v>
      </c>
      <c r="B90" s="3">
        <v>0.049</v>
      </c>
      <c r="C90" s="3">
        <v>4.646</v>
      </c>
      <c r="D90" s="3">
        <v>3.866</v>
      </c>
      <c r="E90" s="3">
        <v>3.745</v>
      </c>
      <c r="F90" s="3">
        <v>4.24</v>
      </c>
      <c r="G90" s="3">
        <v>3.958</v>
      </c>
      <c r="H90" s="3">
        <v>1.337</v>
      </c>
      <c r="I90" s="3">
        <v>0.7627999999999999</v>
      </c>
      <c r="J90" s="3">
        <v>0.5067</v>
      </c>
      <c r="K90" s="3">
        <v>0.30410000000000004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x14ac:dyDescent="0.25" r="91" customHeight="1" ht="18.75">
      <c r="A91" s="1" t="s">
        <v>44</v>
      </c>
      <c r="B91" s="3">
        <v>0.1113</v>
      </c>
      <c r="C91" s="3">
        <v>0.38889999999999997</v>
      </c>
      <c r="D91" s="3">
        <v>0.5794</v>
      </c>
      <c r="E91" s="3">
        <v>0.5239</v>
      </c>
      <c r="F91" s="3">
        <v>0.5187</v>
      </c>
      <c r="G91" s="3">
        <v>0.3752</v>
      </c>
      <c r="H91" s="3">
        <v>0.19490000000000002</v>
      </c>
      <c r="I91" s="3">
        <v>0.0878</v>
      </c>
      <c r="J91" s="3">
        <v>0.0405</v>
      </c>
      <c r="K91" s="3">
        <v>0.0205</v>
      </c>
      <c r="L91" s="3">
        <v>0.0136</v>
      </c>
      <c r="M91" s="3">
        <v>0.0081</v>
      </c>
      <c r="N91" s="3">
        <v>0.0067</v>
      </c>
      <c r="O91" s="3">
        <v>0.0067</v>
      </c>
      <c r="P91" s="3">
        <v>0.005900000000000001</v>
      </c>
      <c r="Q91" s="3">
        <v>0.005900000000000001</v>
      </c>
      <c r="R91" s="3">
        <v>0.0072</v>
      </c>
      <c r="S91" s="4"/>
      <c r="T91" s="4"/>
      <c r="U91" s="4"/>
      <c r="V91" s="4"/>
      <c r="W91" s="4"/>
      <c r="X91" s="4"/>
    </row>
    <row x14ac:dyDescent="0.25" r="92" customHeight="1" ht="18.75">
      <c r="A92" s="1" t="s">
        <v>45</v>
      </c>
      <c r="B92" s="3">
        <v>1.016</v>
      </c>
      <c r="C92" s="3">
        <v>1.111</v>
      </c>
      <c r="D92" s="3">
        <v>0.6902999999999999</v>
      </c>
      <c r="E92" s="3">
        <v>0.5115</v>
      </c>
      <c r="F92" s="3">
        <v>0.5391</v>
      </c>
      <c r="G92" s="3">
        <v>0.5812</v>
      </c>
      <c r="H92" s="3">
        <v>0.4081</v>
      </c>
      <c r="I92" s="3">
        <v>0.2521</v>
      </c>
      <c r="J92" s="5"/>
      <c r="K92" s="5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x14ac:dyDescent="0.25" r="93" customHeight="1" ht="18.75">
      <c r="A93" s="1" t="s">
        <v>46</v>
      </c>
      <c r="B93" s="3">
        <v>0.119</v>
      </c>
      <c r="C93" s="3">
        <v>24.482</v>
      </c>
      <c r="D93" s="3">
        <v>20.134</v>
      </c>
      <c r="E93" s="3">
        <v>10.571</v>
      </c>
      <c r="F93" s="3">
        <v>3.954</v>
      </c>
      <c r="G93" s="3">
        <v>3.352</v>
      </c>
      <c r="H93" s="3">
        <v>3.995</v>
      </c>
      <c r="I93" s="3">
        <v>3.51</v>
      </c>
      <c r="J93" s="3">
        <v>2.773</v>
      </c>
      <c r="K93" s="3">
        <v>2.287</v>
      </c>
      <c r="L93" s="3">
        <v>1.432</v>
      </c>
      <c r="M93" s="3">
        <v>0.9679</v>
      </c>
      <c r="N93" s="3">
        <v>0.5549</v>
      </c>
      <c r="O93" s="3">
        <v>0.3479</v>
      </c>
      <c r="P93" s="3">
        <v>0.2033</v>
      </c>
      <c r="Q93" s="3">
        <v>0.12969999999999998</v>
      </c>
      <c r="R93" s="3">
        <v>0.0712</v>
      </c>
      <c r="S93" s="3">
        <v>0.0546</v>
      </c>
      <c r="T93" s="3">
        <v>0.0407</v>
      </c>
      <c r="U93" s="3">
        <v>0.0317</v>
      </c>
      <c r="V93" s="3">
        <v>0.0289</v>
      </c>
      <c r="W93" s="3">
        <v>0.0241</v>
      </c>
      <c r="X93" s="3">
        <v>0.0221</v>
      </c>
    </row>
    <row x14ac:dyDescent="0.25" r="94" customHeight="1" ht="18.75">
      <c r="A94" s="1" t="s">
        <v>47</v>
      </c>
      <c r="B94" s="3">
        <v>3.385</v>
      </c>
      <c r="C94" s="3">
        <v>1.736</v>
      </c>
      <c r="D94" s="3">
        <v>0.96</v>
      </c>
      <c r="E94" s="3">
        <v>0.5799</v>
      </c>
      <c r="F94" s="3">
        <v>0.5398</v>
      </c>
      <c r="G94" s="3">
        <v>0.44110000000000005</v>
      </c>
      <c r="H94" s="3">
        <v>0.2808</v>
      </c>
      <c r="I94" s="3">
        <v>0.1681</v>
      </c>
      <c r="J94" s="3">
        <v>0.13440000000000002</v>
      </c>
      <c r="K94" s="3">
        <v>0.1029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x14ac:dyDescent="0.25" r="95" customHeight="1" ht="18.75">
      <c r="A95" s="1" t="s">
        <v>48</v>
      </c>
      <c r="B95" s="3">
        <v>0.8869</v>
      </c>
      <c r="C95" s="3">
        <v>1.572</v>
      </c>
      <c r="D95" s="3">
        <v>0.48669999999999997</v>
      </c>
      <c r="E95" s="3">
        <v>0.409</v>
      </c>
      <c r="F95" s="3">
        <v>0.3775</v>
      </c>
      <c r="G95" s="3">
        <v>0.2948</v>
      </c>
      <c r="H95" s="3">
        <v>0.194</v>
      </c>
      <c r="I95" s="3">
        <v>0.15580000000000002</v>
      </c>
      <c r="J95" s="3">
        <v>0.0897</v>
      </c>
      <c r="K95" s="5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x14ac:dyDescent="0.25" r="96" customHeight="1" ht="18.75">
      <c r="A96" s="1" t="s">
        <v>49</v>
      </c>
      <c r="B96" s="3">
        <v>1.3</v>
      </c>
      <c r="C96" s="3">
        <v>12.04</v>
      </c>
      <c r="D96" s="3">
        <v>11.773</v>
      </c>
      <c r="E96" s="3">
        <v>8.246</v>
      </c>
      <c r="F96" s="3">
        <v>6.476</v>
      </c>
      <c r="G96" s="3">
        <v>7.547</v>
      </c>
      <c r="H96" s="3">
        <v>6.67</v>
      </c>
      <c r="I96" s="3">
        <v>4.484</v>
      </c>
      <c r="J96" s="3">
        <v>1.707</v>
      </c>
      <c r="K96" s="3">
        <v>0.9445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x14ac:dyDescent="0.25" r="97" customHeight="1" ht="18.75">
      <c r="A97" s="1" t="s">
        <v>50</v>
      </c>
      <c r="B97" s="3">
        <v>0.529</v>
      </c>
      <c r="C97" s="3">
        <v>1.94</v>
      </c>
      <c r="D97" s="3">
        <v>2.11</v>
      </c>
      <c r="E97" s="3">
        <v>1.29</v>
      </c>
      <c r="F97" s="3">
        <v>1.16</v>
      </c>
      <c r="G97" s="3">
        <v>0.787</v>
      </c>
      <c r="H97" s="3">
        <v>0.312</v>
      </c>
      <c r="I97" s="5"/>
      <c r="J97" s="5"/>
      <c r="K97" s="5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x14ac:dyDescent="0.25" r="98" customHeight="1" ht="18.75">
      <c r="A98" s="1" t="s">
        <v>51</v>
      </c>
      <c r="B98" s="3">
        <v>2.09</v>
      </c>
      <c r="C98" s="3">
        <v>6.96</v>
      </c>
      <c r="D98" s="3">
        <v>5.99</v>
      </c>
      <c r="E98" s="3">
        <v>7.67</v>
      </c>
      <c r="F98" s="3">
        <v>9.27</v>
      </c>
      <c r="G98" s="3">
        <v>7.56</v>
      </c>
      <c r="H98" s="3">
        <v>3.29</v>
      </c>
      <c r="I98" s="3">
        <v>1.71</v>
      </c>
      <c r="J98" s="3">
        <v>0.657</v>
      </c>
      <c r="K98" s="5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x14ac:dyDescent="0.25" r="99" customHeight="1" ht="18.75">
      <c r="A99" s="1" t="s">
        <v>52</v>
      </c>
      <c r="B99" s="3">
        <v>2.536</v>
      </c>
      <c r="C99" s="3">
        <v>4.48</v>
      </c>
      <c r="D99" s="3">
        <v>3.879</v>
      </c>
      <c r="E99" s="3">
        <v>2.552</v>
      </c>
      <c r="F99" s="3">
        <v>3.501</v>
      </c>
      <c r="G99" s="3">
        <v>4.69</v>
      </c>
      <c r="H99" s="3">
        <v>4.72</v>
      </c>
      <c r="I99" s="3">
        <v>3.146</v>
      </c>
      <c r="J99" s="3">
        <v>1.765</v>
      </c>
      <c r="K99" s="3">
        <v>0.9054</v>
      </c>
      <c r="L99" s="3">
        <v>0.4838</v>
      </c>
      <c r="M99" s="3">
        <v>0.25939999999999996</v>
      </c>
      <c r="N99" s="3">
        <v>0.13119999999999998</v>
      </c>
      <c r="O99" s="3">
        <v>0.0729</v>
      </c>
      <c r="P99" s="3">
        <v>0.0423</v>
      </c>
      <c r="Q99" s="3">
        <v>0.0294</v>
      </c>
      <c r="R99" s="3">
        <v>0.0217</v>
      </c>
      <c r="S99" s="3">
        <v>0.0182</v>
      </c>
      <c r="T99" s="4"/>
      <c r="U99" s="4"/>
      <c r="V99" s="4"/>
      <c r="W99" s="4"/>
      <c r="X99" s="4"/>
    </row>
    <row x14ac:dyDescent="0.25" r="100" customHeight="1" ht="18.75">
      <c r="A100" s="1" t="s">
        <v>53</v>
      </c>
      <c r="B100" s="3">
        <v>0.2377</v>
      </c>
      <c r="C100" s="3">
        <v>0.18619999999999998</v>
      </c>
      <c r="D100" s="3">
        <v>0.109</v>
      </c>
      <c r="E100" s="3">
        <v>0.0717</v>
      </c>
      <c r="F100" s="3">
        <v>0.0592</v>
      </c>
      <c r="G100" s="3">
        <v>0.0416</v>
      </c>
      <c r="H100" s="3">
        <v>0.0219</v>
      </c>
      <c r="I100" s="3">
        <v>0.0094</v>
      </c>
      <c r="J100" s="3">
        <v>0.0074</v>
      </c>
      <c r="K100" s="5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x14ac:dyDescent="0.25" r="101" customHeight="1" ht="18.75">
      <c r="A101" s="1" t="s">
        <v>54</v>
      </c>
      <c r="B101" s="3">
        <v>0.3103</v>
      </c>
      <c r="C101" s="3">
        <v>1.752</v>
      </c>
      <c r="D101" s="3">
        <v>1.469</v>
      </c>
      <c r="E101" s="3">
        <v>2.038</v>
      </c>
      <c r="F101" s="3">
        <v>2.201</v>
      </c>
      <c r="G101" s="3">
        <v>2.963</v>
      </c>
      <c r="H101" s="3">
        <v>2.72</v>
      </c>
      <c r="I101" s="3">
        <v>2.043</v>
      </c>
      <c r="J101" s="3">
        <v>1.342</v>
      </c>
      <c r="K101" s="3">
        <v>0.3865</v>
      </c>
      <c r="L101" s="3">
        <v>0.0991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x14ac:dyDescent="0.25" r="102" customHeight="1" ht="18.75">
      <c r="A102" s="1" t="s">
        <v>55</v>
      </c>
      <c r="B102" s="3">
        <v>4.592</v>
      </c>
      <c r="C102" s="3">
        <v>7.594</v>
      </c>
      <c r="D102" s="3">
        <v>3.812</v>
      </c>
      <c r="E102" s="3">
        <v>3.519</v>
      </c>
      <c r="F102" s="3">
        <v>4.078</v>
      </c>
      <c r="G102" s="3">
        <v>2.724</v>
      </c>
      <c r="H102" s="3">
        <v>1.635</v>
      </c>
      <c r="I102" s="3">
        <v>0.8617</v>
      </c>
      <c r="J102" s="3">
        <v>0.5237</v>
      </c>
      <c r="K102" s="3">
        <v>0.5035</v>
      </c>
      <c r="L102" s="3">
        <v>0.6762999999999999</v>
      </c>
      <c r="M102" s="3">
        <v>0.4093</v>
      </c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x14ac:dyDescent="0.25" r="103" customHeight="1" ht="18.75">
      <c r="A103" s="1" t="s">
        <v>56</v>
      </c>
      <c r="B103" s="3">
        <v>1.106</v>
      </c>
      <c r="C103" s="3">
        <v>1.861</v>
      </c>
      <c r="D103" s="3">
        <v>2.766</v>
      </c>
      <c r="E103" s="3">
        <v>0.9432</v>
      </c>
      <c r="F103" s="3">
        <v>0.8925</v>
      </c>
      <c r="G103" s="3">
        <v>0.9709</v>
      </c>
      <c r="H103" s="3">
        <v>0.7397</v>
      </c>
      <c r="I103" s="3">
        <v>0.4382</v>
      </c>
      <c r="J103" s="5"/>
      <c r="K103" s="5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x14ac:dyDescent="0.25" r="104" customHeight="1" ht="18.75">
      <c r="A104" s="1" t="s">
        <v>57</v>
      </c>
      <c r="B104" s="3">
        <v>0.2339</v>
      </c>
      <c r="C104" s="3">
        <v>0.5306000000000001</v>
      </c>
      <c r="D104" s="3">
        <v>2.207</v>
      </c>
      <c r="E104" s="3">
        <v>1.424</v>
      </c>
      <c r="F104" s="3">
        <v>1.111</v>
      </c>
      <c r="G104" s="3">
        <v>1.294</v>
      </c>
      <c r="H104" s="3">
        <v>1.516</v>
      </c>
      <c r="I104" s="3">
        <v>1.158</v>
      </c>
      <c r="J104" s="5"/>
      <c r="K104" s="5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x14ac:dyDescent="0.25" r="105" customHeight="1" ht="18.75">
      <c r="A105" s="1" t="s">
        <v>58</v>
      </c>
      <c r="B105" s="3">
        <v>0.1301</v>
      </c>
      <c r="C105" s="3">
        <v>0.167</v>
      </c>
      <c r="D105" s="3">
        <v>0.2508</v>
      </c>
      <c r="E105" s="3">
        <v>0.19590000000000002</v>
      </c>
      <c r="F105" s="3">
        <v>0.2105</v>
      </c>
      <c r="G105" s="3">
        <v>0.223</v>
      </c>
      <c r="H105" s="3">
        <v>0.1666</v>
      </c>
      <c r="I105" s="3">
        <v>0.09240000000000001</v>
      </c>
      <c r="J105" s="5"/>
      <c r="K105" s="5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x14ac:dyDescent="0.25" r="106" customHeight="1" ht="18.75">
      <c r="A106" s="1" t="s">
        <v>59</v>
      </c>
      <c r="B106" s="3">
        <v>1.155</v>
      </c>
      <c r="C106" s="3">
        <v>2.451</v>
      </c>
      <c r="D106" s="3">
        <v>1.795</v>
      </c>
      <c r="E106" s="3">
        <v>1.101</v>
      </c>
      <c r="F106" s="3">
        <v>0.8627999999999999</v>
      </c>
      <c r="G106" s="3">
        <v>0.6315</v>
      </c>
      <c r="H106" s="3">
        <v>0.44930000000000003</v>
      </c>
      <c r="I106" s="3">
        <v>0.2802</v>
      </c>
      <c r="J106" s="5"/>
      <c r="K106" s="5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x14ac:dyDescent="0.25" r="107" customHeight="1" ht="18.75">
      <c r="A107" s="1" t="s">
        <v>60</v>
      </c>
      <c r="B107" s="3">
        <v>1.54</v>
      </c>
      <c r="C107" s="3">
        <v>3.16</v>
      </c>
      <c r="D107" s="3">
        <v>2.41</v>
      </c>
      <c r="E107" s="3">
        <v>3.38</v>
      </c>
      <c r="F107" s="3">
        <v>3.09</v>
      </c>
      <c r="G107" s="6">
        <v>2</v>
      </c>
      <c r="H107" s="3">
        <v>0.637</v>
      </c>
      <c r="I107" s="3">
        <v>0.225</v>
      </c>
      <c r="J107" s="3">
        <v>0.115</v>
      </c>
      <c r="K107" s="3">
        <v>0.071</v>
      </c>
      <c r="L107" s="3">
        <v>0.051</v>
      </c>
      <c r="M107" s="3">
        <v>0.037</v>
      </c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x14ac:dyDescent="0.25" r="108" customHeight="1" ht="18.75">
      <c r="A108" s="1" t="s">
        <v>61</v>
      </c>
      <c r="B108" s="3">
        <v>0.284</v>
      </c>
      <c r="C108" s="3">
        <v>0.764</v>
      </c>
      <c r="D108" s="3">
        <v>0.739</v>
      </c>
      <c r="E108" s="3">
        <v>0.495</v>
      </c>
      <c r="F108" s="3">
        <v>0.489</v>
      </c>
      <c r="G108" s="3">
        <v>0.467</v>
      </c>
      <c r="H108" s="3">
        <v>0.183</v>
      </c>
      <c r="I108" s="5"/>
      <c r="J108" s="5"/>
      <c r="K108" s="5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x14ac:dyDescent="0.25" r="109" customHeight="1" ht="18.75">
      <c r="A109" s="1" t="s">
        <v>62</v>
      </c>
      <c r="B109" s="3">
        <v>0.263</v>
      </c>
      <c r="C109" s="3">
        <v>0.366</v>
      </c>
      <c r="D109" s="3">
        <v>0.93</v>
      </c>
      <c r="E109" s="3">
        <v>1.28</v>
      </c>
      <c r="F109" s="3">
        <v>1.01</v>
      </c>
      <c r="G109" s="3">
        <v>0.784</v>
      </c>
      <c r="H109" s="3">
        <v>0.413</v>
      </c>
      <c r="I109" s="3">
        <v>0.237</v>
      </c>
      <c r="J109" s="3">
        <v>0.181</v>
      </c>
      <c r="K109" s="3">
        <v>0.139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x14ac:dyDescent="0.25" r="110" customHeight="1" ht="18.75">
      <c r="A110" s="1" t="s">
        <v>63</v>
      </c>
      <c r="B110" s="3">
        <v>0.212</v>
      </c>
      <c r="C110" s="3">
        <v>0.276</v>
      </c>
      <c r="D110" s="3">
        <v>0.612</v>
      </c>
      <c r="E110" s="3">
        <v>0.757</v>
      </c>
      <c r="F110" s="3">
        <v>0.479</v>
      </c>
      <c r="G110" s="3">
        <v>0.43</v>
      </c>
      <c r="H110" s="3">
        <v>0.394</v>
      </c>
      <c r="I110" s="3">
        <v>0.228</v>
      </c>
      <c r="J110" s="3">
        <v>0.125</v>
      </c>
      <c r="K110" s="5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x14ac:dyDescent="0.25" r="111" customHeight="1" ht="18.75">
      <c r="A111" s="1" t="s">
        <v>64</v>
      </c>
      <c r="B111" s="3">
        <v>3.6</v>
      </c>
      <c r="C111" s="3">
        <v>14.44</v>
      </c>
      <c r="D111" s="3">
        <v>6.84</v>
      </c>
      <c r="E111" s="3">
        <v>7.14</v>
      </c>
      <c r="F111" s="3">
        <v>6.84</v>
      </c>
      <c r="G111" s="3">
        <v>5.49</v>
      </c>
      <c r="H111" s="3">
        <v>3.87</v>
      </c>
      <c r="I111" s="3">
        <v>2.3</v>
      </c>
      <c r="J111" s="3">
        <v>1.54</v>
      </c>
      <c r="K111" s="3">
        <v>1.15</v>
      </c>
      <c r="L111" s="3">
        <v>0.727</v>
      </c>
      <c r="M111" s="3">
        <v>0.482</v>
      </c>
      <c r="N111" s="3">
        <v>0.364</v>
      </c>
      <c r="O111" s="3">
        <v>0.267</v>
      </c>
      <c r="P111" s="3">
        <v>0.217</v>
      </c>
      <c r="Q111" s="3">
        <v>0.16</v>
      </c>
      <c r="R111" s="3">
        <v>0.147</v>
      </c>
      <c r="S111" s="3">
        <v>0.143</v>
      </c>
      <c r="T111" s="4"/>
      <c r="U111" s="4"/>
      <c r="V111" s="4"/>
      <c r="W111" s="4"/>
      <c r="X111" s="4"/>
    </row>
    <row x14ac:dyDescent="0.25" r="112" customHeight="1" ht="18.75">
      <c r="A112" s="1" t="s">
        <v>0</v>
      </c>
      <c r="B112" s="3">
        <v>12.9</v>
      </c>
      <c r="C112" s="3">
        <v>6.94</v>
      </c>
      <c r="D112" s="3">
        <v>4.58</v>
      </c>
      <c r="E112" s="3">
        <v>2.93</v>
      </c>
      <c r="F112" s="3">
        <v>4.08</v>
      </c>
      <c r="G112" s="3">
        <v>3.72</v>
      </c>
      <c r="H112" s="3">
        <v>2.41</v>
      </c>
      <c r="I112" s="3">
        <v>0.674</v>
      </c>
      <c r="J112" s="5"/>
      <c r="K112" s="5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x14ac:dyDescent="0.25" r="113" customHeight="1" ht="18.75">
      <c r="A113" s="1" t="s">
        <v>1</v>
      </c>
      <c r="B113" s="3">
        <v>0.189</v>
      </c>
      <c r="C113" s="3">
        <v>0.468</v>
      </c>
      <c r="D113" s="3">
        <v>0.322</v>
      </c>
      <c r="E113" s="3">
        <v>0.232</v>
      </c>
      <c r="F113" s="3">
        <v>0.24</v>
      </c>
      <c r="G113" s="3">
        <v>0.231</v>
      </c>
      <c r="H113" s="3">
        <v>0.199</v>
      </c>
      <c r="I113" s="3">
        <v>0.146</v>
      </c>
      <c r="J113" s="3">
        <v>0.11</v>
      </c>
      <c r="K113" s="5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x14ac:dyDescent="0.25" r="114" customHeight="1" ht="18.75">
      <c r="A114" s="1" t="s">
        <v>2</v>
      </c>
      <c r="B114" s="3">
        <v>2.24</v>
      </c>
      <c r="C114" s="3">
        <v>6.93</v>
      </c>
      <c r="D114" s="3">
        <v>7.01</v>
      </c>
      <c r="E114" s="3">
        <v>2.49</v>
      </c>
      <c r="F114" s="3">
        <v>3.16</v>
      </c>
      <c r="G114" s="3">
        <v>3.82</v>
      </c>
      <c r="H114" s="3">
        <v>3.4</v>
      </c>
      <c r="I114" s="5"/>
      <c r="J114" s="5"/>
      <c r="K114" s="5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x14ac:dyDescent="0.25" r="115" customHeight="1" ht="18.75">
      <c r="A115" s="1" t="s">
        <v>3</v>
      </c>
      <c r="B115" s="3">
        <v>0.345</v>
      </c>
      <c r="C115" s="3">
        <v>1.3</v>
      </c>
      <c r="D115" s="3">
        <v>0.893</v>
      </c>
      <c r="E115" s="3">
        <v>0.759</v>
      </c>
      <c r="F115" s="3">
        <v>1.02</v>
      </c>
      <c r="G115" s="5"/>
      <c r="H115" s="5"/>
      <c r="I115" s="5"/>
      <c r="J115" s="5"/>
      <c r="K115" s="5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x14ac:dyDescent="0.25" r="116" customHeight="1" ht="18.75">
      <c r="A116" s="1" t="s">
        <v>4</v>
      </c>
      <c r="B116" s="3">
        <v>0.096</v>
      </c>
      <c r="C116" s="3">
        <v>0.245</v>
      </c>
      <c r="D116" s="3">
        <v>0.636</v>
      </c>
      <c r="E116" s="3">
        <v>0.474</v>
      </c>
      <c r="F116" s="3">
        <v>0.614</v>
      </c>
      <c r="G116" s="3">
        <v>0.628</v>
      </c>
      <c r="H116" s="3">
        <v>0.39</v>
      </c>
      <c r="I116" s="5"/>
      <c r="J116" s="5"/>
      <c r="K116" s="5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x14ac:dyDescent="0.25" r="117" customHeight="1" ht="18.75">
      <c r="A117" s="1" t="s">
        <v>5</v>
      </c>
      <c r="B117" s="3">
        <v>0.153</v>
      </c>
      <c r="C117" s="3">
        <v>0.155</v>
      </c>
      <c r="D117" s="3">
        <v>0.174</v>
      </c>
      <c r="E117" s="3">
        <v>0.113</v>
      </c>
      <c r="F117" s="3">
        <v>0.114</v>
      </c>
      <c r="G117" s="3">
        <v>0.142</v>
      </c>
      <c r="H117" s="3">
        <v>0.07</v>
      </c>
      <c r="I117" s="5"/>
      <c r="J117" s="5"/>
      <c r="K117" s="5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x14ac:dyDescent="0.25" r="118" customHeight="1" ht="18.75">
      <c r="A118" s="1" t="s">
        <v>6</v>
      </c>
      <c r="B118" s="3">
        <v>0.029</v>
      </c>
      <c r="C118" s="3">
        <v>0.031</v>
      </c>
      <c r="D118" s="3">
        <v>0.036</v>
      </c>
      <c r="E118" s="5"/>
      <c r="F118" s="5"/>
      <c r="G118" s="5"/>
      <c r="H118" s="5"/>
      <c r="I118" s="5"/>
      <c r="J118" s="5"/>
      <c r="K118" s="5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x14ac:dyDescent="0.25" r="119" customHeight="1" ht="18.75">
      <c r="A119" s="1" t="s">
        <v>7</v>
      </c>
      <c r="B119" s="3">
        <v>1.78</v>
      </c>
      <c r="C119" s="3">
        <v>2.06</v>
      </c>
      <c r="D119" s="3">
        <v>2.17</v>
      </c>
      <c r="E119" s="3">
        <v>1.96</v>
      </c>
      <c r="F119" s="3">
        <v>1.67</v>
      </c>
      <c r="G119" s="3">
        <v>1.06</v>
      </c>
      <c r="H119" s="5"/>
      <c r="I119" s="5"/>
      <c r="J119" s="5"/>
      <c r="K119" s="5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x14ac:dyDescent="0.25" r="120" customHeight="1" ht="18.75">
      <c r="A120" s="1" t="s">
        <v>8</v>
      </c>
      <c r="B120" s="3">
        <v>0.096</v>
      </c>
      <c r="C120" s="3">
        <v>0.389</v>
      </c>
      <c r="D120" s="3">
        <v>0.796</v>
      </c>
      <c r="E120" s="3">
        <v>0.436</v>
      </c>
      <c r="F120" s="3">
        <v>0.487</v>
      </c>
      <c r="G120" s="3">
        <v>0.521</v>
      </c>
      <c r="H120" s="5"/>
      <c r="I120" s="5"/>
      <c r="J120" s="5"/>
      <c r="K120" s="5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x14ac:dyDescent="0.25" r="121" customHeight="1" ht="18.75">
      <c r="A121" s="1" t="s">
        <v>9</v>
      </c>
      <c r="B121" s="3">
        <v>18.24</v>
      </c>
      <c r="C121" s="3">
        <v>11.91</v>
      </c>
      <c r="D121" s="3">
        <v>8.33</v>
      </c>
      <c r="E121" s="3">
        <v>6.01</v>
      </c>
      <c r="F121" s="3">
        <v>5.64</v>
      </c>
      <c r="G121" s="3">
        <v>5.68</v>
      </c>
      <c r="H121" s="3">
        <v>5.45</v>
      </c>
      <c r="I121" s="3">
        <v>2.07</v>
      </c>
      <c r="J121" s="5"/>
      <c r="K121" s="5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x14ac:dyDescent="0.25" r="122" customHeight="1" ht="18.75">
      <c r="A122" s="1" t="s">
        <v>10</v>
      </c>
      <c r="B122" s="3">
        <v>3.87</v>
      </c>
      <c r="C122" s="3">
        <v>3.87</v>
      </c>
      <c r="D122" s="3">
        <v>2.9</v>
      </c>
      <c r="E122" s="3">
        <v>3.1</v>
      </c>
      <c r="F122" s="3">
        <v>2.38</v>
      </c>
      <c r="G122" s="3">
        <v>2.64</v>
      </c>
      <c r="H122" s="3">
        <v>2.49</v>
      </c>
      <c r="I122" s="3">
        <v>0.01</v>
      </c>
      <c r="J122" s="3">
        <v>2.03</v>
      </c>
      <c r="K122" s="5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x14ac:dyDescent="0.25" r="123" customHeight="1" ht="18.75">
      <c r="A123" s="1" t="s">
        <v>11</v>
      </c>
      <c r="B123" s="3">
        <v>2.83</v>
      </c>
      <c r="C123" s="3">
        <v>4.1</v>
      </c>
      <c r="D123" s="3">
        <v>2.44</v>
      </c>
      <c r="E123" s="3">
        <v>1.68</v>
      </c>
      <c r="F123" s="3">
        <v>2.16</v>
      </c>
      <c r="G123" s="3">
        <v>2.87</v>
      </c>
      <c r="H123" s="3">
        <v>2.09</v>
      </c>
      <c r="I123" s="3">
        <v>0.992</v>
      </c>
      <c r="J123" s="3">
        <v>0.451</v>
      </c>
      <c r="K123" s="3">
        <v>0.205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x14ac:dyDescent="0.25" r="124" customHeight="1" ht="18.75">
      <c r="A124" s="1" t="s">
        <v>12</v>
      </c>
      <c r="B124" s="3">
        <v>1.44</v>
      </c>
      <c r="C124" s="3">
        <v>2.01</v>
      </c>
      <c r="D124" s="3">
        <v>1.7</v>
      </c>
      <c r="E124" s="3">
        <v>1.89</v>
      </c>
      <c r="F124" s="3">
        <v>1.72</v>
      </c>
      <c r="G124" s="3">
        <v>1.69</v>
      </c>
      <c r="H124" s="3">
        <v>0.731</v>
      </c>
      <c r="I124" s="5"/>
      <c r="J124" s="5"/>
      <c r="K124" s="5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x14ac:dyDescent="0.25" r="125" customHeight="1" ht="18.75">
      <c r="A125" s="1" t="s">
        <v>13</v>
      </c>
      <c r="B125" s="3">
        <v>3.94</v>
      </c>
      <c r="C125" s="6">
        <v>10</v>
      </c>
      <c r="D125" s="3">
        <v>10.68</v>
      </c>
      <c r="E125" s="3">
        <v>7.18</v>
      </c>
      <c r="F125" s="3">
        <v>4.98</v>
      </c>
      <c r="G125" s="3">
        <v>5.1</v>
      </c>
      <c r="H125" s="3">
        <v>4.45</v>
      </c>
      <c r="I125" s="3">
        <v>3.22</v>
      </c>
      <c r="J125" s="3">
        <v>1.25</v>
      </c>
      <c r="K125" s="3">
        <v>0.744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x14ac:dyDescent="0.25" r="126" customHeight="1" ht="18.75">
      <c r="A126" s="1" t="s">
        <v>14</v>
      </c>
      <c r="B126" s="3">
        <v>7.01</v>
      </c>
      <c r="C126" s="3">
        <v>5.27</v>
      </c>
      <c r="D126" s="3">
        <v>4.95</v>
      </c>
      <c r="E126" s="3">
        <v>3.43</v>
      </c>
      <c r="F126" s="3">
        <v>4.01</v>
      </c>
      <c r="G126" s="3">
        <v>4.7</v>
      </c>
      <c r="H126" s="3">
        <v>3.72</v>
      </c>
      <c r="I126" s="3">
        <v>3.06</v>
      </c>
      <c r="J126" s="5"/>
      <c r="K126" s="5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x14ac:dyDescent="0.25" r="127" customHeight="1" ht="18.75">
      <c r="A127" s="1" t="s">
        <v>15</v>
      </c>
      <c r="B127" s="3">
        <v>11.24</v>
      </c>
      <c r="C127" s="3">
        <v>7.79</v>
      </c>
      <c r="D127" s="3">
        <v>5.03</v>
      </c>
      <c r="E127" s="3">
        <v>2.84</v>
      </c>
      <c r="F127" s="3">
        <v>3.69</v>
      </c>
      <c r="G127" s="3">
        <v>4.56</v>
      </c>
      <c r="H127" s="3">
        <v>3.98</v>
      </c>
      <c r="I127" s="3">
        <v>2.27</v>
      </c>
      <c r="J127" s="3">
        <v>1.65</v>
      </c>
      <c r="K127" s="3">
        <v>1.5</v>
      </c>
      <c r="L127" s="3">
        <v>1.3</v>
      </c>
      <c r="M127" s="3">
        <v>1.16</v>
      </c>
      <c r="N127" s="3">
        <v>0.711</v>
      </c>
      <c r="O127" s="3">
        <v>0.54</v>
      </c>
      <c r="P127" s="4"/>
      <c r="Q127" s="4"/>
      <c r="R127" s="4"/>
      <c r="S127" s="4"/>
      <c r="T127" s="4"/>
      <c r="U127" s="4"/>
      <c r="V127" s="4"/>
      <c r="W127" s="4"/>
      <c r="X127" s="4"/>
    </row>
    <row x14ac:dyDescent="0.25" r="128" customHeight="1" ht="18.75">
      <c r="A128" s="1" t="s">
        <v>16</v>
      </c>
      <c r="B128" s="3">
        <v>28.39</v>
      </c>
      <c r="C128" s="3">
        <v>15.65</v>
      </c>
      <c r="D128" s="3">
        <v>9.97</v>
      </c>
      <c r="E128" s="3">
        <v>2.66</v>
      </c>
      <c r="F128" s="3">
        <v>2.27</v>
      </c>
      <c r="G128" s="3">
        <v>1.76</v>
      </c>
      <c r="H128" s="3">
        <v>1.46</v>
      </c>
      <c r="I128" s="5"/>
      <c r="J128" s="5"/>
      <c r="K128" s="5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x14ac:dyDescent="0.25" r="129" customHeight="1" ht="18.75">
      <c r="A129" s="1" t="s">
        <v>17</v>
      </c>
      <c r="B129" s="3">
        <v>5.74</v>
      </c>
      <c r="C129" s="3">
        <v>8.74</v>
      </c>
      <c r="D129" s="3">
        <v>3.3</v>
      </c>
      <c r="E129" s="3">
        <v>3.26</v>
      </c>
      <c r="F129" s="3">
        <v>3.36</v>
      </c>
      <c r="G129" s="3">
        <v>3.01</v>
      </c>
      <c r="H129" s="3">
        <v>2.57</v>
      </c>
      <c r="I129" s="3">
        <v>1.29</v>
      </c>
      <c r="J129" s="3">
        <v>0.579</v>
      </c>
      <c r="K129" s="3">
        <v>0.305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102"/>
  <sheetViews>
    <sheetView workbookViewId="0"/>
  </sheetViews>
  <sheetFormatPr defaultRowHeight="15" x14ac:dyDescent="0.25"/>
  <cols>
    <col min="1" max="1" style="8" width="13.576428571428572" customWidth="1" bestFit="1"/>
    <col min="2" max="2" style="9" width="13.576428571428572" customWidth="1" bestFit="1"/>
    <col min="3" max="3" style="9" width="13.576428571428572" customWidth="1" bestFit="1"/>
    <col min="4" max="4" style="9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</cols>
  <sheetData>
    <row x14ac:dyDescent="0.25" r="1" customHeight="1" ht="18.75">
      <c r="A1" s="1" t="s">
        <v>1513</v>
      </c>
      <c r="B1" s="3">
        <v>14.02</v>
      </c>
      <c r="C1" s="3">
        <v>32.72</v>
      </c>
      <c r="D1" s="3">
        <v>40.35</v>
      </c>
      <c r="E1" s="3">
        <v>57.8</v>
      </c>
      <c r="F1" s="3">
        <v>68.22</v>
      </c>
      <c r="G1" s="3">
        <v>82.07</v>
      </c>
      <c r="H1" s="3">
        <v>105.12</v>
      </c>
      <c r="I1" s="3">
        <v>130.03</v>
      </c>
      <c r="J1" s="4"/>
      <c r="K1" s="4"/>
      <c r="L1" s="4"/>
      <c r="M1" s="4"/>
      <c r="N1" s="4"/>
      <c r="O1" s="4"/>
      <c r="P1" s="4"/>
    </row>
    <row x14ac:dyDescent="0.25" r="2" customHeight="1" ht="18.75">
      <c r="A2" s="1" t="s">
        <v>1514</v>
      </c>
      <c r="B2" s="3">
        <v>10.08</v>
      </c>
      <c r="C2" s="3">
        <v>15.55</v>
      </c>
      <c r="D2" s="3">
        <v>18.75</v>
      </c>
      <c r="E2" s="3">
        <v>34.07</v>
      </c>
      <c r="F2" s="3">
        <v>35.78</v>
      </c>
      <c r="G2" s="3">
        <v>46.78</v>
      </c>
      <c r="H2" s="3">
        <v>58.62</v>
      </c>
      <c r="I2" s="3">
        <v>81.25</v>
      </c>
      <c r="J2" s="4"/>
      <c r="K2" s="4"/>
      <c r="L2" s="4"/>
      <c r="M2" s="4"/>
      <c r="N2" s="4"/>
      <c r="O2" s="4"/>
      <c r="P2" s="4"/>
    </row>
    <row x14ac:dyDescent="0.25" r="3" customHeight="1" ht="18.75">
      <c r="A3" s="34" t="s">
        <v>1515</v>
      </c>
      <c r="B3" s="71">
        <v>7.75</v>
      </c>
      <c r="C3" s="71">
        <v>21.47</v>
      </c>
      <c r="D3" s="71">
        <v>34.25</v>
      </c>
      <c r="E3" s="71">
        <v>48.57</v>
      </c>
      <c r="F3" s="71">
        <v>71.62</v>
      </c>
      <c r="G3" s="71">
        <v>84.83</v>
      </c>
      <c r="H3" s="71">
        <v>95.75</v>
      </c>
      <c r="I3" s="4"/>
      <c r="J3" s="4"/>
      <c r="K3" s="4"/>
      <c r="L3" s="4"/>
      <c r="M3" s="4"/>
      <c r="N3" s="4"/>
      <c r="O3" s="4"/>
      <c r="P3" s="4"/>
    </row>
    <row x14ac:dyDescent="0.25" r="4" customHeight="1" ht="18.75">
      <c r="A4" s="1" t="s">
        <v>1516</v>
      </c>
      <c r="B4" s="3">
        <v>108.65</v>
      </c>
      <c r="C4" s="3">
        <v>119.45</v>
      </c>
      <c r="D4" s="3">
        <v>130.08</v>
      </c>
      <c r="E4" s="5"/>
      <c r="F4" s="5"/>
      <c r="G4" s="5"/>
      <c r="H4" s="5"/>
      <c r="I4" s="4"/>
      <c r="J4" s="4"/>
      <c r="K4" s="4"/>
      <c r="L4" s="4"/>
      <c r="M4" s="4"/>
      <c r="N4" s="4"/>
      <c r="O4" s="4"/>
      <c r="P4" s="4"/>
    </row>
    <row x14ac:dyDescent="0.25" r="5" customHeight="1" ht="18.75">
      <c r="A5" s="1" t="s">
        <v>1517</v>
      </c>
      <c r="B5" s="3">
        <v>18.28</v>
      </c>
      <c r="C5" s="3">
        <v>35.03</v>
      </c>
      <c r="D5" s="3">
        <v>58.37</v>
      </c>
      <c r="E5" s="3">
        <v>83.5</v>
      </c>
      <c r="F5" s="3">
        <v>105.38</v>
      </c>
      <c r="G5" s="3">
        <v>129.55</v>
      </c>
      <c r="H5" s="3">
        <v>153.98</v>
      </c>
      <c r="I5" s="3">
        <v>179.67</v>
      </c>
      <c r="J5" s="4"/>
      <c r="K5" s="4"/>
      <c r="L5" s="4"/>
      <c r="M5" s="4"/>
      <c r="N5" s="4"/>
      <c r="O5" s="4"/>
      <c r="P5" s="4"/>
    </row>
    <row x14ac:dyDescent="0.25" r="6" customHeight="1" ht="18.75">
      <c r="A6" s="1" t="s">
        <v>1518</v>
      </c>
      <c r="B6" s="3">
        <v>9.92</v>
      </c>
      <c r="C6" s="3">
        <v>12.85</v>
      </c>
      <c r="D6" s="3">
        <v>21.2</v>
      </c>
      <c r="E6" s="3">
        <v>33.72</v>
      </c>
      <c r="F6" s="3">
        <v>58.48</v>
      </c>
      <c r="G6" s="3">
        <v>81.87</v>
      </c>
      <c r="H6" s="3">
        <v>106.55</v>
      </c>
      <c r="I6" s="4"/>
      <c r="J6" s="4"/>
      <c r="K6" s="4"/>
      <c r="L6" s="4"/>
      <c r="M6" s="4"/>
      <c r="N6" s="4"/>
      <c r="O6" s="4"/>
      <c r="P6" s="4"/>
    </row>
    <row x14ac:dyDescent="0.25" r="7" customHeight="1" ht="18.75">
      <c r="A7" s="1" t="s">
        <v>1519</v>
      </c>
      <c r="B7" s="3">
        <v>0.9</v>
      </c>
      <c r="C7" s="3">
        <v>8.78</v>
      </c>
      <c r="D7" s="3">
        <v>17.12</v>
      </c>
      <c r="E7" s="3">
        <v>32.83</v>
      </c>
      <c r="F7" s="3">
        <v>56.5</v>
      </c>
      <c r="G7" s="3">
        <v>70.85</v>
      </c>
      <c r="H7" s="3">
        <v>80.32</v>
      </c>
      <c r="I7" s="4"/>
      <c r="J7" s="4"/>
      <c r="K7" s="4"/>
      <c r="L7" s="4"/>
      <c r="M7" s="4"/>
      <c r="N7" s="4"/>
      <c r="O7" s="4"/>
      <c r="P7" s="4"/>
    </row>
    <row x14ac:dyDescent="0.25" r="8" customHeight="1" ht="18.75">
      <c r="A8" s="72" t="s">
        <v>1520</v>
      </c>
      <c r="B8" s="73">
        <v>54.08</v>
      </c>
      <c r="C8" s="73">
        <v>56.78</v>
      </c>
      <c r="D8" s="73">
        <v>65.12</v>
      </c>
      <c r="E8" s="73">
        <v>81.75</v>
      </c>
      <c r="F8" s="5"/>
      <c r="G8" s="5"/>
      <c r="H8" s="5"/>
      <c r="I8" s="4"/>
      <c r="J8" s="4"/>
      <c r="K8" s="4"/>
      <c r="L8" s="4"/>
      <c r="M8" s="4"/>
      <c r="N8" s="4"/>
      <c r="O8" s="4"/>
      <c r="P8" s="4"/>
    </row>
    <row x14ac:dyDescent="0.25" r="9" customHeight="1" ht="18.75">
      <c r="A9" s="1" t="s">
        <v>1521</v>
      </c>
      <c r="B9" s="3">
        <v>109.3</v>
      </c>
      <c r="C9" s="3">
        <v>117.35</v>
      </c>
      <c r="D9" s="3">
        <v>129.28</v>
      </c>
      <c r="E9" s="3">
        <v>141.17</v>
      </c>
      <c r="F9" s="3">
        <v>153.02</v>
      </c>
      <c r="G9" s="3">
        <v>177.4</v>
      </c>
      <c r="H9" s="3">
        <v>201.87</v>
      </c>
      <c r="I9" s="4"/>
      <c r="J9" s="4"/>
      <c r="K9" s="4"/>
      <c r="L9" s="4"/>
      <c r="M9" s="4"/>
      <c r="N9" s="4"/>
      <c r="O9" s="4"/>
      <c r="P9" s="4"/>
    </row>
    <row x14ac:dyDescent="0.25" r="10" customHeight="1" ht="18.75">
      <c r="A10" s="1" t="s">
        <v>1522</v>
      </c>
      <c r="B10" s="3">
        <v>42.32</v>
      </c>
      <c r="C10" s="3">
        <v>57.48</v>
      </c>
      <c r="D10" s="3">
        <v>84.33</v>
      </c>
      <c r="E10" s="3">
        <v>89.78</v>
      </c>
      <c r="F10" s="3">
        <v>105.02</v>
      </c>
      <c r="G10" s="3">
        <v>129.5</v>
      </c>
      <c r="H10" s="3">
        <v>154.3</v>
      </c>
      <c r="I10" s="3">
        <v>177.15</v>
      </c>
      <c r="J10" s="3">
        <v>202.85</v>
      </c>
      <c r="K10" s="3">
        <v>226.48</v>
      </c>
      <c r="L10" s="4"/>
      <c r="M10" s="4"/>
      <c r="N10" s="4"/>
      <c r="O10" s="4"/>
      <c r="P10" s="4"/>
    </row>
    <row x14ac:dyDescent="0.25" r="11" customHeight="1" ht="18.75">
      <c r="A11" s="1" t="s">
        <v>1523</v>
      </c>
      <c r="B11" s="3">
        <v>89.15</v>
      </c>
      <c r="C11" s="3">
        <v>106.3</v>
      </c>
      <c r="D11" s="3">
        <v>106.93</v>
      </c>
      <c r="E11" s="3">
        <v>129.92</v>
      </c>
      <c r="F11" s="5"/>
      <c r="G11" s="5"/>
      <c r="H11" s="5"/>
      <c r="I11" s="4"/>
      <c r="J11" s="4"/>
      <c r="K11" s="4"/>
      <c r="L11" s="4"/>
      <c r="M11" s="4"/>
      <c r="N11" s="4"/>
      <c r="O11" s="4"/>
      <c r="P11" s="4"/>
    </row>
    <row x14ac:dyDescent="0.25" r="12" customHeight="1" ht="18.75">
      <c r="A12" s="1" t="s">
        <v>1524</v>
      </c>
      <c r="B12" s="3">
        <v>109.35</v>
      </c>
      <c r="C12" s="3">
        <v>129.52</v>
      </c>
      <c r="D12" s="3">
        <v>153.53</v>
      </c>
      <c r="E12" s="5"/>
      <c r="F12" s="5"/>
      <c r="G12" s="5"/>
      <c r="H12" s="5"/>
      <c r="I12" s="4"/>
      <c r="J12" s="4"/>
      <c r="K12" s="4"/>
      <c r="L12" s="4"/>
      <c r="M12" s="4"/>
      <c r="N12" s="4"/>
      <c r="O12" s="4"/>
      <c r="P12" s="4"/>
    </row>
    <row x14ac:dyDescent="0.25" r="13" customHeight="1" ht="18.75">
      <c r="A13" s="1" t="s">
        <v>1525</v>
      </c>
      <c r="B13" s="3">
        <v>10.35</v>
      </c>
      <c r="C13" s="3">
        <v>41.25</v>
      </c>
      <c r="D13" s="3">
        <v>57.15</v>
      </c>
      <c r="E13" s="3">
        <v>82.05</v>
      </c>
      <c r="F13" s="3">
        <v>106.48</v>
      </c>
      <c r="G13" s="3">
        <v>130.75</v>
      </c>
      <c r="H13" s="3">
        <v>153.28</v>
      </c>
      <c r="I13" s="3">
        <v>178.48</v>
      </c>
      <c r="J13" s="3">
        <v>201.88</v>
      </c>
      <c r="K13" s="4"/>
      <c r="L13" s="4"/>
      <c r="M13" s="4"/>
      <c r="N13" s="4"/>
      <c r="O13" s="4"/>
      <c r="P13" s="4"/>
    </row>
    <row x14ac:dyDescent="0.25" r="14" customHeight="1" ht="18.75">
      <c r="A14" s="74" t="s">
        <v>1526</v>
      </c>
      <c r="B14" s="39">
        <v>17.57</v>
      </c>
      <c r="C14" s="39">
        <v>33.7</v>
      </c>
      <c r="D14" s="39">
        <v>58.83</v>
      </c>
      <c r="E14" s="39">
        <v>81.38</v>
      </c>
      <c r="F14" s="39">
        <v>105.87</v>
      </c>
      <c r="G14" s="39">
        <v>116.9</v>
      </c>
      <c r="H14" s="39">
        <v>130.12</v>
      </c>
      <c r="I14" s="4"/>
      <c r="J14" s="4"/>
      <c r="K14" s="4"/>
      <c r="L14" s="4"/>
      <c r="M14" s="4"/>
      <c r="N14" s="4"/>
      <c r="O14" s="4"/>
      <c r="P14" s="4"/>
    </row>
    <row x14ac:dyDescent="0.25" r="15" customHeight="1" ht="18.75">
      <c r="A15" s="1" t="s">
        <v>1527</v>
      </c>
      <c r="B15" s="3">
        <v>23.45</v>
      </c>
      <c r="C15" s="3">
        <v>34.1</v>
      </c>
      <c r="D15" s="3">
        <v>58.28</v>
      </c>
      <c r="E15" s="3">
        <v>66.52</v>
      </c>
      <c r="F15" s="3">
        <v>80.78</v>
      </c>
      <c r="G15" s="3">
        <v>105.88</v>
      </c>
      <c r="H15" s="3">
        <v>128.52</v>
      </c>
      <c r="I15" s="3">
        <v>138.2</v>
      </c>
      <c r="J15" s="3">
        <v>152.73</v>
      </c>
      <c r="K15" s="3">
        <v>179.1</v>
      </c>
      <c r="L15" s="4"/>
      <c r="M15" s="4"/>
      <c r="N15" s="4"/>
      <c r="O15" s="4"/>
      <c r="P15" s="4"/>
    </row>
    <row x14ac:dyDescent="0.25" r="16" customHeight="1" ht="18.75">
      <c r="A16" s="75" t="s">
        <v>1528</v>
      </c>
      <c r="B16" s="76">
        <v>114.22</v>
      </c>
      <c r="C16" s="76">
        <v>129.72</v>
      </c>
      <c r="D16" s="76">
        <v>129.95</v>
      </c>
      <c r="E16" s="76">
        <v>153.87</v>
      </c>
      <c r="F16" s="76">
        <v>178.28</v>
      </c>
      <c r="G16" s="5"/>
      <c r="H16" s="5"/>
      <c r="I16" s="4"/>
      <c r="J16" s="4"/>
      <c r="K16" s="4"/>
      <c r="L16" s="4"/>
      <c r="M16" s="4"/>
      <c r="N16" s="4"/>
      <c r="O16" s="4"/>
      <c r="P16" s="4"/>
    </row>
    <row x14ac:dyDescent="0.25" r="17" customHeight="1" ht="18.75">
      <c r="A17" s="1" t="s">
        <v>1529</v>
      </c>
      <c r="B17" s="3">
        <v>26.63</v>
      </c>
      <c r="C17" s="3">
        <v>34.52</v>
      </c>
      <c r="D17" s="3">
        <v>40.28</v>
      </c>
      <c r="E17" s="3">
        <v>60.4</v>
      </c>
      <c r="F17" s="3">
        <v>81.5</v>
      </c>
      <c r="G17" s="3">
        <v>106.45</v>
      </c>
      <c r="H17" s="3">
        <v>113.57</v>
      </c>
      <c r="I17" s="4"/>
      <c r="J17" s="4"/>
      <c r="K17" s="4"/>
      <c r="L17" s="4"/>
      <c r="M17" s="4"/>
      <c r="N17" s="4"/>
      <c r="O17" s="4"/>
      <c r="P17" s="4"/>
    </row>
    <row x14ac:dyDescent="0.25" r="18" customHeight="1" ht="18.75">
      <c r="A18" s="1" t="s">
        <v>1530</v>
      </c>
      <c r="B18" s="3">
        <v>107.67</v>
      </c>
      <c r="C18" s="3">
        <v>118.62</v>
      </c>
      <c r="D18" s="3">
        <v>129.48</v>
      </c>
      <c r="E18" s="3">
        <v>155.58</v>
      </c>
      <c r="F18" s="5"/>
      <c r="G18" s="5"/>
      <c r="H18" s="5"/>
      <c r="I18" s="4"/>
      <c r="J18" s="4"/>
      <c r="K18" s="4"/>
      <c r="L18" s="4"/>
      <c r="M18" s="4"/>
      <c r="N18" s="4"/>
      <c r="O18" s="4"/>
      <c r="P18" s="4"/>
    </row>
    <row x14ac:dyDescent="0.25" r="19" customHeight="1" ht="18.75">
      <c r="A19" s="1" t="s">
        <v>1531</v>
      </c>
      <c r="B19" s="3">
        <v>17.77</v>
      </c>
      <c r="C19" s="3">
        <v>33.83</v>
      </c>
      <c r="D19" s="3">
        <v>56.72</v>
      </c>
      <c r="E19" s="3">
        <v>81.6</v>
      </c>
      <c r="F19" s="3">
        <v>105.43</v>
      </c>
      <c r="G19" s="3">
        <v>128.43</v>
      </c>
      <c r="H19" s="5"/>
      <c r="I19" s="4"/>
      <c r="J19" s="4"/>
      <c r="K19" s="4"/>
      <c r="L19" s="4"/>
      <c r="M19" s="4"/>
      <c r="N19" s="4"/>
      <c r="O19" s="4"/>
      <c r="P19" s="4"/>
    </row>
    <row x14ac:dyDescent="0.25" r="20" customHeight="1" ht="18.75">
      <c r="A20" s="77" t="s">
        <v>1532</v>
      </c>
      <c r="B20" s="78">
        <v>18.5</v>
      </c>
      <c r="C20" s="79">
        <v>33</v>
      </c>
      <c r="D20" s="78">
        <v>57.15</v>
      </c>
      <c r="E20" s="78">
        <v>81.5</v>
      </c>
      <c r="F20" s="78">
        <v>106.27</v>
      </c>
      <c r="G20" s="5"/>
      <c r="H20" s="5"/>
      <c r="I20" s="4"/>
      <c r="J20" s="4"/>
      <c r="K20" s="4"/>
      <c r="L20" s="4"/>
      <c r="M20" s="4"/>
      <c r="N20" s="4"/>
      <c r="O20" s="4"/>
      <c r="P20" s="4"/>
    </row>
    <row x14ac:dyDescent="0.25" r="21" customHeight="1" ht="18.75">
      <c r="A21" s="1" t="s">
        <v>1533</v>
      </c>
      <c r="B21" s="3">
        <v>38.53</v>
      </c>
      <c r="C21" s="3">
        <v>43.82</v>
      </c>
      <c r="D21" s="3">
        <v>57.87</v>
      </c>
      <c r="E21" s="3">
        <v>82.85</v>
      </c>
      <c r="F21" s="3">
        <v>106.47</v>
      </c>
      <c r="G21" s="5"/>
      <c r="H21" s="5"/>
      <c r="I21" s="4"/>
      <c r="J21" s="4"/>
      <c r="K21" s="4"/>
      <c r="L21" s="4"/>
      <c r="M21" s="4"/>
      <c r="N21" s="4"/>
      <c r="O21" s="4"/>
      <c r="P21" s="4"/>
    </row>
    <row x14ac:dyDescent="0.25" r="22" customHeight="1" ht="18.75">
      <c r="A22" s="1" t="s">
        <v>1534</v>
      </c>
      <c r="B22" s="3">
        <v>14.77</v>
      </c>
      <c r="C22" s="3">
        <v>17.65</v>
      </c>
      <c r="D22" s="3">
        <v>34.05</v>
      </c>
      <c r="E22" s="3">
        <v>58.5</v>
      </c>
      <c r="F22" s="3">
        <v>82.13</v>
      </c>
      <c r="G22" s="3">
        <v>105.25</v>
      </c>
      <c r="H22" s="3">
        <v>129.78</v>
      </c>
      <c r="I22" s="3">
        <v>154.47</v>
      </c>
      <c r="J22" s="4"/>
      <c r="K22" s="4"/>
      <c r="L22" s="4"/>
      <c r="M22" s="4"/>
      <c r="N22" s="4"/>
      <c r="O22" s="4"/>
      <c r="P22" s="4"/>
    </row>
    <row x14ac:dyDescent="0.25" r="23" customHeight="1" ht="18.75">
      <c r="A23" s="1" t="s">
        <v>1535</v>
      </c>
      <c r="B23" s="3">
        <v>85.97</v>
      </c>
      <c r="C23" s="3">
        <v>105.75</v>
      </c>
      <c r="D23" s="3">
        <v>130.02</v>
      </c>
      <c r="E23" s="3">
        <v>154.18</v>
      </c>
      <c r="F23" s="5"/>
      <c r="G23" s="5"/>
      <c r="H23" s="5"/>
      <c r="I23" s="4"/>
      <c r="J23" s="4"/>
      <c r="K23" s="4"/>
      <c r="L23" s="4"/>
      <c r="M23" s="4"/>
      <c r="N23" s="4"/>
      <c r="O23" s="4"/>
      <c r="P23" s="4"/>
    </row>
    <row x14ac:dyDescent="0.25" r="24" customHeight="1" ht="18.75">
      <c r="A24" s="1" t="s">
        <v>1536</v>
      </c>
      <c r="B24" s="3">
        <v>36.07</v>
      </c>
      <c r="C24" s="3">
        <v>57.92</v>
      </c>
      <c r="D24" s="3">
        <v>67.82</v>
      </c>
      <c r="E24" s="3">
        <v>81.68</v>
      </c>
      <c r="F24" s="3">
        <v>106.42</v>
      </c>
      <c r="G24" s="5"/>
      <c r="H24" s="5"/>
      <c r="I24" s="4"/>
      <c r="J24" s="4"/>
      <c r="K24" s="4"/>
      <c r="L24" s="4"/>
      <c r="M24" s="4"/>
      <c r="N24" s="4"/>
      <c r="O24" s="4"/>
      <c r="P24" s="4"/>
    </row>
    <row x14ac:dyDescent="0.25" r="25" customHeight="1" ht="18.75">
      <c r="A25" s="1" t="s">
        <v>1537</v>
      </c>
      <c r="B25" s="3">
        <v>17.02</v>
      </c>
      <c r="C25" s="3">
        <v>23.48</v>
      </c>
      <c r="D25" s="3">
        <v>35.08</v>
      </c>
      <c r="E25" s="3">
        <v>57.8</v>
      </c>
      <c r="F25" s="3">
        <v>84.37</v>
      </c>
      <c r="G25" s="3">
        <v>106.42</v>
      </c>
      <c r="H25" s="5"/>
      <c r="I25" s="4"/>
      <c r="J25" s="4"/>
      <c r="K25" s="4"/>
      <c r="L25" s="4"/>
      <c r="M25" s="4"/>
      <c r="N25" s="4"/>
      <c r="O25" s="4"/>
      <c r="P25" s="4"/>
    </row>
    <row x14ac:dyDescent="0.25" r="26" customHeight="1" ht="18.75">
      <c r="A26" s="1" t="s">
        <v>1538</v>
      </c>
      <c r="B26" s="3">
        <v>23.63</v>
      </c>
      <c r="C26" s="3">
        <v>31.87</v>
      </c>
      <c r="D26" s="3">
        <v>37.35</v>
      </c>
      <c r="E26" s="3">
        <v>58.88</v>
      </c>
      <c r="F26" s="3">
        <v>66.62</v>
      </c>
      <c r="G26" s="3">
        <v>81.48</v>
      </c>
      <c r="H26" s="3">
        <v>105.77</v>
      </c>
      <c r="I26" s="3">
        <v>129.57</v>
      </c>
      <c r="J26" s="4"/>
      <c r="K26" s="4"/>
      <c r="L26" s="4"/>
      <c r="M26" s="4"/>
      <c r="N26" s="4"/>
      <c r="O26" s="4"/>
      <c r="P26" s="4"/>
    </row>
    <row x14ac:dyDescent="0.25" r="27" customHeight="1" ht="18.75">
      <c r="A27" s="1" t="s">
        <v>1539</v>
      </c>
      <c r="B27" s="3">
        <v>37.38</v>
      </c>
      <c r="C27" s="3">
        <v>41.35</v>
      </c>
      <c r="D27" s="3">
        <v>59.72</v>
      </c>
      <c r="E27" s="3">
        <v>82.47</v>
      </c>
      <c r="F27" s="3">
        <v>108.37</v>
      </c>
      <c r="G27" s="3">
        <v>129.8</v>
      </c>
      <c r="H27" s="3">
        <v>154.08</v>
      </c>
      <c r="I27" s="3">
        <v>177.8</v>
      </c>
      <c r="J27" s="4"/>
      <c r="K27" s="4"/>
      <c r="L27" s="4"/>
      <c r="M27" s="4"/>
      <c r="N27" s="4"/>
      <c r="O27" s="4"/>
      <c r="P27" s="4"/>
    </row>
    <row x14ac:dyDescent="0.25" r="28" customHeight="1" ht="18.75">
      <c r="A28" s="1" t="s">
        <v>1540</v>
      </c>
      <c r="B28" s="3">
        <v>65.55</v>
      </c>
      <c r="C28" s="3">
        <v>85.38</v>
      </c>
      <c r="D28" s="3">
        <v>88.65</v>
      </c>
      <c r="E28" s="3">
        <v>105.88</v>
      </c>
      <c r="F28" s="3">
        <v>130.4</v>
      </c>
      <c r="G28" s="3">
        <v>154.18</v>
      </c>
      <c r="H28" s="3">
        <v>202.42</v>
      </c>
      <c r="I28" s="4"/>
      <c r="J28" s="4"/>
      <c r="K28" s="4"/>
      <c r="L28" s="4"/>
      <c r="M28" s="4"/>
      <c r="N28" s="4"/>
      <c r="O28" s="4"/>
      <c r="P28" s="4"/>
    </row>
    <row x14ac:dyDescent="0.25" r="29" customHeight="1" ht="18.75">
      <c r="A29" s="1" t="s">
        <v>1541</v>
      </c>
      <c r="B29" s="3">
        <v>3.37</v>
      </c>
      <c r="C29" s="3">
        <v>8.28</v>
      </c>
      <c r="D29" s="3">
        <v>20.75</v>
      </c>
      <c r="E29" s="3">
        <v>44.6</v>
      </c>
      <c r="F29" s="3">
        <v>67.4</v>
      </c>
      <c r="G29" s="3">
        <v>91.07</v>
      </c>
      <c r="H29" s="3">
        <v>116.55</v>
      </c>
      <c r="I29" s="4"/>
      <c r="J29" s="4"/>
      <c r="K29" s="4"/>
      <c r="L29" s="4"/>
      <c r="M29" s="4"/>
      <c r="N29" s="4"/>
      <c r="O29" s="4"/>
      <c r="P29" s="4"/>
    </row>
    <row x14ac:dyDescent="0.25" r="30" customHeight="1" ht="18.75">
      <c r="A30" s="1" t="s">
        <v>1542</v>
      </c>
      <c r="B30" s="3">
        <v>134.23</v>
      </c>
      <c r="C30" s="3">
        <v>137.83</v>
      </c>
      <c r="D30" s="3">
        <v>143.33</v>
      </c>
      <c r="E30" s="3">
        <v>154.35</v>
      </c>
      <c r="F30" s="3">
        <v>177.37</v>
      </c>
      <c r="G30" s="3">
        <v>203.28</v>
      </c>
      <c r="H30" s="3">
        <v>225.68</v>
      </c>
      <c r="I30" s="4"/>
      <c r="J30" s="4"/>
      <c r="K30" s="4"/>
      <c r="L30" s="4"/>
      <c r="M30" s="4"/>
      <c r="N30" s="4"/>
      <c r="O30" s="4"/>
      <c r="P30" s="4"/>
    </row>
    <row x14ac:dyDescent="0.25" r="31" customHeight="1" ht="18.75">
      <c r="A31" s="1" t="s">
        <v>1543</v>
      </c>
      <c r="B31" s="3">
        <v>87.02</v>
      </c>
      <c r="C31" s="3">
        <v>93.83</v>
      </c>
      <c r="D31" s="3">
        <v>105.33</v>
      </c>
      <c r="E31" s="3">
        <v>129.5</v>
      </c>
      <c r="F31" s="3">
        <v>137.83</v>
      </c>
      <c r="G31" s="3">
        <v>153.88</v>
      </c>
      <c r="H31" s="3">
        <v>177.37</v>
      </c>
      <c r="I31" s="3">
        <v>202.1</v>
      </c>
      <c r="J31" s="4"/>
      <c r="K31" s="4"/>
      <c r="L31" s="4"/>
      <c r="M31" s="4"/>
      <c r="N31" s="4"/>
      <c r="O31" s="4"/>
      <c r="P31" s="4"/>
    </row>
    <row x14ac:dyDescent="0.25" r="32" customHeight="1" ht="18.75">
      <c r="A32" s="1" t="s">
        <v>1544</v>
      </c>
      <c r="B32" s="3">
        <v>31.65</v>
      </c>
      <c r="C32" s="3">
        <v>36.45</v>
      </c>
      <c r="D32" s="3">
        <v>49.52</v>
      </c>
      <c r="E32" s="3">
        <v>71.7</v>
      </c>
      <c r="F32" s="3">
        <v>73.05</v>
      </c>
      <c r="G32" s="5"/>
      <c r="H32" s="5"/>
      <c r="I32" s="4"/>
      <c r="J32" s="4"/>
      <c r="K32" s="4"/>
      <c r="L32" s="4"/>
      <c r="M32" s="4"/>
      <c r="N32" s="4"/>
      <c r="O32" s="4"/>
      <c r="P32" s="4"/>
    </row>
    <row x14ac:dyDescent="0.25" r="33" customHeight="1" ht="18.75">
      <c r="A33" s="1" t="s">
        <v>1545</v>
      </c>
      <c r="B33" s="3">
        <v>43.95</v>
      </c>
      <c r="C33" s="3">
        <v>58.08</v>
      </c>
      <c r="D33" s="3">
        <v>64.77</v>
      </c>
      <c r="E33" s="3">
        <v>81.07</v>
      </c>
      <c r="F33" s="3">
        <v>106.9</v>
      </c>
      <c r="G33" s="5"/>
      <c r="H33" s="5"/>
      <c r="I33" s="4"/>
      <c r="J33" s="4"/>
      <c r="K33" s="4"/>
      <c r="L33" s="4"/>
      <c r="M33" s="4"/>
      <c r="N33" s="4"/>
      <c r="O33" s="4"/>
      <c r="P33" s="4"/>
    </row>
    <row x14ac:dyDescent="0.25" r="34" customHeight="1" ht="18.75">
      <c r="A34" s="1" t="s">
        <v>1546</v>
      </c>
      <c r="B34" s="3">
        <v>18.02</v>
      </c>
      <c r="C34" s="3">
        <v>23.05</v>
      </c>
      <c r="D34" s="3">
        <v>35.05</v>
      </c>
      <c r="E34" s="3">
        <v>57.35</v>
      </c>
      <c r="F34" s="5"/>
      <c r="G34" s="5"/>
      <c r="H34" s="5"/>
      <c r="I34" s="4"/>
      <c r="J34" s="4"/>
      <c r="K34" s="4"/>
      <c r="L34" s="4"/>
      <c r="M34" s="4"/>
      <c r="N34" s="4"/>
      <c r="O34" s="4"/>
      <c r="P34" s="4"/>
    </row>
    <row x14ac:dyDescent="0.25" r="35" customHeight="1" ht="18.75">
      <c r="A35" s="1" t="s">
        <v>1547</v>
      </c>
      <c r="B35" s="3">
        <v>35.75</v>
      </c>
      <c r="C35" s="3">
        <v>43.27</v>
      </c>
      <c r="D35" s="3">
        <v>57.92</v>
      </c>
      <c r="E35" s="3">
        <v>82.18</v>
      </c>
      <c r="F35" s="3">
        <v>105.33</v>
      </c>
      <c r="G35" s="5"/>
      <c r="H35" s="5"/>
      <c r="I35" s="4"/>
      <c r="J35" s="4"/>
      <c r="K35" s="4"/>
      <c r="L35" s="4"/>
      <c r="M35" s="4"/>
      <c r="N35" s="4"/>
      <c r="O35" s="4"/>
      <c r="P35" s="4"/>
    </row>
    <row x14ac:dyDescent="0.25" r="36" customHeight="1" ht="18.75">
      <c r="A36" s="1" t="s">
        <v>1476</v>
      </c>
      <c r="B36" s="3">
        <v>4.333333333313931</v>
      </c>
      <c r="C36" s="3">
        <v>9.933333333407063</v>
      </c>
      <c r="D36" s="3">
        <v>19.6500000001397</v>
      </c>
      <c r="E36" s="3">
        <v>29.283333333441988</v>
      </c>
      <c r="F36" s="3">
        <v>43.59999999997672</v>
      </c>
      <c r="G36" s="3">
        <v>67.93333333334886</v>
      </c>
      <c r="H36" s="5"/>
      <c r="I36" s="4"/>
      <c r="J36" s="4"/>
      <c r="K36" s="4"/>
      <c r="L36" s="3"/>
      <c r="M36" s="4"/>
      <c r="N36" s="4"/>
      <c r="O36" s="4"/>
      <c r="P36" s="4"/>
    </row>
    <row x14ac:dyDescent="0.25" r="37" customHeight="1" ht="18.75">
      <c r="A37" s="1" t="s">
        <v>1477</v>
      </c>
      <c r="B37" s="3">
        <v>47.566666666651145</v>
      </c>
      <c r="C37" s="3">
        <v>57.08333333325572</v>
      </c>
      <c r="D37" s="3">
        <v>66.88333333324408</v>
      </c>
      <c r="E37" s="3">
        <v>92.18333333329065</v>
      </c>
      <c r="F37" s="5"/>
      <c r="G37" s="5"/>
      <c r="H37" s="5"/>
      <c r="I37" s="4"/>
      <c r="J37" s="4"/>
      <c r="K37" s="4"/>
      <c r="L37" s="3"/>
      <c r="M37" s="4"/>
      <c r="N37" s="4"/>
      <c r="O37" s="4"/>
      <c r="P37" s="4"/>
    </row>
    <row x14ac:dyDescent="0.25" r="38" customHeight="1" ht="18.75">
      <c r="A38" s="1" t="s">
        <v>1478</v>
      </c>
      <c r="B38" s="3">
        <v>96.31666666665114</v>
      </c>
      <c r="C38" s="3">
        <v>106.81666666665114</v>
      </c>
      <c r="D38" s="3">
        <v>118.56666666670935</v>
      </c>
      <c r="E38" s="3">
        <v>142.3666666665813</v>
      </c>
      <c r="F38" s="3">
        <v>165.81666666670935</v>
      </c>
      <c r="G38" s="5"/>
      <c r="H38" s="5"/>
      <c r="I38" s="4"/>
      <c r="J38" s="4"/>
      <c r="K38" s="4"/>
      <c r="L38" s="3"/>
      <c r="M38" s="4"/>
      <c r="N38" s="4"/>
      <c r="O38" s="4"/>
      <c r="P38" s="4"/>
    </row>
    <row x14ac:dyDescent="0.25" r="39" customHeight="1" ht="18.75">
      <c r="A39" s="1" t="s">
        <v>1479</v>
      </c>
      <c r="B39" s="3">
        <v>4.400000000023283</v>
      </c>
      <c r="C39" s="3">
        <v>21.75</v>
      </c>
      <c r="D39" s="3">
        <v>34.983333333337214</v>
      </c>
      <c r="E39" s="3">
        <v>45.23333333339542</v>
      </c>
      <c r="F39" s="3">
        <v>69.56666666659294</v>
      </c>
      <c r="G39" s="3">
        <v>94.74999999994179</v>
      </c>
      <c r="H39" s="5"/>
      <c r="I39" s="4"/>
      <c r="J39" s="4"/>
      <c r="K39" s="4"/>
      <c r="L39" s="3"/>
      <c r="M39" s="4"/>
      <c r="N39" s="4"/>
      <c r="O39" s="4"/>
      <c r="P39" s="4"/>
    </row>
    <row x14ac:dyDescent="0.25" r="40" customHeight="1" ht="18.75">
      <c r="A40" s="1" t="s">
        <v>1480</v>
      </c>
      <c r="B40" s="3">
        <v>10.983333333337214</v>
      </c>
      <c r="C40" s="3">
        <v>22.716666666674428</v>
      </c>
      <c r="D40" s="3">
        <v>35.75000000005821</v>
      </c>
      <c r="E40" s="3">
        <v>45.11666666669771</v>
      </c>
      <c r="F40" s="3">
        <v>70.16666666662786</v>
      </c>
      <c r="G40" s="3">
        <v>75.766666666721</v>
      </c>
      <c r="H40" s="3">
        <v>94.08333333337214</v>
      </c>
      <c r="I40" s="3">
        <v>100.5</v>
      </c>
      <c r="J40" s="3">
        <v>118.93333333334886</v>
      </c>
      <c r="K40" s="4"/>
      <c r="L40" s="3"/>
      <c r="M40" s="4"/>
      <c r="N40" s="4"/>
      <c r="O40" s="4"/>
      <c r="P40" s="4"/>
    </row>
    <row x14ac:dyDescent="0.25" r="41" customHeight="1" ht="18.75">
      <c r="A41" s="1" t="s">
        <v>1481</v>
      </c>
      <c r="B41" s="3">
        <v>6.299999999930151</v>
      </c>
      <c r="C41" s="3">
        <v>22.38333333330229</v>
      </c>
      <c r="D41" s="3">
        <v>29.050000000046566</v>
      </c>
      <c r="E41" s="3">
        <v>44.91666666674428</v>
      </c>
      <c r="F41" s="3">
        <v>69.733333333279</v>
      </c>
      <c r="G41" s="3">
        <v>92.49999999994179</v>
      </c>
      <c r="H41" s="3">
        <v>116.58333333337214</v>
      </c>
      <c r="I41" s="3">
        <v>142.35000000003492</v>
      </c>
      <c r="J41" s="4"/>
      <c r="K41" s="4"/>
      <c r="L41" s="3"/>
      <c r="M41" s="4"/>
      <c r="N41" s="4"/>
      <c r="O41" s="4"/>
      <c r="P41" s="4"/>
    </row>
    <row x14ac:dyDescent="0.25" r="42" customHeight="1" ht="18.75">
      <c r="A42" s="1" t="s">
        <v>1482</v>
      </c>
      <c r="B42" s="3">
        <v>0.16666666668606922</v>
      </c>
      <c r="C42" s="3">
        <v>12.600000000034925</v>
      </c>
      <c r="D42" s="3">
        <v>21.849999999976717</v>
      </c>
      <c r="E42" s="3">
        <v>46.08333333337214</v>
      </c>
      <c r="F42" s="3">
        <v>52.5</v>
      </c>
      <c r="G42" s="3">
        <v>71.08333333331393</v>
      </c>
      <c r="H42" s="5"/>
      <c r="I42" s="4"/>
      <c r="J42" s="4"/>
      <c r="K42" s="4"/>
      <c r="L42" s="3"/>
      <c r="M42" s="4"/>
      <c r="N42" s="4"/>
      <c r="O42" s="4"/>
      <c r="P42" s="4"/>
    </row>
    <row x14ac:dyDescent="0.25" r="43" customHeight="1" ht="18.75">
      <c r="A43" s="1" t="s">
        <v>1483</v>
      </c>
      <c r="B43" s="3">
        <v>2.8833333333022892</v>
      </c>
      <c r="C43" s="3">
        <v>766.9833333333372</v>
      </c>
      <c r="D43" s="3">
        <v>778.2666666666046</v>
      </c>
      <c r="E43" s="3">
        <v>790.7499999999418</v>
      </c>
      <c r="F43" s="3">
        <v>814.4000000000233</v>
      </c>
      <c r="G43" s="3">
        <v>837.5166666666046</v>
      </c>
      <c r="H43" s="5"/>
      <c r="I43" s="4"/>
      <c r="J43" s="4"/>
      <c r="K43" s="4"/>
      <c r="L43" s="3"/>
      <c r="M43" s="4"/>
      <c r="N43" s="4"/>
      <c r="O43" s="4"/>
      <c r="P43" s="4"/>
    </row>
    <row x14ac:dyDescent="0.25" r="44" customHeight="1" ht="18.75">
      <c r="A44" s="1" t="s">
        <v>1484</v>
      </c>
      <c r="B44" s="3">
        <v>3.7999999999883585</v>
      </c>
      <c r="C44" s="3">
        <v>10.350000000034925</v>
      </c>
      <c r="D44" s="3">
        <v>21.75</v>
      </c>
      <c r="E44" s="3">
        <v>44.59999999991851</v>
      </c>
      <c r="F44" s="3">
        <v>70.04999999993015</v>
      </c>
      <c r="G44" s="5"/>
      <c r="H44" s="5"/>
      <c r="I44" s="4"/>
      <c r="J44" s="4"/>
      <c r="K44" s="4"/>
      <c r="L44" s="3"/>
      <c r="M44" s="4"/>
      <c r="N44" s="4"/>
      <c r="O44" s="4"/>
      <c r="P44" s="4"/>
    </row>
    <row x14ac:dyDescent="0.25" r="45" customHeight="1" ht="18.75">
      <c r="A45" s="1" t="s">
        <v>1485</v>
      </c>
      <c r="B45" s="3">
        <v>48.28333333338378</v>
      </c>
      <c r="C45" s="3">
        <v>70.483333333279</v>
      </c>
      <c r="D45" s="3">
        <v>81.79999999998836</v>
      </c>
      <c r="E45" s="3">
        <v>94.03333333338378</v>
      </c>
      <c r="F45" s="3">
        <v>118.43333333329065</v>
      </c>
      <c r="G45" s="3">
        <v>127.96666666661622</v>
      </c>
      <c r="H45" s="3">
        <v>142.2500000000582</v>
      </c>
      <c r="I45" s="3">
        <v>165.23333333339542</v>
      </c>
      <c r="J45" s="3">
        <v>189.8666666666977</v>
      </c>
      <c r="K45" s="3">
        <v>214.31666666659294</v>
      </c>
      <c r="L45" s="3">
        <v>239.58333333337214</v>
      </c>
      <c r="M45" s="3">
        <v>262.18333333334886</v>
      </c>
      <c r="N45" s="4"/>
      <c r="O45" s="4"/>
      <c r="P45" s="4"/>
    </row>
    <row x14ac:dyDescent="0.25" r="46" customHeight="1" ht="18.75">
      <c r="A46" s="1" t="s">
        <v>1486</v>
      </c>
      <c r="B46" s="3">
        <v>47.733333333337214</v>
      </c>
      <c r="C46" s="3">
        <v>69.58333333331393</v>
      </c>
      <c r="D46" s="3">
        <v>94.483333333279</v>
      </c>
      <c r="E46" s="3">
        <v>101.46666666667443</v>
      </c>
      <c r="F46" s="3">
        <v>118.64999999996508</v>
      </c>
      <c r="G46" s="3">
        <v>142.7666666666628</v>
      </c>
      <c r="H46" s="3">
        <v>167.25</v>
      </c>
      <c r="I46" s="3">
        <v>214.3833333333023</v>
      </c>
      <c r="J46" s="3">
        <v>239.8833333333023</v>
      </c>
      <c r="K46" s="3">
        <v>262.2166666666162</v>
      </c>
      <c r="L46" s="3"/>
      <c r="M46" s="4"/>
      <c r="N46" s="4"/>
      <c r="O46" s="4"/>
      <c r="P46" s="4"/>
    </row>
    <row x14ac:dyDescent="0.25" r="47" customHeight="1" ht="18.75">
      <c r="A47" s="1" t="s">
        <v>1487</v>
      </c>
      <c r="B47" s="3">
        <v>26.13333333330229</v>
      </c>
      <c r="C47" s="3">
        <v>32.31666666670935</v>
      </c>
      <c r="D47" s="3">
        <v>42.46666666661622</v>
      </c>
      <c r="E47" s="3">
        <v>65.96666666673264</v>
      </c>
      <c r="F47" s="3">
        <v>90.3666666666395</v>
      </c>
      <c r="G47" s="3">
        <v>98.983333333279</v>
      </c>
      <c r="H47" s="3">
        <v>115.08333333337214</v>
      </c>
      <c r="I47" s="3">
        <v>139.483333333279</v>
      </c>
      <c r="J47" s="3">
        <v>164.29999999998836</v>
      </c>
      <c r="K47" s="3">
        <v>187.78333333338378</v>
      </c>
      <c r="L47" s="3"/>
      <c r="M47" s="4"/>
      <c r="N47" s="4"/>
      <c r="O47" s="4"/>
      <c r="P47" s="4"/>
    </row>
    <row x14ac:dyDescent="0.25" r="48" customHeight="1" ht="18.75">
      <c r="A48" s="1" t="s">
        <v>1488</v>
      </c>
      <c r="B48" s="3">
        <v>217.56666666670935</v>
      </c>
      <c r="C48" s="3">
        <v>222.18333333340706</v>
      </c>
      <c r="D48" s="3">
        <v>237.9999999999418</v>
      </c>
      <c r="E48" s="3">
        <v>262.31666666659294</v>
      </c>
      <c r="F48" s="3">
        <v>285.33333333337214</v>
      </c>
      <c r="G48" s="3">
        <v>298.1333333333605</v>
      </c>
      <c r="H48" s="3">
        <v>309.5166666666046</v>
      </c>
      <c r="I48" s="3">
        <v>334.9666666666162</v>
      </c>
      <c r="J48" s="4"/>
      <c r="K48" s="4"/>
      <c r="L48" s="3"/>
      <c r="M48" s="4"/>
      <c r="N48" s="4"/>
      <c r="O48" s="4"/>
      <c r="P48" s="4"/>
    </row>
    <row x14ac:dyDescent="0.25" r="49" customHeight="1" ht="18.75">
      <c r="A49" s="1" t="s">
        <v>1489</v>
      </c>
      <c r="B49" s="3">
        <v>28.566666666709352</v>
      </c>
      <c r="C49" s="3">
        <v>45.3833333333605</v>
      </c>
      <c r="D49" s="3">
        <v>54.11666666669771</v>
      </c>
      <c r="E49" s="3">
        <v>46.5</v>
      </c>
      <c r="F49" s="3">
        <v>70.58333333325572</v>
      </c>
      <c r="G49" s="3">
        <v>93.11666666669771</v>
      </c>
      <c r="H49" s="3">
        <v>117.28333333338378</v>
      </c>
      <c r="I49" s="3">
        <v>142.04999999993015</v>
      </c>
      <c r="J49" s="4"/>
      <c r="K49" s="4"/>
      <c r="L49" s="3"/>
      <c r="M49" s="4"/>
      <c r="N49" s="4"/>
      <c r="O49" s="4"/>
      <c r="P49" s="4"/>
    </row>
    <row x14ac:dyDescent="0.25" r="50" customHeight="1" ht="18.75">
      <c r="A50" s="1" t="s">
        <v>1490</v>
      </c>
      <c r="B50" s="3">
        <v>147.89999999996508</v>
      </c>
      <c r="C50" s="3">
        <v>154.04999999993015</v>
      </c>
      <c r="D50" s="3">
        <v>166.8833333333605</v>
      </c>
      <c r="E50" s="3">
        <v>189.68333333329065</v>
      </c>
      <c r="F50" s="3">
        <v>213.8833333334187</v>
      </c>
      <c r="G50" s="3">
        <v>238.03333333338378</v>
      </c>
      <c r="H50" s="3">
        <v>264.93333333340706</v>
      </c>
      <c r="I50" s="3">
        <v>287.25</v>
      </c>
      <c r="J50" s="4"/>
      <c r="K50" s="4"/>
      <c r="L50" s="3"/>
      <c r="M50" s="4"/>
      <c r="N50" s="4"/>
      <c r="O50" s="4"/>
      <c r="P50" s="4"/>
    </row>
    <row x14ac:dyDescent="0.25" r="51" customHeight="1" ht="18.75">
      <c r="A51" s="1" t="s">
        <v>1491</v>
      </c>
      <c r="B51" s="3">
        <v>33.433333333348855</v>
      </c>
      <c r="C51" s="3">
        <v>45.51666666660458</v>
      </c>
      <c r="D51" s="3">
        <v>53.88333333330229</v>
      </c>
      <c r="E51" s="3">
        <v>70.15000000008149</v>
      </c>
      <c r="F51" s="3">
        <v>77.41666666668607</v>
      </c>
      <c r="G51" s="3">
        <v>93.53333333332557</v>
      </c>
      <c r="H51" s="3">
        <v>118.1166666666395</v>
      </c>
      <c r="I51" s="3">
        <v>127.40000000002328</v>
      </c>
      <c r="J51" s="3">
        <v>142.2333333333372</v>
      </c>
      <c r="K51" s="3">
        <v>149.80000000004657</v>
      </c>
      <c r="L51" s="3">
        <v>166.1166666666395</v>
      </c>
      <c r="M51" s="3">
        <v>191.39999999996508</v>
      </c>
      <c r="N51" s="4"/>
      <c r="O51" s="4"/>
      <c r="P51" s="4"/>
    </row>
    <row x14ac:dyDescent="0.25" r="52" customHeight="1" ht="18.75">
      <c r="A52" s="1" t="s">
        <v>1492</v>
      </c>
      <c r="B52" s="3">
        <v>2.633333333360497</v>
      </c>
      <c r="C52" s="3">
        <v>18.75</v>
      </c>
      <c r="D52" s="3">
        <v>23.566666666651145</v>
      </c>
      <c r="E52" s="3">
        <v>41.65000000008149</v>
      </c>
      <c r="F52" s="3">
        <v>65.88333333330229</v>
      </c>
      <c r="G52" s="3">
        <v>90.18333333340706</v>
      </c>
      <c r="H52" s="3">
        <v>115.08333333337214</v>
      </c>
      <c r="I52" s="4"/>
      <c r="J52" s="4"/>
      <c r="K52" s="4"/>
      <c r="L52" s="3"/>
      <c r="M52" s="4"/>
      <c r="N52" s="4"/>
      <c r="O52" s="4"/>
      <c r="P52" s="4"/>
    </row>
    <row x14ac:dyDescent="0.25" r="53" customHeight="1" ht="18.75">
      <c r="A53" s="1" t="s">
        <v>1493</v>
      </c>
      <c r="B53" s="3">
        <v>174.1333333334187</v>
      </c>
      <c r="C53" s="3">
        <v>169.53333333326736</v>
      </c>
      <c r="D53" s="3">
        <v>191.25</v>
      </c>
      <c r="E53" s="3">
        <v>213.23333333339542</v>
      </c>
      <c r="F53" s="3">
        <v>222.18333333340706</v>
      </c>
      <c r="G53" s="3">
        <v>237.8666666666977</v>
      </c>
      <c r="H53" s="3">
        <v>262.31666666659294</v>
      </c>
      <c r="I53" s="3">
        <v>285.766666666721</v>
      </c>
      <c r="J53" s="4"/>
      <c r="K53" s="4"/>
      <c r="L53" s="3"/>
      <c r="M53" s="4"/>
      <c r="N53" s="4"/>
      <c r="O53" s="4"/>
      <c r="P53" s="4"/>
    </row>
    <row x14ac:dyDescent="0.25" r="54" customHeight="1" ht="18.75">
      <c r="A54" s="1" t="s">
        <v>1494</v>
      </c>
      <c r="B54" s="3">
        <v>14.699999999895226</v>
      </c>
      <c r="C54" s="3">
        <v>31.249999999883585</v>
      </c>
      <c r="D54" s="3">
        <v>41.71666666661622</v>
      </c>
      <c r="E54" s="3">
        <v>56.08333333331393</v>
      </c>
      <c r="F54" s="3">
        <v>80.8666666665813</v>
      </c>
      <c r="G54" s="3">
        <v>103.83333333319752</v>
      </c>
      <c r="H54" s="3">
        <v>129.21666666667443</v>
      </c>
      <c r="I54" s="4"/>
      <c r="J54" s="4"/>
      <c r="K54" s="4"/>
      <c r="L54" s="3"/>
      <c r="M54" s="4"/>
      <c r="N54" s="4"/>
      <c r="O54" s="4"/>
      <c r="P54" s="4"/>
    </row>
    <row x14ac:dyDescent="0.25" r="55" customHeight="1" ht="18.75">
      <c r="A55" s="1" t="s">
        <v>1495</v>
      </c>
      <c r="B55" s="3">
        <v>4.066666666651145</v>
      </c>
      <c r="C55" s="3">
        <v>5.466666666674428</v>
      </c>
      <c r="D55" s="3">
        <v>31.316666666592937</v>
      </c>
      <c r="E55" s="3">
        <v>54.08333333325572</v>
      </c>
      <c r="F55" s="3">
        <v>79.53333333326736</v>
      </c>
      <c r="G55" s="3">
        <v>102.33333333337214</v>
      </c>
      <c r="H55" s="3">
        <v>116.8666666665813</v>
      </c>
      <c r="I55" s="3">
        <v>126.56666666659294</v>
      </c>
      <c r="J55" s="3">
        <v>151.69999999995343</v>
      </c>
      <c r="K55" s="3">
        <v>175.0999999999185</v>
      </c>
      <c r="L55" s="3"/>
      <c r="M55" s="4"/>
      <c r="N55" s="4"/>
      <c r="O55" s="4"/>
      <c r="P55" s="4"/>
    </row>
    <row x14ac:dyDescent="0.25" r="56" customHeight="1" ht="18.75">
      <c r="A56" s="1" t="s">
        <v>1496</v>
      </c>
      <c r="B56" s="3">
        <v>57.3833333333605</v>
      </c>
      <c r="C56" s="3">
        <v>78.33333333337214</v>
      </c>
      <c r="D56" s="3">
        <v>92.8666666665813</v>
      </c>
      <c r="E56" s="3">
        <v>102.60000000003492</v>
      </c>
      <c r="F56" s="3">
        <v>126.75</v>
      </c>
      <c r="G56" s="3">
        <v>151.9000000000815</v>
      </c>
      <c r="H56" s="5"/>
      <c r="I56" s="4"/>
      <c r="J56" s="4"/>
      <c r="K56" s="4"/>
      <c r="L56" s="3"/>
      <c r="M56" s="4"/>
      <c r="N56" s="4"/>
      <c r="O56" s="4"/>
      <c r="P56" s="4"/>
    </row>
    <row x14ac:dyDescent="0.25" r="57" customHeight="1" ht="18.75">
      <c r="A57" s="1" t="s">
        <v>1497</v>
      </c>
      <c r="B57" s="3">
        <v>1.8333333333721384</v>
      </c>
      <c r="C57" s="3">
        <v>11.466666666674428</v>
      </c>
      <c r="D57" s="3">
        <v>22.233333333337214</v>
      </c>
      <c r="E57" s="3">
        <v>29.76666666660458</v>
      </c>
      <c r="F57" s="3">
        <v>46.95000000006985</v>
      </c>
      <c r="G57" s="3">
        <v>71.51666666666279</v>
      </c>
      <c r="H57" s="3">
        <v>77.6166666666395</v>
      </c>
      <c r="I57" s="3">
        <v>83.59999999991851</v>
      </c>
      <c r="J57" s="3">
        <v>92.70000000006985</v>
      </c>
      <c r="K57" s="3">
        <v>116.54999999993015</v>
      </c>
      <c r="L57" s="3">
        <v>140.4999999999418</v>
      </c>
      <c r="M57" s="4"/>
      <c r="N57" s="4"/>
      <c r="O57" s="4"/>
      <c r="P57" s="4"/>
    </row>
    <row x14ac:dyDescent="0.25" r="58" customHeight="1" ht="18.75">
      <c r="A58" s="1" t="s">
        <v>1498</v>
      </c>
      <c r="B58" s="3">
        <v>7.5</v>
      </c>
      <c r="C58" s="3">
        <v>18.033333333441988</v>
      </c>
      <c r="D58" s="3">
        <v>25.416666666744277</v>
      </c>
      <c r="E58" s="3">
        <v>41.53333333338378</v>
      </c>
      <c r="F58" s="3">
        <v>66.11666666669771</v>
      </c>
      <c r="G58" s="3">
        <v>90.70000000001164</v>
      </c>
      <c r="H58" s="3">
        <v>114.1500000001397</v>
      </c>
      <c r="I58" s="4"/>
      <c r="J58" s="4"/>
      <c r="K58" s="4"/>
      <c r="L58" s="3"/>
      <c r="M58" s="4"/>
      <c r="N58" s="4"/>
      <c r="O58" s="4"/>
      <c r="P58" s="4"/>
    </row>
    <row x14ac:dyDescent="0.25" r="59" customHeight="1" ht="18.75">
      <c r="A59" s="1" t="s">
        <v>1499</v>
      </c>
      <c r="B59" s="3">
        <v>29.633333333360497</v>
      </c>
      <c r="C59" s="3">
        <v>46.25000000005821</v>
      </c>
      <c r="D59" s="3">
        <v>53.78333333332557</v>
      </c>
      <c r="E59" s="3">
        <v>69.23333333339542</v>
      </c>
      <c r="F59" s="3">
        <v>78.23333333339542</v>
      </c>
      <c r="G59" s="3">
        <v>94.38333333330229</v>
      </c>
      <c r="H59" s="3">
        <v>118.31666666659294</v>
      </c>
      <c r="I59" s="3">
        <v>143.6166666666395</v>
      </c>
      <c r="J59" s="4"/>
      <c r="K59" s="4"/>
      <c r="L59" s="3"/>
      <c r="M59" s="4"/>
      <c r="N59" s="4"/>
      <c r="O59" s="4"/>
      <c r="P59" s="4"/>
    </row>
    <row x14ac:dyDescent="0.25" r="60" customHeight="1" ht="18.75">
      <c r="A60" s="1" t="s">
        <v>1500</v>
      </c>
      <c r="B60" s="3">
        <v>21.98333333339542</v>
      </c>
      <c r="C60" s="3">
        <v>26.399999999965075</v>
      </c>
      <c r="D60" s="3">
        <v>42.53333333332557</v>
      </c>
      <c r="E60" s="3">
        <v>67.1166666666395</v>
      </c>
      <c r="F60" s="3">
        <v>91.84999999991851</v>
      </c>
      <c r="G60" s="3">
        <v>115.15000000008149</v>
      </c>
      <c r="H60" s="5"/>
      <c r="I60" s="4"/>
      <c r="J60" s="4"/>
      <c r="K60" s="4"/>
      <c r="L60" s="3"/>
      <c r="M60" s="4"/>
      <c r="N60" s="4"/>
      <c r="O60" s="4"/>
      <c r="P60" s="4"/>
    </row>
    <row x14ac:dyDescent="0.25" r="61" customHeight="1" ht="18.75">
      <c r="A61" s="1" t="s">
        <v>863</v>
      </c>
      <c r="B61" s="3">
        <v>12.16666666668607</v>
      </c>
      <c r="C61" s="3">
        <v>16.816666666651145</v>
      </c>
      <c r="D61" s="3">
        <v>24.766666666720994</v>
      </c>
      <c r="E61" s="3">
        <v>48.149999999965075</v>
      </c>
      <c r="F61" s="3">
        <v>63.883333333418705</v>
      </c>
      <c r="G61" s="3">
        <v>72.16666666668607</v>
      </c>
      <c r="H61" s="3">
        <v>96.26666666666279</v>
      </c>
      <c r="I61" s="3">
        <v>125.71666666661622</v>
      </c>
      <c r="J61" s="4"/>
      <c r="K61" s="4"/>
      <c r="L61" s="4"/>
      <c r="M61" s="4"/>
      <c r="N61" s="4"/>
      <c r="O61" s="4"/>
      <c r="P61" s="4"/>
    </row>
    <row x14ac:dyDescent="0.25" r="62" customHeight="1" ht="18.75">
      <c r="A62" s="1" t="s">
        <v>872</v>
      </c>
      <c r="B62" s="3">
        <v>22.416666666744277</v>
      </c>
      <c r="C62" s="3">
        <v>24.249999999941792</v>
      </c>
      <c r="D62" s="3">
        <v>48.149999999965075</v>
      </c>
      <c r="E62" s="3">
        <v>72.29999999993015</v>
      </c>
      <c r="F62" s="3">
        <v>89.28333333326736</v>
      </c>
      <c r="G62" s="3">
        <v>96.33333333337214</v>
      </c>
      <c r="H62" s="3">
        <v>120.03333333326736</v>
      </c>
      <c r="I62" s="4"/>
      <c r="J62" s="4"/>
      <c r="K62" s="4"/>
      <c r="L62" s="4"/>
      <c r="M62" s="4"/>
      <c r="N62" s="4"/>
      <c r="O62" s="4"/>
      <c r="P62" s="4"/>
    </row>
    <row x14ac:dyDescent="0.25" r="63" customHeight="1" ht="18.75">
      <c r="A63" s="1" t="s">
        <v>880</v>
      </c>
      <c r="B63" s="3">
        <v>16.38333333330229</v>
      </c>
      <c r="C63" s="3">
        <v>24.033333333267365</v>
      </c>
      <c r="D63" s="3">
        <v>41.49999999994179</v>
      </c>
      <c r="E63" s="3">
        <v>48.199999999953434</v>
      </c>
      <c r="F63" s="3">
        <v>72.29999999993015</v>
      </c>
      <c r="G63" s="3">
        <v>101.71666666661622</v>
      </c>
      <c r="H63" s="5"/>
      <c r="I63" s="4"/>
      <c r="J63" s="4"/>
      <c r="K63" s="4"/>
      <c r="L63" s="4"/>
      <c r="M63" s="4"/>
      <c r="N63" s="4"/>
      <c r="O63" s="4"/>
      <c r="P63" s="4"/>
    </row>
    <row x14ac:dyDescent="0.25" r="64" customHeight="1" ht="18.75">
      <c r="A64" s="1" t="s">
        <v>887</v>
      </c>
      <c r="B64" s="3">
        <v>17.13333333330229</v>
      </c>
      <c r="C64" s="3">
        <v>24.266666666662786</v>
      </c>
      <c r="D64" s="3">
        <v>40.78333333338378</v>
      </c>
      <c r="E64" s="3">
        <v>48.21666666667443</v>
      </c>
      <c r="F64" s="3">
        <v>72.18333333340706</v>
      </c>
      <c r="G64" s="3">
        <v>96.04999999998836</v>
      </c>
      <c r="H64" s="5"/>
      <c r="I64" s="4"/>
      <c r="J64" s="4"/>
      <c r="K64" s="4"/>
      <c r="L64" s="4"/>
      <c r="M64" s="4"/>
      <c r="N64" s="4"/>
      <c r="O64" s="4"/>
      <c r="P64" s="4"/>
    </row>
    <row x14ac:dyDescent="0.25" r="65" customHeight="1" ht="18.75">
      <c r="A65" s="1" t="s">
        <v>894</v>
      </c>
      <c r="B65" s="3">
        <v>23.53333333338378</v>
      </c>
      <c r="C65" s="3">
        <v>24.29999999993015</v>
      </c>
      <c r="D65" s="3">
        <v>48.3833333333605</v>
      </c>
      <c r="E65" s="3">
        <v>64.73333333339542</v>
      </c>
      <c r="F65" s="3">
        <v>72.55000000004657</v>
      </c>
      <c r="G65" s="3">
        <v>96.14999999996508</v>
      </c>
      <c r="H65" s="5"/>
      <c r="I65" s="4"/>
      <c r="J65" s="4"/>
      <c r="K65" s="4"/>
      <c r="L65" s="4"/>
      <c r="M65" s="4"/>
      <c r="N65" s="4"/>
      <c r="O65" s="4"/>
      <c r="P65" s="4"/>
    </row>
    <row x14ac:dyDescent="0.25" r="66" customHeight="1" ht="18.75">
      <c r="A66" s="1" t="s">
        <v>901</v>
      </c>
      <c r="B66" s="3">
        <v>22.350000000034925</v>
      </c>
      <c r="C66" s="3">
        <v>24.199999999953434</v>
      </c>
      <c r="D66" s="3">
        <v>41.83333333331393</v>
      </c>
      <c r="E66" s="3">
        <v>48.08333333325572</v>
      </c>
      <c r="F66" s="3">
        <v>72.71666666673264</v>
      </c>
      <c r="G66" s="3">
        <v>96.08333333325572</v>
      </c>
      <c r="H66" s="5"/>
      <c r="I66" s="4"/>
      <c r="J66" s="4"/>
      <c r="K66" s="4"/>
      <c r="L66" s="4"/>
      <c r="M66" s="4"/>
      <c r="N66" s="4"/>
      <c r="O66" s="4"/>
      <c r="P66" s="4"/>
    </row>
    <row x14ac:dyDescent="0.25" r="67" customHeight="1" ht="18.75">
      <c r="A67" s="1" t="s">
        <v>908</v>
      </c>
      <c r="B67" s="3">
        <v>11.53333333338378</v>
      </c>
      <c r="C67" s="3">
        <v>16.066666666651145</v>
      </c>
      <c r="D67" s="3">
        <v>21.11666666669771</v>
      </c>
      <c r="E67" s="3">
        <v>24.199999999953434</v>
      </c>
      <c r="F67" s="3">
        <v>48.149999999965075</v>
      </c>
      <c r="G67" s="3">
        <v>64.58333333325572</v>
      </c>
      <c r="H67" s="3">
        <v>72.43333333334886</v>
      </c>
      <c r="I67" s="3">
        <v>96.16666666668607</v>
      </c>
      <c r="J67" s="3">
        <v>120.33333333337214</v>
      </c>
      <c r="K67" s="3">
        <v>144.08333333325572</v>
      </c>
      <c r="L67" s="3">
        <v>168.70000000001164</v>
      </c>
      <c r="M67" s="3">
        <v>192.08333333325572</v>
      </c>
      <c r="N67" s="3">
        <v>240.21666666667443</v>
      </c>
      <c r="O67" s="3">
        <v>264.18333333340706</v>
      </c>
      <c r="P67" s="3">
        <v>288.04999999998836</v>
      </c>
    </row>
    <row x14ac:dyDescent="0.25" r="68" customHeight="1" ht="18.75">
      <c r="A68" s="1" t="s">
        <v>921</v>
      </c>
      <c r="B68" s="3">
        <v>11.200000000011642</v>
      </c>
      <c r="C68" s="3">
        <v>21.616666666581295</v>
      </c>
      <c r="D68" s="3">
        <v>24.550000000046566</v>
      </c>
      <c r="E68" s="3">
        <v>48.06666666670935</v>
      </c>
      <c r="F68" s="3">
        <v>77.70000000006985</v>
      </c>
      <c r="G68" s="3">
        <v>96.21666666667443</v>
      </c>
      <c r="H68" s="3">
        <v>111.46666666661622</v>
      </c>
      <c r="I68" s="3">
        <v>120.06666666670935</v>
      </c>
      <c r="J68" s="3">
        <v>144.1333333334187</v>
      </c>
      <c r="K68" s="4"/>
      <c r="L68" s="4"/>
      <c r="M68" s="4"/>
      <c r="N68" s="4"/>
      <c r="O68" s="4"/>
      <c r="P68" s="4"/>
    </row>
    <row x14ac:dyDescent="0.25" r="69" customHeight="1" ht="18.75">
      <c r="A69" s="1" t="s">
        <v>936</v>
      </c>
      <c r="B69" s="3">
        <v>23.58333333337214</v>
      </c>
      <c r="C69" s="3">
        <v>24.433333333348855</v>
      </c>
      <c r="D69" s="3">
        <v>39.96666666667443</v>
      </c>
      <c r="E69" s="3">
        <v>48.40000000008149</v>
      </c>
      <c r="F69" s="3">
        <v>72.40000000008149</v>
      </c>
      <c r="G69" s="3">
        <v>96.28333333338378</v>
      </c>
      <c r="H69" s="3">
        <v>120.55000000004657</v>
      </c>
      <c r="I69" s="3">
        <v>144.09999999997672</v>
      </c>
      <c r="J69" s="4"/>
      <c r="K69" s="4"/>
      <c r="L69" s="4"/>
      <c r="M69" s="4"/>
      <c r="N69" s="4"/>
      <c r="O69" s="4"/>
      <c r="P69" s="4"/>
    </row>
    <row x14ac:dyDescent="0.25" r="70" customHeight="1" ht="18.75">
      <c r="A70" s="1" t="s">
        <v>945</v>
      </c>
      <c r="B70" s="3">
        <v>16.400000000023283</v>
      </c>
      <c r="C70" s="3">
        <v>24.316666666651145</v>
      </c>
      <c r="D70" s="3">
        <v>44.13333333330229</v>
      </c>
      <c r="E70" s="3">
        <v>48.51666666660458</v>
      </c>
      <c r="F70" s="3">
        <v>73.01666666666279</v>
      </c>
      <c r="G70" s="3">
        <v>96.06666666670935</v>
      </c>
      <c r="H70" s="3">
        <v>120.04999999998836</v>
      </c>
      <c r="I70" s="4"/>
      <c r="J70" s="4"/>
      <c r="K70" s="4"/>
      <c r="L70" s="4"/>
      <c r="M70" s="4"/>
      <c r="N70" s="4"/>
      <c r="O70" s="4"/>
      <c r="P70" s="4"/>
    </row>
    <row x14ac:dyDescent="0.25" r="71" customHeight="1" ht="18.75">
      <c r="A71" s="1" t="s">
        <v>953</v>
      </c>
      <c r="B71" s="3">
        <v>16.21666666661622</v>
      </c>
      <c r="C71" s="3">
        <v>21.63333333330229</v>
      </c>
      <c r="D71" s="3">
        <v>24.199999999953434</v>
      </c>
      <c r="E71" s="3">
        <v>48.3833333333605</v>
      </c>
      <c r="F71" s="3">
        <v>65.39999999996508</v>
      </c>
      <c r="G71" s="3">
        <v>72.26666666666279</v>
      </c>
      <c r="H71" s="3">
        <v>96.21666666667443</v>
      </c>
      <c r="I71" s="3">
        <v>112.06666666665114</v>
      </c>
      <c r="J71" s="3">
        <v>120.08333333325572</v>
      </c>
      <c r="K71" s="3">
        <v>144.03333333326736</v>
      </c>
      <c r="L71" s="3">
        <v>168.04999999998836</v>
      </c>
      <c r="M71" s="3">
        <v>192.65000000002328</v>
      </c>
      <c r="N71" s="4"/>
      <c r="O71" s="4"/>
      <c r="P71" s="4"/>
    </row>
    <row x14ac:dyDescent="0.25" r="72" customHeight="1" ht="18.75">
      <c r="A72" s="1" t="s">
        <v>961</v>
      </c>
      <c r="B72" s="3">
        <v>17.916666666744277</v>
      </c>
      <c r="C72" s="3">
        <v>24.500000000058208</v>
      </c>
      <c r="D72" s="3">
        <v>24.58333333331393</v>
      </c>
      <c r="E72" s="3">
        <v>48.199999999953434</v>
      </c>
      <c r="F72" s="3">
        <v>72.16666666668607</v>
      </c>
      <c r="G72" s="3">
        <v>96.06666666670935</v>
      </c>
      <c r="H72" s="3">
        <v>114.58333333331393</v>
      </c>
      <c r="I72" s="3">
        <v>120.31666666665114</v>
      </c>
      <c r="J72" s="3">
        <v>144.18333333340706</v>
      </c>
      <c r="K72" s="3">
        <v>173.78333333332557</v>
      </c>
      <c r="L72" s="4"/>
      <c r="M72" s="4"/>
      <c r="N72" s="4"/>
      <c r="O72" s="4"/>
      <c r="P72" s="4"/>
    </row>
    <row x14ac:dyDescent="0.25" r="73" customHeight="1" ht="18.75">
      <c r="A73" s="1" t="s">
        <v>972</v>
      </c>
      <c r="B73" s="3">
        <v>2.4833333333954215</v>
      </c>
      <c r="C73" s="3">
        <v>3.3499999999185093</v>
      </c>
      <c r="D73" s="3">
        <v>17.08333333331393</v>
      </c>
      <c r="E73" s="3">
        <v>24.033333333267365</v>
      </c>
      <c r="F73" s="3">
        <v>48.09999999997672</v>
      </c>
      <c r="G73" s="5"/>
      <c r="H73" s="5"/>
      <c r="I73" s="4"/>
      <c r="J73" s="4"/>
      <c r="K73" s="4"/>
      <c r="L73" s="4"/>
      <c r="M73" s="4"/>
      <c r="N73" s="4"/>
      <c r="O73" s="4"/>
      <c r="P73" s="4"/>
    </row>
    <row x14ac:dyDescent="0.25" r="74" customHeight="1" ht="18.75">
      <c r="A74" s="1" t="s">
        <v>978</v>
      </c>
      <c r="B74" s="3">
        <v>16.699999999953434</v>
      </c>
      <c r="C74" s="3">
        <v>21.500000000058208</v>
      </c>
      <c r="D74" s="3">
        <v>24.550000000046566</v>
      </c>
      <c r="E74" s="3">
        <v>48.24999999994179</v>
      </c>
      <c r="F74" s="3">
        <v>72.016666666721</v>
      </c>
      <c r="G74" s="5"/>
      <c r="H74" s="5"/>
      <c r="I74" s="4"/>
      <c r="J74" s="4"/>
      <c r="K74" s="4"/>
      <c r="L74" s="4"/>
      <c r="M74" s="4"/>
      <c r="N74" s="4"/>
      <c r="O74" s="4"/>
      <c r="P74" s="4"/>
    </row>
    <row x14ac:dyDescent="0.25" r="75" customHeight="1" ht="18.75">
      <c r="A75" s="1" t="s">
        <v>982</v>
      </c>
      <c r="B75" s="3">
        <v>3.366666666639503</v>
      </c>
      <c r="C75" s="3">
        <v>3.383333333360497</v>
      </c>
      <c r="D75" s="3">
        <v>16.78333333338378</v>
      </c>
      <c r="E75" s="3">
        <v>24.316666666651145</v>
      </c>
      <c r="F75" s="3">
        <v>48.24999999994179</v>
      </c>
      <c r="G75" s="3">
        <v>77.56666666665114</v>
      </c>
      <c r="H75" s="3">
        <v>96.33333333337214</v>
      </c>
      <c r="I75" s="4"/>
      <c r="J75" s="4"/>
      <c r="K75" s="4"/>
      <c r="L75" s="4"/>
      <c r="M75" s="4"/>
      <c r="N75" s="4"/>
      <c r="O75" s="4"/>
      <c r="P75" s="4"/>
    </row>
    <row x14ac:dyDescent="0.25" r="76" customHeight="1" ht="18.75">
      <c r="A76" s="1" t="s">
        <v>989</v>
      </c>
      <c r="B76" s="3">
        <v>7.03333333338378</v>
      </c>
      <c r="C76" s="3">
        <v>7.049999999930151</v>
      </c>
      <c r="D76" s="3">
        <v>15.783333333267365</v>
      </c>
      <c r="E76" s="3">
        <v>24.33333333337214</v>
      </c>
      <c r="F76" s="3">
        <v>48.18333333340706</v>
      </c>
      <c r="G76" s="5"/>
      <c r="H76" s="5"/>
      <c r="I76" s="4"/>
      <c r="J76" s="4"/>
      <c r="K76" s="4"/>
      <c r="L76" s="4"/>
      <c r="M76" s="4"/>
      <c r="N76" s="4"/>
      <c r="O76" s="4"/>
      <c r="P76" s="4"/>
    </row>
    <row x14ac:dyDescent="0.25" r="77" customHeight="1" ht="18.75">
      <c r="A77" s="1" t="s">
        <v>995</v>
      </c>
      <c r="B77" s="3">
        <v>11.000000000058208</v>
      </c>
      <c r="C77" s="3">
        <v>21.899999999965075</v>
      </c>
      <c r="D77" s="3">
        <v>24.550000000046566</v>
      </c>
      <c r="E77" s="3">
        <v>48.09999999997672</v>
      </c>
      <c r="F77" s="3">
        <v>72.81666666670935</v>
      </c>
      <c r="G77" s="3">
        <v>90.11666666669771</v>
      </c>
      <c r="H77" s="3">
        <v>96.21666666667443</v>
      </c>
      <c r="I77" s="3">
        <v>120.66666666674428</v>
      </c>
      <c r="J77" s="3">
        <v>144.09999999997672</v>
      </c>
      <c r="K77" s="3">
        <v>168.14999999996508</v>
      </c>
      <c r="L77" s="3">
        <v>192.1333333334187</v>
      </c>
      <c r="M77" s="4"/>
      <c r="N77" s="4"/>
      <c r="O77" s="4"/>
      <c r="P77" s="4"/>
    </row>
    <row x14ac:dyDescent="0.25" r="78" customHeight="1" ht="18.75">
      <c r="A78" s="1" t="s">
        <v>1005</v>
      </c>
      <c r="B78" s="3">
        <v>17.866666666581295</v>
      </c>
      <c r="C78" s="3">
        <v>24.86666666669771</v>
      </c>
      <c r="D78" s="3">
        <v>39.86666666669771</v>
      </c>
      <c r="E78" s="3">
        <v>48.63333333330229</v>
      </c>
      <c r="F78" s="3">
        <v>72.34999999991851</v>
      </c>
      <c r="G78" s="3">
        <v>89.16666666674428</v>
      </c>
      <c r="H78" s="3">
        <v>101.83333333331393</v>
      </c>
      <c r="I78" s="3">
        <v>107.53333333338378</v>
      </c>
      <c r="J78" s="3">
        <v>120.03333333326736</v>
      </c>
      <c r="K78" s="3">
        <v>144.09999999997672</v>
      </c>
      <c r="L78" s="3">
        <v>168.04999999998836</v>
      </c>
      <c r="M78" s="4"/>
      <c r="N78" s="4"/>
      <c r="O78" s="4"/>
      <c r="P78" s="4"/>
    </row>
    <row x14ac:dyDescent="0.25" r="79" customHeight="1" ht="18.75">
      <c r="A79" s="1" t="s">
        <v>1017</v>
      </c>
      <c r="B79" s="3">
        <v>16.116666666639503</v>
      </c>
      <c r="C79" s="3">
        <v>21.883333333418705</v>
      </c>
      <c r="D79" s="3">
        <v>24.45000000006985</v>
      </c>
      <c r="E79" s="3">
        <v>48.11666666669771</v>
      </c>
      <c r="F79" s="6">
        <v>78</v>
      </c>
      <c r="G79" s="3">
        <v>96.04999999998836</v>
      </c>
      <c r="H79" s="5"/>
      <c r="I79" s="4"/>
      <c r="J79" s="4"/>
      <c r="K79" s="4"/>
      <c r="L79" s="4"/>
      <c r="M79" s="4"/>
      <c r="N79" s="4"/>
      <c r="O79" s="4"/>
      <c r="P79" s="4"/>
    </row>
    <row x14ac:dyDescent="0.25" r="80" customHeight="1" ht="18.75">
      <c r="A80" s="1" t="s">
        <v>1021</v>
      </c>
      <c r="B80" s="3">
        <v>12.016666666720994</v>
      </c>
      <c r="C80" s="3">
        <v>21.133333333418705</v>
      </c>
      <c r="D80" s="3">
        <v>24.016666666720994</v>
      </c>
      <c r="E80" s="3">
        <v>48.133333333418705</v>
      </c>
      <c r="F80" s="5"/>
      <c r="G80" s="5"/>
      <c r="H80" s="5"/>
      <c r="I80" s="4"/>
      <c r="J80" s="4"/>
      <c r="K80" s="4"/>
      <c r="L80" s="4"/>
      <c r="M80" s="4"/>
      <c r="N80" s="4"/>
      <c r="O80" s="4"/>
      <c r="P80" s="4"/>
    </row>
    <row x14ac:dyDescent="0.25" r="81" customHeight="1" ht="18.75">
      <c r="A81" s="1" t="s">
        <v>1025</v>
      </c>
      <c r="B81" s="3">
        <v>8.750000000058208</v>
      </c>
      <c r="C81" s="3">
        <v>48.08333333325572</v>
      </c>
      <c r="D81" s="3">
        <v>72.3833333333605</v>
      </c>
      <c r="E81" s="3">
        <v>96.1333333334187</v>
      </c>
      <c r="F81" s="3">
        <v>113.56666666665114</v>
      </c>
      <c r="G81" s="3">
        <v>120.09999999997672</v>
      </c>
      <c r="H81" s="3">
        <v>144.1166666666977</v>
      </c>
      <c r="I81" s="3">
        <v>168.03333333326736</v>
      </c>
      <c r="J81" s="4"/>
      <c r="K81" s="4"/>
      <c r="L81" s="4"/>
      <c r="M81" s="4"/>
      <c r="N81" s="4"/>
      <c r="O81" s="4"/>
      <c r="P81" s="4"/>
    </row>
    <row x14ac:dyDescent="0.25" r="82" customHeight="1" ht="18.75">
      <c r="A82" s="1" t="s">
        <v>1048</v>
      </c>
      <c r="B82" s="3">
        <v>11.100000000034925</v>
      </c>
      <c r="C82" s="3">
        <v>17.150000000023283</v>
      </c>
      <c r="D82" s="3">
        <v>24.266666666662786</v>
      </c>
      <c r="E82" s="3">
        <v>48.86666666669771</v>
      </c>
      <c r="F82" s="3">
        <v>72.06666666670935</v>
      </c>
      <c r="G82" s="5"/>
      <c r="H82" s="5"/>
      <c r="I82" s="4"/>
      <c r="J82" s="4"/>
      <c r="K82" s="4"/>
      <c r="L82" s="4"/>
      <c r="M82" s="4"/>
      <c r="N82" s="4"/>
      <c r="O82" s="4"/>
      <c r="P82" s="4"/>
    </row>
    <row x14ac:dyDescent="0.25" r="83" customHeight="1" ht="18.75">
      <c r="A83" s="1" t="s">
        <v>1053</v>
      </c>
      <c r="B83" s="3">
        <v>7.099999999918509</v>
      </c>
      <c r="C83" s="3">
        <v>7.133333333360497</v>
      </c>
      <c r="D83" s="3">
        <v>17.733333333337214</v>
      </c>
      <c r="E83" s="3">
        <v>24.149999999965075</v>
      </c>
      <c r="F83" s="3">
        <v>48.08333333325572</v>
      </c>
      <c r="G83" s="3">
        <v>72.26666666666279</v>
      </c>
      <c r="H83" s="3">
        <v>96.56666666659294</v>
      </c>
      <c r="I83" s="3">
        <v>120.46666666661622</v>
      </c>
      <c r="J83" s="3">
        <v>144.98333333339542</v>
      </c>
      <c r="K83" s="3">
        <v>145.1166666666395</v>
      </c>
      <c r="L83" s="3">
        <v>168.08333333325572</v>
      </c>
      <c r="M83" s="3">
        <v>192.03333333326736</v>
      </c>
      <c r="N83" s="4"/>
      <c r="O83" s="4"/>
      <c r="P83" s="4"/>
    </row>
    <row x14ac:dyDescent="0.25" r="84" customHeight="1" ht="18.75">
      <c r="A84" s="1" t="s">
        <v>1066</v>
      </c>
      <c r="B84" s="3">
        <v>6.383333333360497</v>
      </c>
      <c r="C84" s="3">
        <v>6.400000000081491</v>
      </c>
      <c r="D84" s="3">
        <v>15.500000000058208</v>
      </c>
      <c r="E84" s="3">
        <v>24.266666666662786</v>
      </c>
      <c r="F84" s="3">
        <v>48.09999999997672</v>
      </c>
      <c r="G84" s="3">
        <v>73.06666666665114</v>
      </c>
      <c r="H84" s="3">
        <v>96.16666666668607</v>
      </c>
      <c r="I84" s="4"/>
      <c r="J84" s="4"/>
      <c r="K84" s="4"/>
      <c r="L84" s="4"/>
      <c r="M84" s="4"/>
      <c r="N84" s="4"/>
      <c r="O84" s="4"/>
      <c r="P84" s="4"/>
    </row>
    <row x14ac:dyDescent="0.25" r="85" customHeight="1" ht="18.75">
      <c r="A85" s="1" t="s">
        <v>1074</v>
      </c>
      <c r="B85" s="3">
        <v>17.633333333360497</v>
      </c>
      <c r="C85" s="3">
        <v>24.183333333407063</v>
      </c>
      <c r="D85" s="3">
        <v>38.866666666581295</v>
      </c>
      <c r="E85" s="3">
        <v>48.133333333418705</v>
      </c>
      <c r="F85" s="3">
        <v>72.21666666667443</v>
      </c>
      <c r="G85" s="3">
        <v>96.06666666670935</v>
      </c>
      <c r="H85" s="3">
        <v>120.016666666721</v>
      </c>
      <c r="I85" s="4"/>
      <c r="J85" s="4"/>
      <c r="K85" s="4"/>
      <c r="L85" s="4"/>
      <c r="M85" s="4"/>
      <c r="N85" s="4"/>
      <c r="O85" s="4"/>
      <c r="P85" s="4"/>
    </row>
    <row x14ac:dyDescent="0.25" r="86" customHeight="1" ht="18.75">
      <c r="A86" s="1" t="s">
        <v>1082</v>
      </c>
      <c r="B86" s="3">
        <v>4.749999999941792</v>
      </c>
      <c r="C86" s="3">
        <v>10.133333333360497</v>
      </c>
      <c r="D86" s="3">
        <v>17.733333333337214</v>
      </c>
      <c r="E86" s="3">
        <v>24.566666666592937</v>
      </c>
      <c r="F86" s="3">
        <v>48.56666666659294</v>
      </c>
      <c r="G86" s="3">
        <v>78.29999999993015</v>
      </c>
      <c r="H86" s="3">
        <v>102.28333333338378</v>
      </c>
      <c r="I86" s="3">
        <v>120.03333333326736</v>
      </c>
      <c r="J86" s="3">
        <v>144.06666666670935</v>
      </c>
      <c r="K86" s="3">
        <v>173.8833333333023</v>
      </c>
      <c r="L86" s="3">
        <v>192.04999999998836</v>
      </c>
      <c r="M86" s="6">
        <v>216</v>
      </c>
      <c r="N86" s="4"/>
      <c r="O86" s="4"/>
      <c r="P86" s="4"/>
    </row>
    <row x14ac:dyDescent="0.25" r="87" customHeight="1" ht="18.75">
      <c r="A87" s="1" t="s">
        <v>1104</v>
      </c>
      <c r="B87" s="3">
        <v>5.983333333279006</v>
      </c>
      <c r="C87" s="3">
        <v>18.199999999953434</v>
      </c>
      <c r="D87" s="3">
        <v>24.149999999965075</v>
      </c>
      <c r="E87" s="3">
        <v>48.033333333267365</v>
      </c>
      <c r="F87" s="3">
        <v>72.28333333338378</v>
      </c>
      <c r="G87" s="3">
        <v>90.19999999995343</v>
      </c>
      <c r="H87" s="3">
        <v>96.31666666665114</v>
      </c>
      <c r="I87" s="3">
        <v>125.81666666659294</v>
      </c>
      <c r="J87" s="4"/>
      <c r="K87" s="4"/>
      <c r="L87" s="4"/>
      <c r="M87" s="4"/>
      <c r="N87" s="4"/>
      <c r="O87" s="4"/>
      <c r="P87" s="4"/>
    </row>
    <row x14ac:dyDescent="0.25" r="88" customHeight="1" ht="18.75">
      <c r="A88" s="1" t="s">
        <v>1113</v>
      </c>
      <c r="B88" s="3">
        <v>13.21666666661622</v>
      </c>
      <c r="C88" s="3">
        <v>21.849999999976717</v>
      </c>
      <c r="D88" s="3">
        <v>24.083333333255723</v>
      </c>
      <c r="E88" s="3">
        <v>48.18333333340706</v>
      </c>
      <c r="F88" s="3">
        <v>64.66666666668607</v>
      </c>
      <c r="G88" s="3">
        <v>72.1333333334187</v>
      </c>
      <c r="H88" s="3">
        <v>96.56666666659294</v>
      </c>
      <c r="I88" s="4"/>
      <c r="J88" s="4"/>
      <c r="K88" s="4"/>
      <c r="L88" s="4"/>
      <c r="M88" s="4"/>
      <c r="N88" s="4"/>
      <c r="O88" s="4"/>
      <c r="P88" s="4"/>
    </row>
    <row x14ac:dyDescent="0.25" r="89" customHeight="1" ht="18.75">
      <c r="A89" s="1" t="s">
        <v>1121</v>
      </c>
      <c r="B89" s="3">
        <v>17.800000000046566</v>
      </c>
      <c r="C89" s="3">
        <v>24.40000000008149</v>
      </c>
      <c r="D89" s="3">
        <v>41.53333333338378</v>
      </c>
      <c r="E89" s="3">
        <v>48.3666666666395</v>
      </c>
      <c r="F89" s="3">
        <v>72.56666666659294</v>
      </c>
      <c r="G89" s="3">
        <v>96.45000000006985</v>
      </c>
      <c r="H89" s="3">
        <v>113.33333333325572</v>
      </c>
      <c r="I89" s="3">
        <v>120.016666666721</v>
      </c>
      <c r="J89" s="3">
        <v>144.04999999998836</v>
      </c>
      <c r="K89" s="3">
        <v>173.5999999999185</v>
      </c>
      <c r="L89" s="4"/>
      <c r="M89" s="4"/>
      <c r="N89" s="4"/>
      <c r="O89" s="4"/>
      <c r="P89" s="4"/>
    </row>
    <row x14ac:dyDescent="0.25" r="90" customHeight="1" ht="18.75">
      <c r="A90" s="1" t="s">
        <v>1132</v>
      </c>
      <c r="B90" s="3">
        <v>11.54999999993015</v>
      </c>
      <c r="C90" s="3">
        <v>21.716666666732635</v>
      </c>
      <c r="D90" s="3">
        <v>24.40000000008149</v>
      </c>
      <c r="E90" s="3">
        <v>48.21666666667443</v>
      </c>
      <c r="F90" s="3">
        <v>72.43333333334886</v>
      </c>
      <c r="G90" s="5"/>
      <c r="H90" s="5"/>
      <c r="I90" s="4"/>
      <c r="J90" s="4"/>
      <c r="K90" s="4"/>
      <c r="L90" s="4"/>
      <c r="M90" s="4"/>
      <c r="N90" s="4"/>
      <c r="O90" s="4"/>
      <c r="P90" s="4"/>
    </row>
    <row x14ac:dyDescent="0.25" r="91" customHeight="1" ht="18.75">
      <c r="A91" s="1" t="s">
        <v>1136</v>
      </c>
      <c r="B91" s="3">
        <v>23.066666666592937</v>
      </c>
      <c r="C91" s="3">
        <v>24.366666666639503</v>
      </c>
      <c r="D91" s="3">
        <v>41.34999999997672</v>
      </c>
      <c r="E91" s="3">
        <v>48.56666666659294</v>
      </c>
      <c r="F91" s="3">
        <v>72.45000000006985</v>
      </c>
      <c r="G91" s="3">
        <v>96.016666666721</v>
      </c>
      <c r="H91" s="3">
        <v>120.04999999998836</v>
      </c>
      <c r="I91" s="4"/>
      <c r="J91" s="4"/>
      <c r="K91" s="4"/>
      <c r="L91" s="4"/>
      <c r="M91" s="4"/>
      <c r="N91" s="4"/>
      <c r="O91" s="4"/>
      <c r="P91" s="4"/>
    </row>
    <row x14ac:dyDescent="0.25" r="92" customHeight="1" ht="18.75">
      <c r="A92" s="1" t="s">
        <v>1139</v>
      </c>
      <c r="B92" s="3">
        <v>20.36666666669771</v>
      </c>
      <c r="C92" s="3">
        <v>29.966666666732635</v>
      </c>
      <c r="D92" s="3">
        <v>35.93333333329065</v>
      </c>
      <c r="E92" s="3">
        <v>48.23333333339542</v>
      </c>
      <c r="F92" s="3">
        <v>72.40000000008149</v>
      </c>
      <c r="G92" s="6">
        <v>96</v>
      </c>
      <c r="H92" s="3">
        <v>120.03333333326736</v>
      </c>
      <c r="I92" s="4"/>
      <c r="J92" s="4"/>
      <c r="K92" s="4"/>
      <c r="L92" s="4"/>
      <c r="M92" s="4"/>
      <c r="N92" s="4"/>
      <c r="O92" s="4"/>
      <c r="P92" s="4"/>
    </row>
    <row x14ac:dyDescent="0.25" r="93" customHeight="1" ht="18.75">
      <c r="A93" s="1" t="s">
        <v>1143</v>
      </c>
      <c r="B93" s="3">
        <v>11.000000000058208</v>
      </c>
      <c r="C93" s="3">
        <v>24.28333333338378</v>
      </c>
      <c r="D93" s="3">
        <v>43.233333333337214</v>
      </c>
      <c r="E93" s="3">
        <v>48.16666666668607</v>
      </c>
      <c r="F93" s="3">
        <v>72.34999999991851</v>
      </c>
      <c r="G93" s="3">
        <v>96.21666666667443</v>
      </c>
      <c r="H93" s="3">
        <v>120.18333333340706</v>
      </c>
      <c r="I93" s="3">
        <v>144.08333333325572</v>
      </c>
      <c r="J93" s="4"/>
      <c r="K93" s="4"/>
      <c r="L93" s="4"/>
      <c r="M93" s="4"/>
      <c r="N93" s="4"/>
      <c r="O93" s="4"/>
      <c r="P93" s="4"/>
    </row>
    <row x14ac:dyDescent="0.25" r="94" customHeight="1" ht="18.75">
      <c r="A94" s="1" t="s">
        <v>1152</v>
      </c>
      <c r="B94" s="3">
        <v>20.13333333330229</v>
      </c>
      <c r="C94" s="3">
        <v>27.216666666674428</v>
      </c>
      <c r="D94" s="3">
        <v>27.533333333325572</v>
      </c>
      <c r="E94" s="3">
        <v>39.3666666666395</v>
      </c>
      <c r="F94" s="3">
        <v>49.09999999991851</v>
      </c>
      <c r="G94" s="3">
        <v>72.29999999993015</v>
      </c>
      <c r="H94" s="3">
        <v>96.56666666659294</v>
      </c>
      <c r="I94" s="3">
        <v>120.04999999998836</v>
      </c>
      <c r="J94" s="3">
        <v>144.18333333340706</v>
      </c>
      <c r="K94" s="4"/>
      <c r="L94" s="4"/>
      <c r="M94" s="4"/>
      <c r="N94" s="4"/>
      <c r="O94" s="4"/>
      <c r="P94" s="4"/>
    </row>
    <row x14ac:dyDescent="0.25" r="95" customHeight="1" ht="18.75">
      <c r="A95" s="1" t="s">
        <v>1162</v>
      </c>
      <c r="B95" s="3">
        <v>13.833333333372138</v>
      </c>
      <c r="C95" s="3">
        <v>24.733333333279006</v>
      </c>
      <c r="D95" s="3">
        <v>48.149999999965075</v>
      </c>
      <c r="E95" s="3">
        <v>64.16666666662786</v>
      </c>
      <c r="F95" s="3">
        <v>72.18333333340706</v>
      </c>
      <c r="G95" s="5"/>
      <c r="H95" s="5"/>
      <c r="I95" s="4"/>
      <c r="J95" s="4"/>
      <c r="K95" s="4"/>
      <c r="L95" s="4"/>
      <c r="M95" s="4"/>
      <c r="N95" s="4"/>
      <c r="O95" s="4"/>
      <c r="P95" s="4"/>
    </row>
    <row x14ac:dyDescent="0.25" r="96" customHeight="1" ht="18.75">
      <c r="A96" s="1" t="s">
        <v>1167</v>
      </c>
      <c r="B96" s="3">
        <v>20.53333333338378</v>
      </c>
      <c r="C96" s="3">
        <v>23.816666666592937</v>
      </c>
      <c r="D96" s="3">
        <v>24.500000000058208</v>
      </c>
      <c r="E96" s="3">
        <v>48.33333333337214</v>
      </c>
      <c r="F96" s="3">
        <v>72.18333333340706</v>
      </c>
      <c r="G96" s="5"/>
      <c r="H96" s="5"/>
      <c r="I96" s="4"/>
      <c r="J96" s="4"/>
      <c r="K96" s="4"/>
      <c r="L96" s="4"/>
      <c r="M96" s="4"/>
      <c r="N96" s="4"/>
      <c r="O96" s="4"/>
      <c r="P96" s="4"/>
    </row>
    <row x14ac:dyDescent="0.25" r="97" customHeight="1" ht="18.75">
      <c r="A97" s="1" t="s">
        <v>1171</v>
      </c>
      <c r="B97" s="3">
        <v>21.16666666668607</v>
      </c>
      <c r="C97" s="3">
        <v>24.58333333331393</v>
      </c>
      <c r="D97" s="3">
        <v>39.98333333339542</v>
      </c>
      <c r="E97" s="3">
        <v>48.08333333325572</v>
      </c>
      <c r="F97" s="3">
        <v>72.04999999998836</v>
      </c>
      <c r="G97" s="3">
        <v>96.33333333337214</v>
      </c>
      <c r="H97" s="3">
        <v>120.06666666670935</v>
      </c>
      <c r="I97" s="4"/>
      <c r="J97" s="4"/>
      <c r="K97" s="4"/>
      <c r="L97" s="4"/>
      <c r="M97" s="4"/>
      <c r="N97" s="4"/>
      <c r="O97" s="4"/>
      <c r="P97" s="4"/>
    </row>
    <row x14ac:dyDescent="0.25" r="98" customHeight="1" ht="18.75">
      <c r="A98" s="1" t="s">
        <v>1179</v>
      </c>
      <c r="B98" s="3">
        <v>16.03333333338378</v>
      </c>
      <c r="C98" s="3">
        <v>24.51666666660458</v>
      </c>
      <c r="D98" s="3">
        <v>40.350000000034925</v>
      </c>
      <c r="E98" s="3">
        <v>48.65000000002328</v>
      </c>
      <c r="F98" s="3">
        <v>72.08333333325572</v>
      </c>
      <c r="G98" s="5"/>
      <c r="H98" s="5"/>
      <c r="I98" s="4"/>
      <c r="J98" s="4"/>
      <c r="K98" s="4"/>
      <c r="L98" s="4"/>
      <c r="M98" s="4"/>
      <c r="N98" s="4"/>
      <c r="O98" s="4"/>
      <c r="P98" s="4"/>
    </row>
    <row x14ac:dyDescent="0.25" r="99" customHeight="1" ht="18.75">
      <c r="A99" s="1" t="s">
        <v>1185</v>
      </c>
      <c r="B99" s="3">
        <v>14.83333333331393</v>
      </c>
      <c r="C99" s="3">
        <v>21.41666666662786</v>
      </c>
      <c r="D99" s="3">
        <v>24.949999999953434</v>
      </c>
      <c r="E99" s="3">
        <v>48.08333333325572</v>
      </c>
      <c r="F99" s="3">
        <v>66.78333333326736</v>
      </c>
      <c r="G99" s="3">
        <v>72.40000000008149</v>
      </c>
      <c r="H99" s="3">
        <v>96.14999999996508</v>
      </c>
      <c r="I99" s="3">
        <v>120.04999999998836</v>
      </c>
      <c r="J99" s="4"/>
      <c r="K99" s="4"/>
      <c r="L99" s="4"/>
      <c r="M99" s="4"/>
      <c r="N99" s="4"/>
      <c r="O99" s="4"/>
      <c r="P99" s="4"/>
    </row>
    <row x14ac:dyDescent="0.25" r="100" customHeight="1" ht="18.75">
      <c r="A100" s="1" t="s">
        <v>1194</v>
      </c>
      <c r="B100" s="3">
        <v>12.16666666668607</v>
      </c>
      <c r="C100" s="3">
        <v>16.73333333339542</v>
      </c>
      <c r="D100" s="3">
        <v>24.249999999941792</v>
      </c>
      <c r="E100" s="3">
        <v>48.149999999965075</v>
      </c>
      <c r="F100" s="3">
        <v>72.29999999993015</v>
      </c>
      <c r="G100" s="5"/>
      <c r="H100" s="5"/>
      <c r="I100" s="4"/>
      <c r="J100" s="4"/>
      <c r="K100" s="4"/>
      <c r="L100" s="4"/>
      <c r="M100" s="4"/>
      <c r="N100" s="4"/>
      <c r="O100" s="4"/>
      <c r="P100" s="4"/>
    </row>
    <row x14ac:dyDescent="0.25" r="101" customHeight="1" ht="18.75">
      <c r="A101" s="1" t="s">
        <v>1197</v>
      </c>
      <c r="B101" s="3">
        <v>12.91666666668607</v>
      </c>
      <c r="C101" s="3">
        <v>30.29999999993015</v>
      </c>
      <c r="D101" s="3">
        <v>48.08333333325572</v>
      </c>
      <c r="E101" s="3">
        <v>78.34999999991851</v>
      </c>
      <c r="F101" s="3">
        <v>83.6166666666395</v>
      </c>
      <c r="G101" s="3">
        <v>101.90000000002328</v>
      </c>
      <c r="H101" s="3">
        <v>120.1333333334187</v>
      </c>
      <c r="I101" s="3">
        <v>150.14999999996508</v>
      </c>
      <c r="J101" s="3">
        <v>168.1333333334187</v>
      </c>
      <c r="K101" s="3">
        <v>185.81666666659294</v>
      </c>
      <c r="L101" s="3">
        <v>197.44999999995343</v>
      </c>
      <c r="M101" s="3">
        <v>216.16666666668607</v>
      </c>
      <c r="N101" s="4"/>
      <c r="O101" s="4"/>
      <c r="P101" s="4"/>
    </row>
    <row x14ac:dyDescent="0.25" r="102" customHeight="1" ht="18.75">
      <c r="A102" s="1" t="s">
        <v>1210</v>
      </c>
      <c r="B102" s="3">
        <v>8.100000000034925</v>
      </c>
      <c r="C102" s="3">
        <v>24.40000000008149</v>
      </c>
      <c r="D102" s="3">
        <v>64.95000000006985</v>
      </c>
      <c r="E102" s="3">
        <v>77.65000000008149</v>
      </c>
      <c r="F102" s="3">
        <v>101.59999999991851</v>
      </c>
      <c r="G102" s="3">
        <v>121.18333333334886</v>
      </c>
      <c r="H102" s="3">
        <v>144.70000000001164</v>
      </c>
      <c r="I102" s="4"/>
      <c r="J102" s="4"/>
      <c r="K102" s="4"/>
      <c r="L102" s="4"/>
      <c r="M102" s="4"/>
      <c r="N102" s="4"/>
      <c r="O102" s="4"/>
      <c r="P102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102"/>
  <sheetViews>
    <sheetView workbookViewId="0" tabSelected="1"/>
  </sheetViews>
  <sheetFormatPr defaultRowHeight="15" x14ac:dyDescent="0.25"/>
  <cols>
    <col min="1" max="1" style="8" width="13.576428571428572" customWidth="1" bestFit="1"/>
    <col min="2" max="2" style="9" width="13.576428571428572" customWidth="1" bestFit="1"/>
    <col min="3" max="3" style="9" width="13.576428571428572" customWidth="1" bestFit="1"/>
    <col min="4" max="4" style="10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9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</cols>
  <sheetData>
    <row x14ac:dyDescent="0.25" r="1" customHeight="1" ht="18.75">
      <c r="A1" s="1" t="s">
        <v>1513</v>
      </c>
      <c r="B1" s="3">
        <v>0.083</v>
      </c>
      <c r="C1" s="3">
        <v>0.04</v>
      </c>
      <c r="D1" s="3">
        <v>0.039</v>
      </c>
      <c r="E1" s="3">
        <v>0.211</v>
      </c>
      <c r="F1" s="3">
        <v>0.304</v>
      </c>
      <c r="G1" s="3">
        <v>0.287</v>
      </c>
      <c r="H1" s="3">
        <v>0.289</v>
      </c>
      <c r="I1" s="3">
        <v>0.268</v>
      </c>
      <c r="J1" s="4"/>
      <c r="K1" s="4"/>
      <c r="L1" s="4"/>
      <c r="M1" s="4"/>
      <c r="N1" s="4"/>
      <c r="O1" s="4"/>
      <c r="P1" s="4"/>
    </row>
    <row x14ac:dyDescent="0.25" r="2" customHeight="1" ht="18.75">
      <c r="A2" s="1" t="s">
        <v>1514</v>
      </c>
      <c r="B2" s="3">
        <v>0.042</v>
      </c>
      <c r="C2" s="3">
        <v>0.073</v>
      </c>
      <c r="D2" s="3">
        <v>0.133</v>
      </c>
      <c r="E2" s="3">
        <v>0.266</v>
      </c>
      <c r="F2" s="3">
        <v>0.252</v>
      </c>
      <c r="G2" s="3">
        <v>0.308</v>
      </c>
      <c r="H2" s="3">
        <v>0.318</v>
      </c>
      <c r="I2" s="3">
        <v>0.377</v>
      </c>
      <c r="J2" s="4"/>
      <c r="K2" s="4"/>
      <c r="L2" s="4"/>
      <c r="M2" s="4"/>
      <c r="N2" s="4"/>
      <c r="O2" s="4"/>
      <c r="P2" s="4"/>
    </row>
    <row x14ac:dyDescent="0.25" r="3" customHeight="1" ht="18.75">
      <c r="A3" s="1" t="s">
        <v>1515</v>
      </c>
      <c r="B3" s="3">
        <v>0.895</v>
      </c>
      <c r="C3" s="3">
        <v>2.27</v>
      </c>
      <c r="D3" s="3">
        <v>1.6</v>
      </c>
      <c r="E3" s="3">
        <v>1.53</v>
      </c>
      <c r="F3" s="3">
        <v>1.77</v>
      </c>
      <c r="G3" s="3">
        <v>1.84</v>
      </c>
      <c r="H3" s="3">
        <v>1.74</v>
      </c>
      <c r="I3" s="5"/>
      <c r="J3" s="4"/>
      <c r="K3" s="4"/>
      <c r="L3" s="4"/>
      <c r="M3" s="4"/>
      <c r="N3" s="4"/>
      <c r="O3" s="4"/>
      <c r="P3" s="4"/>
    </row>
    <row x14ac:dyDescent="0.25" r="4" customHeight="1" ht="18.75">
      <c r="A4" s="1" t="s">
        <v>1516</v>
      </c>
      <c r="B4" s="3">
        <v>0.084</v>
      </c>
      <c r="C4" s="3">
        <v>0.16</v>
      </c>
      <c r="D4" s="3">
        <v>0.158</v>
      </c>
      <c r="E4" s="5"/>
      <c r="F4" s="5"/>
      <c r="G4" s="5"/>
      <c r="H4" s="5"/>
      <c r="I4" s="5"/>
      <c r="J4" s="4"/>
      <c r="K4" s="4"/>
      <c r="L4" s="4"/>
      <c r="M4" s="4"/>
      <c r="N4" s="4"/>
      <c r="O4" s="4"/>
      <c r="P4" s="4"/>
    </row>
    <row x14ac:dyDescent="0.25" r="5" customHeight="1" ht="18.75">
      <c r="A5" s="1" t="s">
        <v>1517</v>
      </c>
      <c r="B5" s="3">
        <v>0.97</v>
      </c>
      <c r="C5" s="3">
        <v>0.682</v>
      </c>
      <c r="D5" s="3">
        <v>1.55</v>
      </c>
      <c r="E5" s="3">
        <v>2.15</v>
      </c>
      <c r="F5" s="3">
        <v>2.13</v>
      </c>
      <c r="G5" s="3">
        <v>1.51</v>
      </c>
      <c r="H5" s="3">
        <v>0.798</v>
      </c>
      <c r="I5" s="3">
        <v>0.372</v>
      </c>
      <c r="J5" s="4"/>
      <c r="K5" s="4"/>
      <c r="L5" s="4"/>
      <c r="M5" s="4"/>
      <c r="N5" s="4"/>
      <c r="O5" s="4"/>
      <c r="P5" s="4"/>
    </row>
    <row x14ac:dyDescent="0.25" r="6" customHeight="1" ht="18.75">
      <c r="A6" s="1" t="s">
        <v>1518</v>
      </c>
      <c r="B6" s="3">
        <v>4.29</v>
      </c>
      <c r="C6" s="3">
        <v>9.67</v>
      </c>
      <c r="D6" s="3">
        <v>5.69</v>
      </c>
      <c r="E6" s="3">
        <v>3.9</v>
      </c>
      <c r="F6" s="3">
        <v>3.35</v>
      </c>
      <c r="G6" s="3">
        <v>2.98</v>
      </c>
      <c r="H6" s="3">
        <v>2.64</v>
      </c>
      <c r="I6" s="5"/>
      <c r="J6" s="4"/>
      <c r="K6" s="4"/>
      <c r="L6" s="4"/>
      <c r="M6" s="4"/>
      <c r="N6" s="4"/>
      <c r="O6" s="4"/>
      <c r="P6" s="4"/>
    </row>
    <row x14ac:dyDescent="0.25" r="7" customHeight="1" ht="18.75">
      <c r="A7" s="1" t="s">
        <v>1519</v>
      </c>
      <c r="B7" s="3">
        <v>1.44</v>
      </c>
      <c r="C7" s="3">
        <v>1.59</v>
      </c>
      <c r="D7" s="3">
        <v>1.84</v>
      </c>
      <c r="E7" s="3">
        <v>1.86</v>
      </c>
      <c r="F7" s="3">
        <v>1.57</v>
      </c>
      <c r="G7" s="3">
        <v>1.21</v>
      </c>
      <c r="H7" s="3">
        <v>0.96</v>
      </c>
      <c r="I7" s="5"/>
      <c r="J7" s="4"/>
      <c r="K7" s="4"/>
      <c r="L7" s="4"/>
      <c r="M7" s="4"/>
      <c r="N7" s="4"/>
      <c r="O7" s="4"/>
      <c r="P7" s="4"/>
    </row>
    <row x14ac:dyDescent="0.25" r="8" customHeight="1" ht="18.75">
      <c r="A8" s="1" t="s">
        <v>1520</v>
      </c>
      <c r="B8" s="3">
        <v>0.014</v>
      </c>
      <c r="C8" s="3">
        <v>0.013</v>
      </c>
      <c r="D8" s="3">
        <v>0.015</v>
      </c>
      <c r="E8" s="3">
        <v>0.016</v>
      </c>
      <c r="F8" s="5"/>
      <c r="G8" s="5"/>
      <c r="H8" s="5"/>
      <c r="I8" s="5"/>
      <c r="J8" s="4"/>
      <c r="K8" s="4"/>
      <c r="L8" s="4"/>
      <c r="M8" s="4"/>
      <c r="N8" s="4"/>
      <c r="O8" s="4"/>
      <c r="P8" s="4"/>
    </row>
    <row x14ac:dyDescent="0.25" r="9" customHeight="1" ht="18.75">
      <c r="A9" s="1" t="s">
        <v>1521</v>
      </c>
      <c r="B9" s="3">
        <v>0.189</v>
      </c>
      <c r="C9" s="3">
        <v>0.263</v>
      </c>
      <c r="D9" s="3">
        <v>0.21</v>
      </c>
      <c r="E9" s="3">
        <v>0.25</v>
      </c>
      <c r="F9" s="3">
        <v>0.238</v>
      </c>
      <c r="G9" s="3">
        <v>0.186</v>
      </c>
      <c r="H9" s="3">
        <v>0.133</v>
      </c>
      <c r="I9" s="5"/>
      <c r="J9" s="4"/>
      <c r="K9" s="4"/>
      <c r="L9" s="4"/>
      <c r="M9" s="4"/>
      <c r="N9" s="4"/>
      <c r="O9" s="4"/>
      <c r="P9" s="4"/>
    </row>
    <row x14ac:dyDescent="0.25" r="10" customHeight="1" ht="18.75">
      <c r="A10" s="1" t="s">
        <v>1522</v>
      </c>
      <c r="B10" s="3">
        <v>2.91</v>
      </c>
      <c r="C10" s="3">
        <v>2.69</v>
      </c>
      <c r="D10" s="3">
        <v>2.04</v>
      </c>
      <c r="E10" s="3">
        <v>2.34</v>
      </c>
      <c r="F10" s="3">
        <v>2.55</v>
      </c>
      <c r="G10" s="3">
        <v>2.75</v>
      </c>
      <c r="H10" s="3">
        <v>2.76</v>
      </c>
      <c r="I10" s="3">
        <v>2.45</v>
      </c>
      <c r="J10" s="3">
        <v>1.79</v>
      </c>
      <c r="K10" s="3">
        <v>1.8</v>
      </c>
      <c r="L10" s="4"/>
      <c r="M10" s="4"/>
      <c r="N10" s="4"/>
      <c r="O10" s="4"/>
      <c r="P10" s="4"/>
    </row>
    <row x14ac:dyDescent="0.25" r="11" customHeight="1" ht="18.75">
      <c r="A11" s="1" t="s">
        <v>1523</v>
      </c>
      <c r="B11" s="3">
        <v>0.198</v>
      </c>
      <c r="C11" s="3">
        <v>0.145</v>
      </c>
      <c r="D11" s="3">
        <v>0.082</v>
      </c>
      <c r="E11" s="3">
        <v>0.046</v>
      </c>
      <c r="F11" s="5"/>
      <c r="G11" s="5"/>
      <c r="H11" s="5"/>
      <c r="I11" s="5"/>
      <c r="J11" s="4"/>
      <c r="K11" s="4"/>
      <c r="L11" s="4"/>
      <c r="M11" s="4"/>
      <c r="N11" s="4"/>
      <c r="O11" s="4"/>
      <c r="P11" s="4"/>
    </row>
    <row x14ac:dyDescent="0.25" r="12" customHeight="1" ht="18.75">
      <c r="A12" s="1" t="s">
        <v>1524</v>
      </c>
      <c r="B12" s="3">
        <v>0.157</v>
      </c>
      <c r="C12" s="3">
        <v>0.117</v>
      </c>
      <c r="D12" s="3">
        <v>0.099</v>
      </c>
      <c r="E12" s="5"/>
      <c r="F12" s="5"/>
      <c r="G12" s="5"/>
      <c r="H12" s="5"/>
      <c r="I12" s="5"/>
      <c r="J12" s="4"/>
      <c r="K12" s="4"/>
      <c r="L12" s="4"/>
      <c r="M12" s="4"/>
      <c r="N12" s="4"/>
      <c r="O12" s="4"/>
      <c r="P12" s="4"/>
    </row>
    <row x14ac:dyDescent="0.25" r="13" customHeight="1" ht="18.75">
      <c r="A13" s="1" t="s">
        <v>1525</v>
      </c>
      <c r="B13" s="3">
        <v>2.26</v>
      </c>
      <c r="C13" s="3">
        <v>2.2</v>
      </c>
      <c r="D13" s="3">
        <v>1.6</v>
      </c>
      <c r="E13" s="3">
        <v>1.79</v>
      </c>
      <c r="F13" s="3">
        <v>2.97</v>
      </c>
      <c r="G13" s="3">
        <v>2.82</v>
      </c>
      <c r="H13" s="3">
        <v>1.93</v>
      </c>
      <c r="I13" s="3">
        <v>0.987</v>
      </c>
      <c r="J13" s="3">
        <v>0.199</v>
      </c>
      <c r="K13" s="4"/>
      <c r="L13" s="4"/>
      <c r="M13" s="4"/>
      <c r="N13" s="4"/>
      <c r="O13" s="4"/>
      <c r="P13" s="4"/>
    </row>
    <row x14ac:dyDescent="0.25" r="14" customHeight="1" ht="18.75">
      <c r="A14" s="1" t="s">
        <v>1526</v>
      </c>
      <c r="B14" s="3">
        <v>0.39</v>
      </c>
      <c r="C14" s="3">
        <v>0.689</v>
      </c>
      <c r="D14" s="3">
        <v>0.73</v>
      </c>
      <c r="E14" s="3">
        <v>0.853</v>
      </c>
      <c r="F14" s="3">
        <v>1.29</v>
      </c>
      <c r="G14" s="3">
        <v>1.2</v>
      </c>
      <c r="H14" s="3">
        <v>1.46</v>
      </c>
      <c r="I14" s="5"/>
      <c r="J14" s="4"/>
      <c r="K14" s="4"/>
      <c r="L14" s="4"/>
      <c r="M14" s="4"/>
      <c r="N14" s="4"/>
      <c r="O14" s="4"/>
      <c r="P14" s="4"/>
    </row>
    <row x14ac:dyDescent="0.25" r="15" customHeight="1" ht="18.75">
      <c r="A15" s="1" t="s">
        <v>1527</v>
      </c>
      <c r="B15" s="3">
        <v>0.185</v>
      </c>
      <c r="C15" s="3">
        <v>0.208</v>
      </c>
      <c r="D15" s="3">
        <v>0.12</v>
      </c>
      <c r="E15" s="3">
        <v>0.012</v>
      </c>
      <c r="F15" s="3">
        <v>0.127</v>
      </c>
      <c r="G15" s="3">
        <v>0.15</v>
      </c>
      <c r="H15" s="3">
        <v>0.177</v>
      </c>
      <c r="I15" s="3">
        <v>0.132</v>
      </c>
      <c r="J15" s="3">
        <v>0.194</v>
      </c>
      <c r="K15" s="3">
        <v>0.156</v>
      </c>
      <c r="L15" s="4"/>
      <c r="M15" s="4"/>
      <c r="N15" s="4"/>
      <c r="O15" s="4"/>
      <c r="P15" s="4"/>
    </row>
    <row x14ac:dyDescent="0.25" r="16" customHeight="1" ht="18.75">
      <c r="A16" s="1" t="s">
        <v>1528</v>
      </c>
      <c r="B16" s="3">
        <v>0.326</v>
      </c>
      <c r="C16" s="3">
        <v>0.295</v>
      </c>
      <c r="D16" s="3">
        <v>0.163</v>
      </c>
      <c r="E16" s="3">
        <v>0.083</v>
      </c>
      <c r="F16" s="3">
        <v>0.058</v>
      </c>
      <c r="G16" s="5"/>
      <c r="H16" s="5"/>
      <c r="I16" s="5"/>
      <c r="J16" s="4"/>
      <c r="K16" s="4"/>
      <c r="L16" s="4"/>
      <c r="M16" s="4"/>
      <c r="N16" s="4"/>
      <c r="O16" s="4"/>
      <c r="P16" s="4"/>
    </row>
    <row x14ac:dyDescent="0.25" r="17" customHeight="1" ht="18.75">
      <c r="A17" s="1" t="s">
        <v>1529</v>
      </c>
      <c r="B17" s="3">
        <v>0.21</v>
      </c>
      <c r="C17" s="3">
        <v>0.452</v>
      </c>
      <c r="D17" s="3">
        <v>1.36</v>
      </c>
      <c r="E17" s="3">
        <v>0.923</v>
      </c>
      <c r="F17" s="3">
        <v>0.786</v>
      </c>
      <c r="G17" s="3">
        <v>0.7</v>
      </c>
      <c r="H17" s="3">
        <v>0.773</v>
      </c>
      <c r="I17" s="5"/>
      <c r="J17" s="4"/>
      <c r="K17" s="4"/>
      <c r="L17" s="4"/>
      <c r="M17" s="4"/>
      <c r="N17" s="4"/>
      <c r="O17" s="4"/>
      <c r="P17" s="4"/>
    </row>
    <row x14ac:dyDescent="0.25" r="18" customHeight="1" ht="18.75">
      <c r="A18" s="1" t="s">
        <v>1530</v>
      </c>
      <c r="B18" s="3">
        <v>0.006</v>
      </c>
      <c r="C18" s="3">
        <v>0.022</v>
      </c>
      <c r="D18" s="3">
        <v>0.028</v>
      </c>
      <c r="E18" s="3">
        <v>0.024</v>
      </c>
      <c r="F18" s="5"/>
      <c r="G18" s="5"/>
      <c r="H18" s="5"/>
      <c r="I18" s="5"/>
      <c r="J18" s="4"/>
      <c r="K18" s="4"/>
      <c r="L18" s="4"/>
      <c r="M18" s="4"/>
      <c r="N18" s="4"/>
      <c r="O18" s="4"/>
      <c r="P18" s="4"/>
    </row>
    <row x14ac:dyDescent="0.25" r="19" customHeight="1" ht="18.75">
      <c r="A19" s="1" t="s">
        <v>1531</v>
      </c>
      <c r="B19" s="3">
        <v>0.359</v>
      </c>
      <c r="C19" s="3">
        <v>0.326</v>
      </c>
      <c r="D19" s="3">
        <v>0.327</v>
      </c>
      <c r="E19" s="3">
        <v>0.379</v>
      </c>
      <c r="F19" s="3">
        <v>0.262</v>
      </c>
      <c r="G19" s="3">
        <v>0.163</v>
      </c>
      <c r="H19" s="5"/>
      <c r="I19" s="5"/>
      <c r="J19" s="4"/>
      <c r="K19" s="4"/>
      <c r="L19" s="4"/>
      <c r="M19" s="4"/>
      <c r="N19" s="4"/>
      <c r="O19" s="4"/>
      <c r="P19" s="4"/>
    </row>
    <row x14ac:dyDescent="0.25" r="20" customHeight="1" ht="18.75">
      <c r="A20" s="1" t="s">
        <v>1532</v>
      </c>
      <c r="B20" s="3">
        <v>0.101</v>
      </c>
      <c r="C20" s="3">
        <v>0.095</v>
      </c>
      <c r="D20" s="3">
        <v>0.144</v>
      </c>
      <c r="E20" s="3">
        <v>0.18</v>
      </c>
      <c r="F20" s="3">
        <v>0.161</v>
      </c>
      <c r="G20" s="5"/>
      <c r="H20" s="5"/>
      <c r="I20" s="5"/>
      <c r="J20" s="4"/>
      <c r="K20" s="4"/>
      <c r="L20" s="4"/>
      <c r="M20" s="4"/>
      <c r="N20" s="4"/>
      <c r="O20" s="4"/>
      <c r="P20" s="4"/>
    </row>
    <row x14ac:dyDescent="0.25" r="21" customHeight="1" ht="18.75">
      <c r="A21" s="1" t="s">
        <v>1533</v>
      </c>
      <c r="B21" s="3">
        <v>0.067</v>
      </c>
      <c r="C21" s="3">
        <v>0.06</v>
      </c>
      <c r="D21" s="3">
        <v>0.052</v>
      </c>
      <c r="E21" s="3">
        <v>0.034</v>
      </c>
      <c r="F21" s="3">
        <v>0.028</v>
      </c>
      <c r="G21" s="5"/>
      <c r="H21" s="5"/>
      <c r="I21" s="5"/>
      <c r="J21" s="4"/>
      <c r="K21" s="4"/>
      <c r="L21" s="4"/>
      <c r="M21" s="4"/>
      <c r="N21" s="4"/>
      <c r="O21" s="4"/>
      <c r="P21" s="4"/>
    </row>
    <row x14ac:dyDescent="0.25" r="22" customHeight="1" ht="18.75">
      <c r="A22" s="1" t="s">
        <v>1534</v>
      </c>
      <c r="B22" s="3">
        <v>0.343</v>
      </c>
      <c r="C22" s="3">
        <v>0.43</v>
      </c>
      <c r="D22" s="3">
        <v>0.481</v>
      </c>
      <c r="E22" s="3">
        <v>0.472</v>
      </c>
      <c r="F22" s="3">
        <v>0.356</v>
      </c>
      <c r="G22" s="3">
        <v>0.279</v>
      </c>
      <c r="H22" s="3">
        <v>0.203</v>
      </c>
      <c r="I22" s="3">
        <v>0.117</v>
      </c>
      <c r="J22" s="4"/>
      <c r="K22" s="4"/>
      <c r="L22" s="4"/>
      <c r="M22" s="4"/>
      <c r="N22" s="4"/>
      <c r="O22" s="4"/>
      <c r="P22" s="4"/>
    </row>
    <row x14ac:dyDescent="0.25" r="23" customHeight="1" ht="18.75">
      <c r="A23" s="1" t="s">
        <v>1535</v>
      </c>
      <c r="B23" s="3">
        <v>0.102</v>
      </c>
      <c r="C23" s="3">
        <v>0.099</v>
      </c>
      <c r="D23" s="3">
        <v>0.059</v>
      </c>
      <c r="E23" s="3">
        <v>0.046</v>
      </c>
      <c r="F23" s="5"/>
      <c r="G23" s="5"/>
      <c r="H23" s="5"/>
      <c r="I23" s="5"/>
      <c r="J23" s="4"/>
      <c r="K23" s="4"/>
      <c r="L23" s="4"/>
      <c r="M23" s="4"/>
      <c r="N23" s="4"/>
      <c r="O23" s="4"/>
      <c r="P23" s="4"/>
    </row>
    <row x14ac:dyDescent="0.25" r="24" customHeight="1" ht="18.75">
      <c r="A24" s="1" t="s">
        <v>1536</v>
      </c>
      <c r="B24" s="3">
        <v>3.53</v>
      </c>
      <c r="C24" s="3">
        <v>3.9</v>
      </c>
      <c r="D24" s="3">
        <v>3.86</v>
      </c>
      <c r="E24" s="3">
        <v>4.12</v>
      </c>
      <c r="F24" s="3">
        <v>3.91</v>
      </c>
      <c r="G24" s="5"/>
      <c r="H24" s="5"/>
      <c r="I24" s="5"/>
      <c r="J24" s="4"/>
      <c r="K24" s="4"/>
      <c r="L24" s="4"/>
      <c r="M24" s="4"/>
      <c r="N24" s="4"/>
      <c r="O24" s="4"/>
      <c r="P24" s="4"/>
    </row>
    <row x14ac:dyDescent="0.25" r="25" customHeight="1" ht="18.75">
      <c r="A25" s="1" t="s">
        <v>1537</v>
      </c>
      <c r="B25" s="3">
        <v>0.243</v>
      </c>
      <c r="C25" s="3">
        <v>0.66</v>
      </c>
      <c r="D25" s="3">
        <v>0.567</v>
      </c>
      <c r="E25" s="3">
        <v>0.687</v>
      </c>
      <c r="F25" s="3">
        <v>0.566</v>
      </c>
      <c r="G25" s="3">
        <v>0.539</v>
      </c>
      <c r="H25" s="5"/>
      <c r="I25" s="5"/>
      <c r="J25" s="4"/>
      <c r="K25" s="4"/>
      <c r="L25" s="4"/>
      <c r="M25" s="4"/>
      <c r="N25" s="4"/>
      <c r="O25" s="4"/>
      <c r="P25" s="4"/>
    </row>
    <row x14ac:dyDescent="0.25" r="26" customHeight="1" ht="18.75">
      <c r="A26" s="1" t="s">
        <v>1538</v>
      </c>
      <c r="B26" s="3">
        <v>0.499</v>
      </c>
      <c r="C26" s="3">
        <v>1.06</v>
      </c>
      <c r="D26" s="3">
        <v>1.23</v>
      </c>
      <c r="E26" s="3">
        <v>1.01</v>
      </c>
      <c r="F26" s="3">
        <v>6.23</v>
      </c>
      <c r="G26" s="3">
        <v>1.13</v>
      </c>
      <c r="H26" s="3">
        <v>1.38</v>
      </c>
      <c r="I26" s="3">
        <v>0.636</v>
      </c>
      <c r="J26" s="4"/>
      <c r="K26" s="4"/>
      <c r="L26" s="4"/>
      <c r="M26" s="4"/>
      <c r="N26" s="4"/>
      <c r="O26" s="4"/>
      <c r="P26" s="4"/>
    </row>
    <row x14ac:dyDescent="0.25" r="27" customHeight="1" ht="18.75">
      <c r="A27" s="1" t="s">
        <v>1539</v>
      </c>
      <c r="B27" s="3">
        <v>9.92</v>
      </c>
      <c r="C27" s="3">
        <v>8.82</v>
      </c>
      <c r="D27" s="3">
        <v>2.95</v>
      </c>
      <c r="E27" s="3">
        <v>2.93</v>
      </c>
      <c r="F27" s="3">
        <v>3.02</v>
      </c>
      <c r="G27" s="3">
        <v>2.9</v>
      </c>
      <c r="H27" s="3">
        <v>2.14</v>
      </c>
      <c r="I27" s="3">
        <v>1.68</v>
      </c>
      <c r="J27" s="4"/>
      <c r="K27" s="4"/>
      <c r="L27" s="4"/>
      <c r="M27" s="4"/>
      <c r="N27" s="4"/>
      <c r="O27" s="4"/>
      <c r="P27" s="4"/>
    </row>
    <row x14ac:dyDescent="0.25" r="28" customHeight="1" ht="18.75">
      <c r="A28" s="1" t="s">
        <v>1540</v>
      </c>
      <c r="B28" s="3">
        <v>0.795</v>
      </c>
      <c r="C28" s="3">
        <v>0.724</v>
      </c>
      <c r="D28" s="3">
        <v>0.753</v>
      </c>
      <c r="E28" s="3">
        <v>0.912</v>
      </c>
      <c r="F28" s="3">
        <v>1.08</v>
      </c>
      <c r="G28" s="3">
        <v>0.884</v>
      </c>
      <c r="H28" s="3">
        <v>1.09</v>
      </c>
      <c r="I28" s="5"/>
      <c r="J28" s="4"/>
      <c r="K28" s="4"/>
      <c r="L28" s="4"/>
      <c r="M28" s="4"/>
      <c r="N28" s="4"/>
      <c r="O28" s="4"/>
      <c r="P28" s="4"/>
    </row>
    <row x14ac:dyDescent="0.25" r="29" customHeight="1" ht="18.75">
      <c r="A29" s="1" t="s">
        <v>1541</v>
      </c>
      <c r="B29" s="3">
        <v>0.464</v>
      </c>
      <c r="C29" s="3">
        <v>2.03</v>
      </c>
      <c r="D29" s="3">
        <v>2.7</v>
      </c>
      <c r="E29" s="3">
        <v>2.28</v>
      </c>
      <c r="F29" s="3">
        <v>2.39</v>
      </c>
      <c r="G29" s="3">
        <v>2.23</v>
      </c>
      <c r="H29" s="3">
        <v>1.47</v>
      </c>
      <c r="I29" s="5"/>
      <c r="J29" s="4"/>
      <c r="K29" s="4"/>
      <c r="L29" s="4"/>
      <c r="M29" s="4"/>
      <c r="N29" s="4"/>
      <c r="O29" s="4"/>
      <c r="P29" s="4"/>
    </row>
    <row x14ac:dyDescent="0.25" r="30" customHeight="1" ht="18.75">
      <c r="A30" s="1" t="s">
        <v>1542</v>
      </c>
      <c r="B30" s="3">
        <v>0.083</v>
      </c>
      <c r="C30" s="3">
        <v>0.132</v>
      </c>
      <c r="D30" s="3">
        <v>0.457</v>
      </c>
      <c r="E30" s="3">
        <v>0.823</v>
      </c>
      <c r="F30" s="3">
        <v>0.682</v>
      </c>
      <c r="G30" s="3">
        <v>0.74</v>
      </c>
      <c r="H30" s="3">
        <v>0.841</v>
      </c>
      <c r="I30" s="5"/>
      <c r="J30" s="4"/>
      <c r="K30" s="4"/>
      <c r="L30" s="4"/>
      <c r="M30" s="4"/>
      <c r="N30" s="4"/>
      <c r="O30" s="4"/>
      <c r="P30" s="4"/>
    </row>
    <row x14ac:dyDescent="0.25" r="31" customHeight="1" ht="18.75">
      <c r="A31" s="1" t="s">
        <v>1543</v>
      </c>
      <c r="B31" s="3">
        <v>0.188</v>
      </c>
      <c r="C31" s="3">
        <v>0.246</v>
      </c>
      <c r="D31" s="3">
        <v>0.237</v>
      </c>
      <c r="E31" s="3">
        <v>0.237</v>
      </c>
      <c r="F31" s="3">
        <v>0.19</v>
      </c>
      <c r="G31" s="3">
        <v>0.348</v>
      </c>
      <c r="H31" s="3">
        <v>0.361</v>
      </c>
      <c r="I31" s="3">
        <v>0.335</v>
      </c>
      <c r="J31" s="4"/>
      <c r="K31" s="4"/>
      <c r="L31" s="4"/>
      <c r="M31" s="4"/>
      <c r="N31" s="4"/>
      <c r="O31" s="4"/>
      <c r="P31" s="4"/>
    </row>
    <row x14ac:dyDescent="0.25" r="32" customHeight="1" ht="18.75">
      <c r="A32" s="1" t="s">
        <v>1544</v>
      </c>
      <c r="B32" s="3">
        <v>2.56</v>
      </c>
      <c r="C32" s="3">
        <v>2.55</v>
      </c>
      <c r="D32" s="3">
        <v>2.2</v>
      </c>
      <c r="E32" s="3">
        <v>1.74</v>
      </c>
      <c r="F32" s="3">
        <v>0.812</v>
      </c>
      <c r="G32" s="5"/>
      <c r="H32" s="5"/>
      <c r="I32" s="5"/>
      <c r="J32" s="4"/>
      <c r="K32" s="4"/>
      <c r="L32" s="4"/>
      <c r="M32" s="4"/>
      <c r="N32" s="4"/>
      <c r="O32" s="4"/>
      <c r="P32" s="4"/>
    </row>
    <row x14ac:dyDescent="0.25" r="33" customHeight="1" ht="18.75">
      <c r="A33" s="1" t="s">
        <v>1545</v>
      </c>
      <c r="B33" s="3">
        <v>0.289</v>
      </c>
      <c r="C33" s="3">
        <v>0.586</v>
      </c>
      <c r="D33" s="3">
        <v>1.03</v>
      </c>
      <c r="E33" s="3">
        <v>0.756</v>
      </c>
      <c r="F33" s="3">
        <v>0.878</v>
      </c>
      <c r="G33" s="5"/>
      <c r="H33" s="5"/>
      <c r="I33" s="5"/>
      <c r="J33" s="4"/>
      <c r="K33" s="4"/>
      <c r="L33" s="4"/>
      <c r="M33" s="4"/>
      <c r="N33" s="4"/>
      <c r="O33" s="4"/>
      <c r="P33" s="4"/>
    </row>
    <row x14ac:dyDescent="0.25" r="34" customHeight="1" ht="18.75">
      <c r="A34" s="1" t="s">
        <v>1546</v>
      </c>
      <c r="B34" s="3">
        <v>8.49</v>
      </c>
      <c r="C34" s="3">
        <v>2.3</v>
      </c>
      <c r="D34" s="3">
        <v>1.4</v>
      </c>
      <c r="E34" s="3">
        <v>1.47</v>
      </c>
      <c r="F34" s="5"/>
      <c r="G34" s="5"/>
      <c r="H34" s="5"/>
      <c r="I34" s="5"/>
      <c r="J34" s="4"/>
      <c r="K34" s="4"/>
      <c r="L34" s="4"/>
      <c r="M34" s="4"/>
      <c r="N34" s="4"/>
      <c r="O34" s="4"/>
      <c r="P34" s="4"/>
    </row>
    <row x14ac:dyDescent="0.25" r="35" customHeight="1" ht="18.75">
      <c r="A35" s="1" t="s">
        <v>1547</v>
      </c>
      <c r="B35" s="3">
        <v>0.318</v>
      </c>
      <c r="C35" s="3">
        <v>1.52</v>
      </c>
      <c r="D35" s="3">
        <v>1.75</v>
      </c>
      <c r="E35" s="3">
        <v>1.68</v>
      </c>
      <c r="F35" s="3">
        <v>2.22</v>
      </c>
      <c r="G35" s="5"/>
      <c r="H35" s="5"/>
      <c r="I35" s="5"/>
      <c r="J35" s="4"/>
      <c r="K35" s="4"/>
      <c r="L35" s="4"/>
      <c r="M35" s="4"/>
      <c r="N35" s="4"/>
      <c r="O35" s="4"/>
      <c r="P35" s="4"/>
    </row>
    <row x14ac:dyDescent="0.25" r="36" customHeight="1" ht="18.75">
      <c r="A36" s="1" t="s">
        <v>1476</v>
      </c>
      <c r="B36" s="3">
        <v>0.514</v>
      </c>
      <c r="C36" s="3">
        <v>0.618</v>
      </c>
      <c r="D36" s="3">
        <v>0.542</v>
      </c>
      <c r="E36" s="3">
        <v>0.579</v>
      </c>
      <c r="F36" s="3">
        <v>0.422</v>
      </c>
      <c r="G36" s="3">
        <v>0.366</v>
      </c>
      <c r="H36" s="5"/>
      <c r="I36" s="5"/>
      <c r="J36" s="4"/>
      <c r="K36" s="4"/>
      <c r="L36" s="4"/>
      <c r="M36" s="4"/>
      <c r="N36" s="4"/>
      <c r="O36" s="4"/>
      <c r="P36" s="4"/>
    </row>
    <row x14ac:dyDescent="0.25" r="37" customHeight="1" ht="18.75">
      <c r="A37" s="1" t="s">
        <v>1477</v>
      </c>
      <c r="B37" s="3">
        <v>0.059</v>
      </c>
      <c r="C37" s="3">
        <v>0.0782</v>
      </c>
      <c r="D37" s="3">
        <v>0.078</v>
      </c>
      <c r="E37" s="3">
        <v>0.072</v>
      </c>
      <c r="F37" s="5"/>
      <c r="G37" s="5"/>
      <c r="H37" s="5"/>
      <c r="I37" s="5"/>
      <c r="J37" s="4"/>
      <c r="K37" s="4"/>
      <c r="L37" s="4"/>
      <c r="M37" s="4"/>
      <c r="N37" s="4"/>
      <c r="O37" s="4"/>
      <c r="P37" s="4"/>
    </row>
    <row x14ac:dyDescent="0.25" r="38" customHeight="1" ht="18.75">
      <c r="A38" s="1" t="s">
        <v>1478</v>
      </c>
      <c r="B38" s="3">
        <v>0.194</v>
      </c>
      <c r="C38" s="3">
        <v>0.789</v>
      </c>
      <c r="D38" s="3">
        <v>0.531</v>
      </c>
      <c r="E38" s="3">
        <v>0.818</v>
      </c>
      <c r="F38" s="3">
        <v>0.761</v>
      </c>
      <c r="G38" s="5"/>
      <c r="H38" s="5"/>
      <c r="I38" s="5"/>
      <c r="J38" s="4"/>
      <c r="K38" s="4"/>
      <c r="L38" s="4"/>
      <c r="M38" s="4"/>
      <c r="N38" s="4"/>
      <c r="O38" s="4"/>
      <c r="P38" s="4"/>
    </row>
    <row x14ac:dyDescent="0.25" r="39" customHeight="1" ht="18.75">
      <c r="A39" s="1" t="s">
        <v>1479</v>
      </c>
      <c r="B39" s="3">
        <v>0.205</v>
      </c>
      <c r="C39" s="3">
        <v>0.127</v>
      </c>
      <c r="D39" s="3">
        <v>0.196</v>
      </c>
      <c r="E39" s="3">
        <v>0.278</v>
      </c>
      <c r="F39" s="3">
        <v>0.184</v>
      </c>
      <c r="G39" s="3">
        <v>0.182</v>
      </c>
      <c r="H39" s="5"/>
      <c r="I39" s="5"/>
      <c r="J39" s="4"/>
      <c r="K39" s="4"/>
      <c r="L39" s="4"/>
      <c r="M39" s="4"/>
      <c r="N39" s="4"/>
      <c r="O39" s="4"/>
      <c r="P39" s="4"/>
    </row>
    <row x14ac:dyDescent="0.25" r="40" customHeight="1" ht="18.75">
      <c r="A40" s="1" t="s">
        <v>1480</v>
      </c>
      <c r="B40" s="3">
        <v>0.335</v>
      </c>
      <c r="C40" s="3">
        <v>0.296</v>
      </c>
      <c r="D40" s="3">
        <v>0.236</v>
      </c>
      <c r="E40" s="3">
        <v>0.237</v>
      </c>
      <c r="F40" s="3">
        <v>0.411</v>
      </c>
      <c r="G40" s="3">
        <v>0.255</v>
      </c>
      <c r="H40" s="3">
        <v>0.298</v>
      </c>
      <c r="I40" s="3">
        <v>0.351</v>
      </c>
      <c r="J40" s="3">
        <v>0.341</v>
      </c>
      <c r="K40" s="4"/>
      <c r="L40" s="4"/>
      <c r="M40" s="4"/>
      <c r="N40" s="4"/>
      <c r="O40" s="4"/>
      <c r="P40" s="4"/>
    </row>
    <row x14ac:dyDescent="0.25" r="41" customHeight="1" ht="18.75">
      <c r="A41" s="1" t="s">
        <v>1481</v>
      </c>
      <c r="B41" s="3">
        <v>0.16</v>
      </c>
      <c r="C41" s="3">
        <v>0.32</v>
      </c>
      <c r="D41" s="3">
        <v>0.249</v>
      </c>
      <c r="E41" s="3">
        <v>0.271</v>
      </c>
      <c r="F41" s="3">
        <v>0.29</v>
      </c>
      <c r="G41" s="3">
        <v>0.296</v>
      </c>
      <c r="H41" s="3">
        <v>0.235</v>
      </c>
      <c r="I41" s="3">
        <v>0.169</v>
      </c>
      <c r="J41" s="4"/>
      <c r="K41" s="4"/>
      <c r="L41" s="4"/>
      <c r="M41" s="4"/>
      <c r="N41" s="4"/>
      <c r="O41" s="4"/>
      <c r="P41" s="4"/>
    </row>
    <row x14ac:dyDescent="0.25" r="42" customHeight="1" ht="18.75">
      <c r="A42" s="1" t="s">
        <v>1482</v>
      </c>
      <c r="B42" s="3">
        <v>0.118</v>
      </c>
      <c r="C42" s="3">
        <v>0.147</v>
      </c>
      <c r="D42" s="3">
        <v>0.158</v>
      </c>
      <c r="E42" s="3">
        <v>0.149</v>
      </c>
      <c r="F42" s="3">
        <v>0.135</v>
      </c>
      <c r="G42" s="3">
        <v>0.144</v>
      </c>
      <c r="H42" s="5"/>
      <c r="I42" s="5"/>
      <c r="J42" s="4"/>
      <c r="K42" s="4"/>
      <c r="L42" s="4"/>
      <c r="M42" s="4"/>
      <c r="N42" s="4"/>
      <c r="O42" s="4"/>
      <c r="P42" s="4"/>
    </row>
    <row x14ac:dyDescent="0.25" r="43" customHeight="1" ht="18.75">
      <c r="A43" s="1" t="s">
        <v>1483</v>
      </c>
      <c r="B43" s="3">
        <v>0.621</v>
      </c>
      <c r="C43" s="3">
        <v>0.317</v>
      </c>
      <c r="D43" s="3">
        <v>0.308</v>
      </c>
      <c r="E43" s="3">
        <v>0.379</v>
      </c>
      <c r="F43" s="3">
        <v>0.263</v>
      </c>
      <c r="G43" s="3">
        <v>0.288</v>
      </c>
      <c r="H43" s="5"/>
      <c r="I43" s="5"/>
      <c r="J43" s="4"/>
      <c r="K43" s="4"/>
      <c r="L43" s="4"/>
      <c r="M43" s="4"/>
      <c r="N43" s="4"/>
      <c r="O43" s="4"/>
      <c r="P43" s="4"/>
    </row>
    <row x14ac:dyDescent="0.25" r="44" customHeight="1" ht="18.75">
      <c r="A44" s="1" t="s">
        <v>1484</v>
      </c>
      <c r="B44" s="3">
        <v>0.466</v>
      </c>
      <c r="C44" s="3">
        <v>0.539</v>
      </c>
      <c r="D44" s="3">
        <v>0.417</v>
      </c>
      <c r="E44" s="3">
        <v>0.375</v>
      </c>
      <c r="F44" s="3">
        <v>0.472</v>
      </c>
      <c r="G44" s="5"/>
      <c r="H44" s="5"/>
      <c r="I44" s="5"/>
      <c r="J44" s="4"/>
      <c r="K44" s="4"/>
      <c r="L44" s="4"/>
      <c r="M44" s="4"/>
      <c r="N44" s="4"/>
      <c r="O44" s="4"/>
      <c r="P44" s="4"/>
    </row>
    <row x14ac:dyDescent="0.25" r="45" customHeight="1" ht="18.75">
      <c r="A45" s="1" t="s">
        <v>1485</v>
      </c>
      <c r="B45" s="3">
        <v>3.35</v>
      </c>
      <c r="C45" s="3">
        <v>3.2</v>
      </c>
      <c r="D45" s="3">
        <v>2.34</v>
      </c>
      <c r="E45" s="3">
        <v>2.93</v>
      </c>
      <c r="F45" s="3">
        <v>2.24</v>
      </c>
      <c r="G45" s="3">
        <v>1.68</v>
      </c>
      <c r="H45" s="3">
        <v>2.29</v>
      </c>
      <c r="I45" s="3">
        <v>1.66</v>
      </c>
      <c r="J45" s="3">
        <v>1.09</v>
      </c>
      <c r="K45" s="3">
        <v>0.819</v>
      </c>
      <c r="L45" s="3">
        <v>0.652</v>
      </c>
      <c r="M45" s="3">
        <v>0.64</v>
      </c>
      <c r="N45" s="4"/>
      <c r="O45" s="4"/>
      <c r="P45" s="4"/>
    </row>
    <row x14ac:dyDescent="0.25" r="46" customHeight="1" ht="18.75">
      <c r="A46" s="1" t="s">
        <v>1486</v>
      </c>
      <c r="B46" s="3">
        <v>0.125</v>
      </c>
      <c r="C46" s="3">
        <v>0.143</v>
      </c>
      <c r="D46" s="3">
        <v>0.133</v>
      </c>
      <c r="E46" s="3">
        <v>0.105</v>
      </c>
      <c r="F46" s="3">
        <v>0.1</v>
      </c>
      <c r="G46" s="3">
        <v>0.046</v>
      </c>
      <c r="H46" s="3">
        <v>0.027</v>
      </c>
      <c r="I46" s="3">
        <v>0.021</v>
      </c>
      <c r="J46" s="3">
        <v>0.021</v>
      </c>
      <c r="K46" s="3">
        <v>0.02</v>
      </c>
      <c r="L46" s="4"/>
      <c r="M46" s="4"/>
      <c r="N46" s="4"/>
      <c r="O46" s="4"/>
      <c r="P46" s="4"/>
    </row>
    <row x14ac:dyDescent="0.25" r="47" customHeight="1" ht="18.75">
      <c r="A47" s="1" t="s">
        <v>1487</v>
      </c>
      <c r="B47" s="3">
        <v>1.33</v>
      </c>
      <c r="C47" s="3">
        <v>1.12</v>
      </c>
      <c r="D47" s="25">
        <v>1.3944444444444444</v>
      </c>
      <c r="E47" s="3">
        <v>1.47</v>
      </c>
      <c r="F47" s="3">
        <v>1.63</v>
      </c>
      <c r="G47" s="3">
        <v>1.5</v>
      </c>
      <c r="H47" s="3">
        <v>1.25</v>
      </c>
      <c r="I47" s="3">
        <v>0.695</v>
      </c>
      <c r="J47" s="3">
        <v>0.338</v>
      </c>
      <c r="K47" s="3">
        <v>0.222</v>
      </c>
      <c r="L47" s="4"/>
      <c r="M47" s="4"/>
      <c r="N47" s="4"/>
      <c r="O47" s="4"/>
      <c r="P47" s="4"/>
    </row>
    <row x14ac:dyDescent="0.25" r="48" customHeight="1" ht="18.75">
      <c r="A48" s="1" t="s">
        <v>1488</v>
      </c>
      <c r="B48" s="3">
        <v>0.045</v>
      </c>
      <c r="C48" s="3">
        <v>0.045</v>
      </c>
      <c r="D48" s="3">
        <v>0.08</v>
      </c>
      <c r="E48" s="3">
        <v>0.059</v>
      </c>
      <c r="F48" s="3">
        <v>0.055</v>
      </c>
      <c r="G48" s="3">
        <v>0.055</v>
      </c>
      <c r="H48" s="3">
        <v>0.066</v>
      </c>
      <c r="I48" s="3">
        <v>0.055</v>
      </c>
      <c r="J48" s="4"/>
      <c r="K48" s="4"/>
      <c r="L48" s="4"/>
      <c r="M48" s="4"/>
      <c r="N48" s="4"/>
      <c r="O48" s="4"/>
      <c r="P48" s="4"/>
    </row>
    <row x14ac:dyDescent="0.25" r="49" customHeight="1" ht="18.75">
      <c r="A49" s="1" t="s">
        <v>1489</v>
      </c>
      <c r="B49" s="3">
        <v>0.475</v>
      </c>
      <c r="C49" s="3">
        <v>0.476</v>
      </c>
      <c r="D49" s="3">
        <v>0.624</v>
      </c>
      <c r="E49" s="3">
        <v>0.624</v>
      </c>
      <c r="F49" s="3">
        <v>0.733</v>
      </c>
      <c r="G49" s="3">
        <v>0.515</v>
      </c>
      <c r="H49" s="3">
        <v>0.497</v>
      </c>
      <c r="I49" s="3">
        <v>0.426</v>
      </c>
      <c r="J49" s="4"/>
      <c r="K49" s="4"/>
      <c r="L49" s="4"/>
      <c r="M49" s="4"/>
      <c r="N49" s="4"/>
      <c r="O49" s="4"/>
      <c r="P49" s="4"/>
    </row>
    <row x14ac:dyDescent="0.25" r="50" customHeight="1" ht="18.75">
      <c r="A50" s="1" t="s">
        <v>1490</v>
      </c>
      <c r="B50" s="3">
        <v>0.022</v>
      </c>
      <c r="C50" s="3">
        <v>0.075</v>
      </c>
      <c r="D50" s="3">
        <v>5.52</v>
      </c>
      <c r="E50" s="3">
        <v>0.268</v>
      </c>
      <c r="F50" s="3">
        <v>0.329</v>
      </c>
      <c r="G50" s="3">
        <v>0.439</v>
      </c>
      <c r="H50" s="3">
        <v>0.448</v>
      </c>
      <c r="I50" s="3">
        <v>0.384</v>
      </c>
      <c r="J50" s="4"/>
      <c r="K50" s="4"/>
      <c r="L50" s="4"/>
      <c r="M50" s="4"/>
      <c r="N50" s="4"/>
      <c r="O50" s="4"/>
      <c r="P50" s="4"/>
    </row>
    <row x14ac:dyDescent="0.25" r="51" customHeight="1" ht="18.75">
      <c r="A51" s="1" t="s">
        <v>1491</v>
      </c>
      <c r="B51" s="3">
        <v>0.54</v>
      </c>
      <c r="C51" s="3">
        <v>0.476</v>
      </c>
      <c r="D51" s="3">
        <v>0.535</v>
      </c>
      <c r="E51" s="3">
        <v>1.36</v>
      </c>
      <c r="F51" s="3">
        <v>0.94</v>
      </c>
      <c r="G51" s="6">
        <v>1</v>
      </c>
      <c r="H51" s="3">
        <v>0.886</v>
      </c>
      <c r="I51" s="3">
        <v>0.828</v>
      </c>
      <c r="J51" s="3">
        <v>0.91</v>
      </c>
      <c r="K51" s="3">
        <v>0.817</v>
      </c>
      <c r="L51" s="3">
        <v>0.74</v>
      </c>
      <c r="M51" s="3">
        <v>0.532</v>
      </c>
      <c r="N51" s="4"/>
      <c r="O51" s="4"/>
      <c r="P51" s="4"/>
    </row>
    <row x14ac:dyDescent="0.25" r="52" customHeight="1" ht="18.75">
      <c r="A52" s="1" t="s">
        <v>1492</v>
      </c>
      <c r="B52" s="3">
        <v>0.267</v>
      </c>
      <c r="C52" s="3">
        <v>0.833</v>
      </c>
      <c r="D52" s="3">
        <v>1.82</v>
      </c>
      <c r="E52" s="3">
        <v>1.04</v>
      </c>
      <c r="F52" s="3">
        <v>1.2</v>
      </c>
      <c r="G52" s="3">
        <v>1.03</v>
      </c>
      <c r="H52" s="3">
        <v>0.593</v>
      </c>
      <c r="I52" s="5"/>
      <c r="J52" s="4"/>
      <c r="K52" s="4"/>
      <c r="L52" s="4"/>
      <c r="M52" s="4"/>
      <c r="N52" s="4"/>
      <c r="O52" s="4"/>
      <c r="P52" s="4"/>
    </row>
    <row x14ac:dyDescent="0.25" r="53" customHeight="1" ht="18.75">
      <c r="A53" s="1" t="s">
        <v>1493</v>
      </c>
      <c r="B53" s="3">
        <v>0.096</v>
      </c>
      <c r="C53" s="3">
        <v>0.098</v>
      </c>
      <c r="D53" s="3">
        <v>0.106</v>
      </c>
      <c r="E53" s="3">
        <v>0.075</v>
      </c>
      <c r="F53" s="3">
        <v>0.082</v>
      </c>
      <c r="G53" s="3">
        <v>0.126</v>
      </c>
      <c r="H53" s="3">
        <v>0.137</v>
      </c>
      <c r="I53" s="3">
        <v>0.139</v>
      </c>
      <c r="J53" s="4"/>
      <c r="K53" s="4"/>
      <c r="L53" s="4"/>
      <c r="M53" s="4"/>
      <c r="N53" s="4"/>
      <c r="O53" s="4"/>
      <c r="P53" s="4"/>
    </row>
    <row x14ac:dyDescent="0.25" r="54" customHeight="1" ht="18.75">
      <c r="A54" s="1" t="s">
        <v>1494</v>
      </c>
      <c r="B54" s="3">
        <v>0.798</v>
      </c>
      <c r="C54" s="3">
        <v>1.95</v>
      </c>
      <c r="D54" s="3">
        <v>5.08</v>
      </c>
      <c r="E54" s="3">
        <v>4.74</v>
      </c>
      <c r="F54" s="3">
        <v>4.32</v>
      </c>
      <c r="G54" s="3">
        <v>3.05</v>
      </c>
      <c r="H54" s="3">
        <v>1.78</v>
      </c>
      <c r="I54" s="5"/>
      <c r="J54" s="4"/>
      <c r="K54" s="4"/>
      <c r="L54" s="4"/>
      <c r="M54" s="4"/>
      <c r="N54" s="4"/>
      <c r="O54" s="4"/>
      <c r="P54" s="4"/>
    </row>
    <row x14ac:dyDescent="0.25" r="55" customHeight="1" ht="18.75">
      <c r="A55" s="1" t="s">
        <v>1495</v>
      </c>
      <c r="B55" s="3">
        <v>0.046</v>
      </c>
      <c r="C55" s="3">
        <v>0.045</v>
      </c>
      <c r="D55" s="3">
        <v>0.18</v>
      </c>
      <c r="E55" s="3">
        <v>0.171</v>
      </c>
      <c r="F55" s="3">
        <v>0.172</v>
      </c>
      <c r="G55" s="3">
        <v>0.13</v>
      </c>
      <c r="H55" s="3">
        <v>0.1</v>
      </c>
      <c r="I55" s="3">
        <v>0.09</v>
      </c>
      <c r="J55" s="3">
        <v>0.077</v>
      </c>
      <c r="K55" s="3">
        <v>0.055</v>
      </c>
      <c r="L55" s="4"/>
      <c r="M55" s="4"/>
      <c r="N55" s="4"/>
      <c r="O55" s="4"/>
      <c r="P55" s="4"/>
    </row>
    <row x14ac:dyDescent="0.25" r="56" customHeight="1" ht="18.75">
      <c r="A56" s="1" t="s">
        <v>1496</v>
      </c>
      <c r="B56" s="3">
        <v>0.873</v>
      </c>
      <c r="C56" s="3">
        <v>0.813</v>
      </c>
      <c r="D56" s="3">
        <v>0.962</v>
      </c>
      <c r="E56" s="3">
        <v>0.864</v>
      </c>
      <c r="F56" s="3">
        <v>0.832</v>
      </c>
      <c r="G56" s="3">
        <v>0.605</v>
      </c>
      <c r="H56" s="5"/>
      <c r="I56" s="5"/>
      <c r="J56" s="4"/>
      <c r="K56" s="4"/>
      <c r="L56" s="4"/>
      <c r="M56" s="4"/>
      <c r="N56" s="4"/>
      <c r="O56" s="4"/>
      <c r="P56" s="4"/>
    </row>
    <row x14ac:dyDescent="0.25" r="57" customHeight="1" ht="18.75">
      <c r="A57" s="1" t="s">
        <v>1497</v>
      </c>
      <c r="B57" s="3">
        <v>0.477</v>
      </c>
      <c r="C57" s="3">
        <v>0.626</v>
      </c>
      <c r="D57" s="3">
        <v>0.856</v>
      </c>
      <c r="E57" s="3">
        <v>0.813</v>
      </c>
      <c r="F57" s="3">
        <v>0.871</v>
      </c>
      <c r="G57" s="3">
        <v>0.859</v>
      </c>
      <c r="H57" s="3">
        <v>0.877</v>
      </c>
      <c r="I57" s="6">
        <v>1</v>
      </c>
      <c r="J57" s="3">
        <v>1.26</v>
      </c>
      <c r="K57" s="3">
        <v>1.05</v>
      </c>
      <c r="L57" s="6">
        <v>1</v>
      </c>
      <c r="M57" s="4"/>
      <c r="N57" s="4"/>
      <c r="O57" s="4"/>
      <c r="P57" s="4"/>
    </row>
    <row x14ac:dyDescent="0.25" r="58" customHeight="1" ht="18.75">
      <c r="A58" s="1" t="s">
        <v>1498</v>
      </c>
      <c r="B58" s="3">
        <v>0.01</v>
      </c>
      <c r="C58" s="3">
        <v>0.01</v>
      </c>
      <c r="D58" s="3">
        <v>0.087</v>
      </c>
      <c r="E58" s="3">
        <v>0.085</v>
      </c>
      <c r="F58" s="3">
        <v>0.108</v>
      </c>
      <c r="G58" s="3">
        <v>0.093</v>
      </c>
      <c r="H58" s="3">
        <v>0.089</v>
      </c>
      <c r="I58" s="5"/>
      <c r="J58" s="4"/>
      <c r="K58" s="4"/>
      <c r="L58" s="4"/>
      <c r="M58" s="4"/>
      <c r="N58" s="4"/>
      <c r="O58" s="4"/>
      <c r="P58" s="4"/>
    </row>
    <row x14ac:dyDescent="0.25" r="59" customHeight="1" ht="18.75">
      <c r="A59" s="1" t="s">
        <v>1499</v>
      </c>
      <c r="B59" s="3">
        <v>0.014</v>
      </c>
      <c r="C59" s="3">
        <v>0.013</v>
      </c>
      <c r="D59" s="3">
        <v>0.122</v>
      </c>
      <c r="E59" s="3">
        <v>0.176</v>
      </c>
      <c r="F59" s="3">
        <v>0.11</v>
      </c>
      <c r="G59" s="3">
        <v>0.141</v>
      </c>
      <c r="H59" s="3">
        <v>0.154</v>
      </c>
      <c r="I59" s="3">
        <v>0.135</v>
      </c>
      <c r="J59" s="4"/>
      <c r="K59" s="4"/>
      <c r="L59" s="4"/>
      <c r="M59" s="4"/>
      <c r="N59" s="4"/>
      <c r="O59" s="4"/>
      <c r="P59" s="4"/>
    </row>
    <row x14ac:dyDescent="0.25" r="60" customHeight="1" ht="18.75">
      <c r="A60" s="1" t="s">
        <v>1500</v>
      </c>
      <c r="B60" s="3">
        <v>0.137</v>
      </c>
      <c r="C60" s="3">
        <v>0.117</v>
      </c>
      <c r="D60" s="3">
        <v>0.12</v>
      </c>
      <c r="E60" s="3">
        <v>0.151</v>
      </c>
      <c r="F60" s="3">
        <v>0.144</v>
      </c>
      <c r="G60" s="3">
        <v>0.112</v>
      </c>
      <c r="H60" s="5"/>
      <c r="I60" s="5"/>
      <c r="J60" s="4"/>
      <c r="K60" s="4"/>
      <c r="L60" s="4"/>
      <c r="M60" s="4"/>
      <c r="N60" s="4"/>
      <c r="O60" s="4"/>
      <c r="P60" s="4"/>
    </row>
    <row x14ac:dyDescent="0.25" r="61" customHeight="1" ht="18.75">
      <c r="A61" s="1" t="s">
        <v>863</v>
      </c>
      <c r="B61" s="3">
        <v>0.0535</v>
      </c>
      <c r="C61" s="3">
        <v>0.0577</v>
      </c>
      <c r="D61" s="3">
        <v>0.0438</v>
      </c>
      <c r="E61" s="3">
        <v>0.0342</v>
      </c>
      <c r="F61" s="3">
        <v>0.0315</v>
      </c>
      <c r="G61" s="3">
        <v>0.024399999999999998</v>
      </c>
      <c r="H61" s="3">
        <v>0.019</v>
      </c>
      <c r="I61" s="3">
        <v>0.0128</v>
      </c>
      <c r="J61" s="4"/>
      <c r="K61" s="4"/>
      <c r="L61" s="4"/>
      <c r="M61" s="4"/>
      <c r="N61" s="4"/>
      <c r="O61" s="4"/>
      <c r="P61" s="4"/>
    </row>
    <row x14ac:dyDescent="0.25" r="62" customHeight="1" ht="18.75">
      <c r="A62" s="1" t="s">
        <v>872</v>
      </c>
      <c r="B62" s="3">
        <v>0.0181</v>
      </c>
      <c r="C62" s="3">
        <v>0.012199999999999999</v>
      </c>
      <c r="D62" s="3">
        <v>0.0081</v>
      </c>
      <c r="E62" s="3">
        <v>0.0057</v>
      </c>
      <c r="F62" s="3">
        <v>0.0126</v>
      </c>
      <c r="G62" s="3">
        <v>0.0076</v>
      </c>
      <c r="H62" s="3">
        <v>0.0077</v>
      </c>
      <c r="I62" s="5"/>
      <c r="J62" s="4"/>
      <c r="K62" s="4"/>
      <c r="L62" s="4"/>
      <c r="M62" s="4"/>
      <c r="N62" s="4"/>
      <c r="O62" s="4"/>
      <c r="P62" s="4"/>
    </row>
    <row x14ac:dyDescent="0.25" r="63" customHeight="1" ht="18.75">
      <c r="A63" s="1" t="s">
        <v>880</v>
      </c>
      <c r="B63" s="3">
        <v>0.158</v>
      </c>
      <c r="C63" s="3">
        <v>0.144</v>
      </c>
      <c r="D63" s="3">
        <v>0.11</v>
      </c>
      <c r="E63" s="3">
        <v>0.127</v>
      </c>
      <c r="F63" s="3">
        <v>0.157</v>
      </c>
      <c r="G63" s="3">
        <v>0.153</v>
      </c>
      <c r="H63" s="5"/>
      <c r="I63" s="5"/>
      <c r="J63" s="4"/>
      <c r="K63" s="4"/>
      <c r="L63" s="4"/>
      <c r="M63" s="4"/>
      <c r="N63" s="4"/>
      <c r="O63" s="4"/>
      <c r="P63" s="4"/>
    </row>
    <row x14ac:dyDescent="0.25" r="64" customHeight="1" ht="18.75">
      <c r="A64" s="1" t="s">
        <v>887</v>
      </c>
      <c r="B64" s="3">
        <v>0.055</v>
      </c>
      <c r="C64" s="3">
        <v>0.049</v>
      </c>
      <c r="D64" s="3">
        <v>0.104</v>
      </c>
      <c r="E64" s="3">
        <v>0.249</v>
      </c>
      <c r="F64" s="3">
        <v>0.173</v>
      </c>
      <c r="G64" s="3">
        <v>0.134</v>
      </c>
      <c r="H64" s="5"/>
      <c r="I64" s="5"/>
      <c r="J64" s="4"/>
      <c r="K64" s="4"/>
      <c r="L64" s="4"/>
      <c r="M64" s="4"/>
      <c r="N64" s="4"/>
      <c r="O64" s="4"/>
      <c r="P64" s="4"/>
    </row>
    <row x14ac:dyDescent="0.25" r="65" customHeight="1" ht="18.75">
      <c r="A65" s="1" t="s">
        <v>894</v>
      </c>
      <c r="B65" s="3">
        <v>0.08</v>
      </c>
      <c r="C65" s="3">
        <v>0.126</v>
      </c>
      <c r="D65" s="3">
        <v>0.135</v>
      </c>
      <c r="E65" s="3">
        <v>0.128</v>
      </c>
      <c r="F65" s="3">
        <v>0.12</v>
      </c>
      <c r="G65" s="3">
        <v>0.13</v>
      </c>
      <c r="H65" s="5"/>
      <c r="I65" s="5"/>
      <c r="J65" s="4"/>
      <c r="K65" s="4"/>
      <c r="L65" s="4"/>
      <c r="M65" s="4"/>
      <c r="N65" s="4"/>
      <c r="O65" s="4"/>
      <c r="P65" s="4"/>
    </row>
    <row x14ac:dyDescent="0.25" r="66" customHeight="1" ht="18.75">
      <c r="A66" s="1" t="s">
        <v>901</v>
      </c>
      <c r="B66" s="3">
        <v>0.3323</v>
      </c>
      <c r="C66" s="3">
        <v>1.23</v>
      </c>
      <c r="D66" s="3">
        <v>1.033</v>
      </c>
      <c r="E66" s="3">
        <v>0.5411</v>
      </c>
      <c r="F66" s="3">
        <v>0.6142000000000001</v>
      </c>
      <c r="G66" s="3">
        <v>0.6804</v>
      </c>
      <c r="H66" s="5"/>
      <c r="I66" s="5"/>
      <c r="J66" s="4"/>
      <c r="K66" s="4"/>
      <c r="L66" s="4"/>
      <c r="M66" s="4"/>
      <c r="N66" s="4"/>
      <c r="O66" s="4"/>
      <c r="P66" s="4"/>
    </row>
    <row x14ac:dyDescent="0.25" r="67" customHeight="1" ht="18.75">
      <c r="A67" s="1" t="s">
        <v>908</v>
      </c>
      <c r="B67" s="3">
        <v>1.64</v>
      </c>
      <c r="C67" s="3">
        <v>1.9</v>
      </c>
      <c r="D67" s="3">
        <v>2.39</v>
      </c>
      <c r="E67" s="3">
        <v>2.62</v>
      </c>
      <c r="F67" s="3">
        <v>1.63</v>
      </c>
      <c r="G67" s="3">
        <v>1.16</v>
      </c>
      <c r="H67" s="3">
        <v>1.1</v>
      </c>
      <c r="I67" s="3">
        <v>0.796</v>
      </c>
      <c r="J67" s="3">
        <v>0.407</v>
      </c>
      <c r="K67" s="3">
        <v>0.271</v>
      </c>
      <c r="L67" s="3">
        <v>0.183</v>
      </c>
      <c r="M67" s="3">
        <v>0.132</v>
      </c>
      <c r="N67" s="3">
        <v>0.069</v>
      </c>
      <c r="O67" s="3">
        <v>0.054</v>
      </c>
      <c r="P67" s="3">
        <v>0.042</v>
      </c>
    </row>
    <row x14ac:dyDescent="0.25" r="68" customHeight="1" ht="18.75">
      <c r="A68" s="1" t="s">
        <v>921</v>
      </c>
      <c r="B68" s="3">
        <v>0.974</v>
      </c>
      <c r="C68" s="3">
        <v>1.08</v>
      </c>
      <c r="D68" s="3">
        <v>0.643</v>
      </c>
      <c r="E68" s="3">
        <v>0.781</v>
      </c>
      <c r="F68" s="3">
        <v>0.905</v>
      </c>
      <c r="G68" s="3">
        <v>0.748</v>
      </c>
      <c r="H68" s="3">
        <v>0.65</v>
      </c>
      <c r="I68" s="3">
        <v>0.46</v>
      </c>
      <c r="J68" s="3">
        <v>0.295</v>
      </c>
      <c r="K68" s="4"/>
      <c r="L68" s="4"/>
      <c r="M68" s="4"/>
      <c r="N68" s="4"/>
      <c r="O68" s="4"/>
      <c r="P68" s="4"/>
    </row>
    <row x14ac:dyDescent="0.25" r="69" customHeight="1" ht="18.75">
      <c r="A69" s="1" t="s">
        <v>936</v>
      </c>
      <c r="B69" s="3">
        <v>0.734</v>
      </c>
      <c r="C69" s="3">
        <v>1.81</v>
      </c>
      <c r="D69" s="3">
        <v>2.56</v>
      </c>
      <c r="E69" s="3">
        <v>1.46</v>
      </c>
      <c r="F69" s="3">
        <v>1.35</v>
      </c>
      <c r="G69" s="3">
        <v>1.35</v>
      </c>
      <c r="H69" s="3">
        <v>1.02</v>
      </c>
      <c r="I69" s="3">
        <v>0.578</v>
      </c>
      <c r="J69" s="4"/>
      <c r="K69" s="4"/>
      <c r="L69" s="4"/>
      <c r="M69" s="4"/>
      <c r="N69" s="4"/>
      <c r="O69" s="4"/>
      <c r="P69" s="4"/>
    </row>
    <row x14ac:dyDescent="0.25" r="70" customHeight="1" ht="18.75">
      <c r="A70" s="1" t="s">
        <v>945</v>
      </c>
      <c r="B70" s="3">
        <v>0.423</v>
      </c>
      <c r="C70" s="3">
        <v>0.476</v>
      </c>
      <c r="D70" s="3">
        <v>0.448</v>
      </c>
      <c r="E70" s="3">
        <v>0.463</v>
      </c>
      <c r="F70" s="3">
        <v>0.447</v>
      </c>
      <c r="G70" s="3">
        <v>0.314</v>
      </c>
      <c r="H70" s="3">
        <v>0.196</v>
      </c>
      <c r="I70" s="5"/>
      <c r="J70" s="4"/>
      <c r="K70" s="4"/>
      <c r="L70" s="4"/>
      <c r="M70" s="4"/>
      <c r="N70" s="4"/>
      <c r="O70" s="4"/>
      <c r="P70" s="4"/>
    </row>
    <row x14ac:dyDescent="0.25" r="71" customHeight="1" ht="18.75">
      <c r="A71" s="1" t="s">
        <v>953</v>
      </c>
      <c r="B71" s="3">
        <v>0.198</v>
      </c>
      <c r="C71" s="3">
        <v>0.198</v>
      </c>
      <c r="D71" s="3">
        <v>0.172</v>
      </c>
      <c r="E71" s="3">
        <v>0.106</v>
      </c>
      <c r="F71" s="3">
        <v>0.099</v>
      </c>
      <c r="G71" s="3">
        <v>0.075</v>
      </c>
      <c r="H71" s="3">
        <v>0.048</v>
      </c>
      <c r="I71" s="3">
        <v>0.062</v>
      </c>
      <c r="J71" s="3">
        <v>0.064</v>
      </c>
      <c r="K71" s="3">
        <v>0.057</v>
      </c>
      <c r="L71" s="3">
        <v>0.047</v>
      </c>
      <c r="M71" s="3">
        <v>0.038</v>
      </c>
      <c r="N71" s="4"/>
      <c r="O71" s="4"/>
      <c r="P71" s="4"/>
    </row>
    <row x14ac:dyDescent="0.25" r="72" customHeight="1" ht="18.75">
      <c r="A72" s="1" t="s">
        <v>961</v>
      </c>
      <c r="B72" s="3">
        <v>0.2778</v>
      </c>
      <c r="C72" s="3">
        <v>0.6214</v>
      </c>
      <c r="D72" s="3">
        <v>0.9873999999999999</v>
      </c>
      <c r="E72" s="3">
        <v>1.662</v>
      </c>
      <c r="F72" s="3">
        <v>1.664</v>
      </c>
      <c r="G72" s="3">
        <v>1.95</v>
      </c>
      <c r="H72" s="3">
        <v>1.793</v>
      </c>
      <c r="I72" s="3">
        <v>1.346</v>
      </c>
      <c r="J72" s="3">
        <v>0.5494</v>
      </c>
      <c r="K72" s="3">
        <v>0.2352</v>
      </c>
      <c r="L72" s="4"/>
      <c r="M72" s="4"/>
      <c r="N72" s="4"/>
      <c r="O72" s="4"/>
      <c r="P72" s="4"/>
    </row>
    <row x14ac:dyDescent="0.25" r="73" customHeight="1" ht="18.75">
      <c r="A73" s="1" t="s">
        <v>972</v>
      </c>
      <c r="B73" s="3">
        <v>0.16240000000000002</v>
      </c>
      <c r="C73" s="3">
        <v>0.0999</v>
      </c>
      <c r="D73" s="3">
        <v>0.046700000000000005</v>
      </c>
      <c r="E73" s="3">
        <v>0.0412</v>
      </c>
      <c r="F73" s="3">
        <v>0.0273</v>
      </c>
      <c r="G73" s="5"/>
      <c r="H73" s="5"/>
      <c r="I73" s="5"/>
      <c r="J73" s="4"/>
      <c r="K73" s="4"/>
      <c r="L73" s="4"/>
      <c r="M73" s="4"/>
      <c r="N73" s="4"/>
      <c r="O73" s="4"/>
      <c r="P73" s="4"/>
    </row>
    <row x14ac:dyDescent="0.25" r="74" customHeight="1" ht="18.75">
      <c r="A74" s="1" t="s">
        <v>978</v>
      </c>
      <c r="B74" s="3">
        <v>0.184</v>
      </c>
      <c r="C74" s="3">
        <v>0.192</v>
      </c>
      <c r="D74" s="3">
        <v>0.203</v>
      </c>
      <c r="E74" s="3">
        <v>0.218</v>
      </c>
      <c r="F74" s="3">
        <v>0.238</v>
      </c>
      <c r="G74" s="5"/>
      <c r="H74" s="5"/>
      <c r="I74" s="5"/>
      <c r="J74" s="4"/>
      <c r="K74" s="4"/>
      <c r="L74" s="4"/>
      <c r="M74" s="4"/>
      <c r="N74" s="4"/>
      <c r="O74" s="4"/>
      <c r="P74" s="4"/>
    </row>
    <row x14ac:dyDescent="0.25" r="75" customHeight="1" ht="18.75">
      <c r="A75" s="1" t="s">
        <v>982</v>
      </c>
      <c r="B75" s="3">
        <v>0.892</v>
      </c>
      <c r="C75" s="3">
        <v>0.831</v>
      </c>
      <c r="D75" s="3">
        <v>0.674</v>
      </c>
      <c r="E75" s="3">
        <v>0.639</v>
      </c>
      <c r="F75" s="3">
        <v>0.382</v>
      </c>
      <c r="G75" s="3">
        <v>0.28</v>
      </c>
      <c r="H75" s="3">
        <v>0.138</v>
      </c>
      <c r="I75" s="5"/>
      <c r="J75" s="4"/>
      <c r="K75" s="4"/>
      <c r="L75" s="4"/>
      <c r="M75" s="4"/>
      <c r="N75" s="4"/>
      <c r="O75" s="4"/>
      <c r="P75" s="4"/>
    </row>
    <row x14ac:dyDescent="0.25" r="76" customHeight="1" ht="18.75">
      <c r="A76" s="1" t="s">
        <v>989</v>
      </c>
      <c r="B76" s="3">
        <v>0.06</v>
      </c>
      <c r="C76" s="3">
        <v>0.058</v>
      </c>
      <c r="D76" s="3">
        <v>0.059</v>
      </c>
      <c r="E76" s="3">
        <v>0.076</v>
      </c>
      <c r="F76" s="3">
        <v>0.054</v>
      </c>
      <c r="G76" s="5"/>
      <c r="H76" s="5"/>
      <c r="I76" s="5"/>
      <c r="J76" s="4"/>
      <c r="K76" s="4"/>
      <c r="L76" s="4"/>
      <c r="M76" s="4"/>
      <c r="N76" s="4"/>
      <c r="O76" s="4"/>
      <c r="P76" s="4"/>
    </row>
    <row x14ac:dyDescent="0.25" r="77" customHeight="1" ht="18.75">
      <c r="A77" s="1" t="s">
        <v>995</v>
      </c>
      <c r="B77" s="3">
        <v>0.39</v>
      </c>
      <c r="C77" s="3">
        <v>1.26</v>
      </c>
      <c r="D77" s="3">
        <v>0.893</v>
      </c>
      <c r="E77" s="3">
        <v>0.735</v>
      </c>
      <c r="F77" s="3">
        <v>0.666</v>
      </c>
      <c r="G77" s="3">
        <v>0.634</v>
      </c>
      <c r="H77" s="3">
        <v>0.639</v>
      </c>
      <c r="I77" s="3">
        <v>0.443</v>
      </c>
      <c r="J77" s="3">
        <v>0.306</v>
      </c>
      <c r="K77" s="3">
        <v>0.227</v>
      </c>
      <c r="L77" s="3">
        <v>0.157</v>
      </c>
      <c r="M77" s="4"/>
      <c r="N77" s="4"/>
      <c r="O77" s="4"/>
      <c r="P77" s="4"/>
    </row>
    <row x14ac:dyDescent="0.25" r="78" customHeight="1" ht="18.75">
      <c r="A78" s="1" t="s">
        <v>1005</v>
      </c>
      <c r="B78" s="3">
        <v>0.344</v>
      </c>
      <c r="C78" s="3">
        <v>0.305</v>
      </c>
      <c r="D78" s="3">
        <v>0.25</v>
      </c>
      <c r="E78" s="3">
        <v>0.209</v>
      </c>
      <c r="F78" s="3">
        <v>0.158</v>
      </c>
      <c r="G78" s="3">
        <v>0.138</v>
      </c>
      <c r="H78" s="3">
        <v>0.008</v>
      </c>
      <c r="I78" s="3">
        <v>0.076</v>
      </c>
      <c r="J78" s="3">
        <v>0.084</v>
      </c>
      <c r="K78" s="3">
        <v>0.074</v>
      </c>
      <c r="L78" s="3">
        <v>0.079</v>
      </c>
      <c r="M78" s="4"/>
      <c r="N78" s="4"/>
      <c r="O78" s="4"/>
      <c r="P78" s="4"/>
    </row>
    <row x14ac:dyDescent="0.25" r="79" customHeight="1" ht="18.75">
      <c r="A79" s="1" t="s">
        <v>1017</v>
      </c>
      <c r="B79" s="3">
        <v>0.13</v>
      </c>
      <c r="C79" s="3">
        <v>0.217</v>
      </c>
      <c r="D79" s="3">
        <v>0.147</v>
      </c>
      <c r="E79" s="3">
        <v>0.1</v>
      </c>
      <c r="F79" s="3">
        <v>0.095</v>
      </c>
      <c r="G79" s="3">
        <v>0.076</v>
      </c>
      <c r="H79" s="5"/>
      <c r="I79" s="5"/>
      <c r="J79" s="4"/>
      <c r="K79" s="4"/>
      <c r="L79" s="4"/>
      <c r="M79" s="4"/>
      <c r="N79" s="4"/>
      <c r="O79" s="4"/>
      <c r="P79" s="4"/>
    </row>
    <row x14ac:dyDescent="0.25" r="80" customHeight="1" ht="18.75">
      <c r="A80" s="1" t="s">
        <v>1021</v>
      </c>
      <c r="B80" s="3">
        <v>0.003</v>
      </c>
      <c r="C80" s="3">
        <v>0.007</v>
      </c>
      <c r="D80" s="3">
        <v>0.003</v>
      </c>
      <c r="E80" s="3">
        <v>0.003</v>
      </c>
      <c r="F80" s="5"/>
      <c r="G80" s="5"/>
      <c r="H80" s="5"/>
      <c r="I80" s="5"/>
      <c r="J80" s="4"/>
      <c r="K80" s="4"/>
      <c r="L80" s="4"/>
      <c r="M80" s="4"/>
      <c r="N80" s="4"/>
      <c r="O80" s="4"/>
      <c r="P80" s="4"/>
    </row>
    <row x14ac:dyDescent="0.25" r="81" customHeight="1" ht="18.75">
      <c r="A81" s="1" t="s">
        <v>1025</v>
      </c>
      <c r="B81" s="3">
        <v>0.006</v>
      </c>
      <c r="C81" s="3">
        <v>0.007</v>
      </c>
      <c r="D81" s="3">
        <v>0.007</v>
      </c>
      <c r="E81" s="3">
        <v>0.008</v>
      </c>
      <c r="F81" s="3">
        <v>0.024</v>
      </c>
      <c r="G81" s="3">
        <v>0.017</v>
      </c>
      <c r="H81" s="3">
        <v>0.013</v>
      </c>
      <c r="I81" s="3">
        <v>0.013</v>
      </c>
      <c r="J81" s="4"/>
      <c r="K81" s="4"/>
      <c r="L81" s="4"/>
      <c r="M81" s="4"/>
      <c r="N81" s="4"/>
      <c r="O81" s="4"/>
      <c r="P81" s="4"/>
    </row>
    <row x14ac:dyDescent="0.25" r="82" customHeight="1" ht="18.75">
      <c r="A82" s="1" t="s">
        <v>1048</v>
      </c>
      <c r="B82" s="3">
        <v>1.38</v>
      </c>
      <c r="C82" s="3">
        <v>1.65</v>
      </c>
      <c r="D82" s="3">
        <v>1.53</v>
      </c>
      <c r="E82" s="3">
        <v>1.66</v>
      </c>
      <c r="F82" s="3">
        <v>1.65</v>
      </c>
      <c r="G82" s="5"/>
      <c r="H82" s="5"/>
      <c r="I82" s="5"/>
      <c r="J82" s="4"/>
      <c r="K82" s="4"/>
      <c r="L82" s="4"/>
      <c r="M82" s="4"/>
      <c r="N82" s="4"/>
      <c r="O82" s="4"/>
      <c r="P82" s="4"/>
    </row>
    <row x14ac:dyDescent="0.25" r="83" customHeight="1" ht="18.75">
      <c r="A83" s="1" t="s">
        <v>1053</v>
      </c>
      <c r="B83" s="3">
        <v>0.009</v>
      </c>
      <c r="C83" s="3">
        <v>0.008</v>
      </c>
      <c r="D83" s="3">
        <v>0.011</v>
      </c>
      <c r="E83" s="3">
        <v>0.021</v>
      </c>
      <c r="F83" s="3">
        <v>0.091</v>
      </c>
      <c r="G83" s="3">
        <v>0.156</v>
      </c>
      <c r="H83" s="3">
        <v>0.108</v>
      </c>
      <c r="I83" s="3">
        <v>0.04</v>
      </c>
      <c r="J83" s="3">
        <v>0.096</v>
      </c>
      <c r="K83" s="3">
        <v>0.054</v>
      </c>
      <c r="L83" s="3">
        <v>0.086</v>
      </c>
      <c r="M83" s="3">
        <v>0.093</v>
      </c>
      <c r="N83" s="4"/>
      <c r="O83" s="4"/>
      <c r="P83" s="4"/>
    </row>
    <row x14ac:dyDescent="0.25" r="84" customHeight="1" ht="18.75">
      <c r="A84" s="1" t="s">
        <v>1066</v>
      </c>
      <c r="B84" s="3">
        <v>0.207</v>
      </c>
      <c r="C84" s="3">
        <v>0.206</v>
      </c>
      <c r="D84" s="3">
        <v>0.599</v>
      </c>
      <c r="E84" s="3">
        <v>0.529</v>
      </c>
      <c r="F84" s="3">
        <v>0.698</v>
      </c>
      <c r="G84" s="3">
        <v>0.632</v>
      </c>
      <c r="H84" s="3">
        <v>0.447</v>
      </c>
      <c r="I84" s="5"/>
      <c r="J84" s="4"/>
      <c r="K84" s="4"/>
      <c r="L84" s="4"/>
      <c r="M84" s="4"/>
      <c r="N84" s="4"/>
      <c r="O84" s="4"/>
      <c r="P84" s="4"/>
    </row>
    <row x14ac:dyDescent="0.25" r="85" customHeight="1" ht="18.75">
      <c r="A85" s="1" t="s">
        <v>1074</v>
      </c>
      <c r="B85" s="3">
        <v>0.2405</v>
      </c>
      <c r="C85" s="3">
        <v>0.7517999999999999</v>
      </c>
      <c r="D85" s="3">
        <v>1.284</v>
      </c>
      <c r="E85" s="3">
        <v>0.9282999999999999</v>
      </c>
      <c r="F85" s="3">
        <v>1.018</v>
      </c>
      <c r="G85" s="3">
        <v>0.8002</v>
      </c>
      <c r="H85" s="3">
        <v>0.4987</v>
      </c>
      <c r="I85" s="5"/>
      <c r="J85" s="4"/>
      <c r="K85" s="4"/>
      <c r="L85" s="4"/>
      <c r="M85" s="4"/>
      <c r="N85" s="4"/>
      <c r="O85" s="4"/>
      <c r="P85" s="4"/>
    </row>
    <row x14ac:dyDescent="0.25" r="86" customHeight="1" ht="18.75">
      <c r="A86" s="1" t="s">
        <v>1082</v>
      </c>
      <c r="B86" s="3">
        <v>1.136</v>
      </c>
      <c r="C86" s="3">
        <v>2.835</v>
      </c>
      <c r="D86" s="3">
        <v>2.781</v>
      </c>
      <c r="E86" s="3">
        <v>1.943</v>
      </c>
      <c r="F86" s="3">
        <v>2.209</v>
      </c>
      <c r="G86" s="3">
        <v>2.523</v>
      </c>
      <c r="H86" s="3">
        <v>1.856</v>
      </c>
      <c r="I86" s="3">
        <v>1.165</v>
      </c>
      <c r="J86" s="3">
        <v>0.5273</v>
      </c>
      <c r="K86" s="3">
        <v>0.2546</v>
      </c>
      <c r="L86" s="3">
        <v>0.10890000000000001</v>
      </c>
      <c r="M86" s="3">
        <v>0.0538</v>
      </c>
      <c r="N86" s="4"/>
      <c r="O86" s="4"/>
      <c r="P86" s="4"/>
    </row>
    <row x14ac:dyDescent="0.25" r="87" customHeight="1" ht="18.75">
      <c r="A87" s="1" t="s">
        <v>1104</v>
      </c>
      <c r="B87" s="3">
        <v>0.557</v>
      </c>
      <c r="C87" s="3">
        <v>1.49</v>
      </c>
      <c r="D87" s="3">
        <v>0.666</v>
      </c>
      <c r="E87" s="3">
        <v>0.724</v>
      </c>
      <c r="F87" s="3">
        <v>0.748</v>
      </c>
      <c r="G87" s="3">
        <v>0.791</v>
      </c>
      <c r="H87" s="3">
        <v>0.601</v>
      </c>
      <c r="I87" s="3">
        <v>0.429</v>
      </c>
      <c r="J87" s="4"/>
      <c r="K87" s="4"/>
      <c r="L87" s="4"/>
      <c r="M87" s="4"/>
      <c r="N87" s="4"/>
      <c r="O87" s="4"/>
      <c r="P87" s="4"/>
    </row>
    <row x14ac:dyDescent="0.25" r="88" customHeight="1" ht="18.75">
      <c r="A88" s="1" t="s">
        <v>1113</v>
      </c>
      <c r="B88" s="3">
        <v>0.094</v>
      </c>
      <c r="C88" s="3">
        <v>0.224</v>
      </c>
      <c r="D88" s="3">
        <v>0.308</v>
      </c>
      <c r="E88" s="3">
        <v>0.28</v>
      </c>
      <c r="F88" s="3">
        <v>0.324</v>
      </c>
      <c r="G88" s="3">
        <v>0.342</v>
      </c>
      <c r="H88" s="3">
        <v>0.337</v>
      </c>
      <c r="I88" s="5"/>
      <c r="J88" s="4"/>
      <c r="K88" s="4"/>
      <c r="L88" s="4"/>
      <c r="M88" s="4"/>
      <c r="N88" s="4"/>
      <c r="O88" s="4"/>
      <c r="P88" s="4"/>
    </row>
    <row x14ac:dyDescent="0.25" r="89" customHeight="1" ht="18.75">
      <c r="A89" s="1" t="s">
        <v>1121</v>
      </c>
      <c r="B89" s="3">
        <v>0.0978</v>
      </c>
      <c r="C89" s="3">
        <v>0.07740000000000001</v>
      </c>
      <c r="D89" s="3">
        <v>0.0837</v>
      </c>
      <c r="E89" s="3">
        <v>0.0668</v>
      </c>
      <c r="F89" s="3">
        <v>0.052700000000000004</v>
      </c>
      <c r="G89" s="3">
        <v>0.0361</v>
      </c>
      <c r="H89" s="3">
        <v>0.0678</v>
      </c>
      <c r="I89" s="3">
        <v>0.098</v>
      </c>
      <c r="J89" s="3">
        <v>0.07970000000000001</v>
      </c>
      <c r="K89" s="3">
        <v>0.0713</v>
      </c>
      <c r="L89" s="4"/>
      <c r="M89" s="4"/>
      <c r="N89" s="4"/>
      <c r="O89" s="4"/>
      <c r="P89" s="4"/>
    </row>
    <row x14ac:dyDescent="0.25" r="90" customHeight="1" ht="18.75">
      <c r="A90" s="1" t="s">
        <v>1132</v>
      </c>
      <c r="B90" s="3">
        <v>0.2837</v>
      </c>
      <c r="C90" s="3">
        <v>0.2381</v>
      </c>
      <c r="D90" s="3">
        <v>0.305</v>
      </c>
      <c r="E90" s="3">
        <v>0.1835</v>
      </c>
      <c r="F90" s="3">
        <v>0.18919999999999998</v>
      </c>
      <c r="G90" s="5"/>
      <c r="H90" s="5"/>
      <c r="I90" s="5"/>
      <c r="J90" s="4"/>
      <c r="K90" s="4"/>
      <c r="L90" s="4"/>
      <c r="M90" s="4"/>
      <c r="N90" s="4"/>
      <c r="O90" s="4"/>
      <c r="P90" s="4"/>
    </row>
    <row x14ac:dyDescent="0.25" r="91" customHeight="1" ht="18.75">
      <c r="A91" s="1" t="s">
        <v>1136</v>
      </c>
      <c r="B91" s="3">
        <v>0.24530000000000002</v>
      </c>
      <c r="C91" s="3">
        <v>0.30219999999999997</v>
      </c>
      <c r="D91" s="3">
        <v>0.3937</v>
      </c>
      <c r="E91" s="3">
        <v>0.2539</v>
      </c>
      <c r="F91" s="3">
        <v>0.2859</v>
      </c>
      <c r="G91" s="3">
        <v>0.32430000000000003</v>
      </c>
      <c r="H91" s="3">
        <v>0.1812</v>
      </c>
      <c r="I91" s="5"/>
      <c r="J91" s="4"/>
      <c r="K91" s="4"/>
      <c r="L91" s="4"/>
      <c r="M91" s="4"/>
      <c r="N91" s="4"/>
      <c r="O91" s="4"/>
      <c r="P91" s="4"/>
    </row>
    <row x14ac:dyDescent="0.25" r="92" customHeight="1" ht="18.75">
      <c r="A92" s="1" t="s">
        <v>1139</v>
      </c>
      <c r="B92" s="3">
        <v>0.0997</v>
      </c>
      <c r="C92" s="5"/>
      <c r="D92" s="3">
        <v>0.4614</v>
      </c>
      <c r="E92" s="3">
        <v>0.3812</v>
      </c>
      <c r="F92" s="3">
        <v>0.4395</v>
      </c>
      <c r="G92" s="3">
        <v>0.49339999999999995</v>
      </c>
      <c r="H92" s="3">
        <v>0.4702</v>
      </c>
      <c r="I92" s="3">
        <v>0.31560000000000005</v>
      </c>
      <c r="J92" s="4"/>
      <c r="K92" s="4"/>
      <c r="L92" s="4"/>
      <c r="M92" s="4"/>
      <c r="N92" s="4"/>
      <c r="O92" s="4"/>
      <c r="P92" s="4"/>
    </row>
    <row x14ac:dyDescent="0.25" r="93" customHeight="1" ht="18.75">
      <c r="A93" s="1" t="s">
        <v>1143</v>
      </c>
      <c r="B93" s="3">
        <v>1.189</v>
      </c>
      <c r="C93" s="3">
        <v>0.8827</v>
      </c>
      <c r="D93" s="3">
        <v>0.6079</v>
      </c>
      <c r="E93" s="3">
        <v>0.3697</v>
      </c>
      <c r="F93" s="3">
        <v>0.1576</v>
      </c>
      <c r="G93" s="3">
        <v>0.0847</v>
      </c>
      <c r="H93" s="3">
        <v>0.0594</v>
      </c>
      <c r="I93" s="3">
        <v>0.0405</v>
      </c>
      <c r="J93" s="4"/>
      <c r="K93" s="4"/>
      <c r="L93" s="4"/>
      <c r="M93" s="4"/>
      <c r="N93" s="4"/>
      <c r="O93" s="4"/>
      <c r="P93" s="4"/>
    </row>
    <row x14ac:dyDescent="0.25" r="94" customHeight="1" ht="18.75">
      <c r="A94" s="1" t="s">
        <v>1152</v>
      </c>
      <c r="B94" s="3">
        <v>0.035</v>
      </c>
      <c r="C94" s="3">
        <v>5.61</v>
      </c>
      <c r="D94" s="3">
        <v>6.17</v>
      </c>
      <c r="E94" s="3">
        <v>3.09</v>
      </c>
      <c r="F94" s="3">
        <v>3.16</v>
      </c>
      <c r="G94" s="3">
        <v>3.87</v>
      </c>
      <c r="H94" s="3">
        <v>3.79</v>
      </c>
      <c r="I94" s="3">
        <v>3.1</v>
      </c>
      <c r="J94" s="3">
        <v>1.43</v>
      </c>
      <c r="K94" s="4"/>
      <c r="L94" s="4"/>
      <c r="M94" s="4"/>
      <c r="N94" s="4"/>
      <c r="O94" s="4"/>
      <c r="P94" s="4"/>
    </row>
    <row x14ac:dyDescent="0.25" r="95" customHeight="1" ht="18.75">
      <c r="A95" s="1" t="s">
        <v>1162</v>
      </c>
      <c r="B95" s="3">
        <v>0.096</v>
      </c>
      <c r="C95" s="3">
        <v>0.233</v>
      </c>
      <c r="D95" s="3">
        <v>0.178</v>
      </c>
      <c r="E95" s="3">
        <v>0.168</v>
      </c>
      <c r="F95" s="3">
        <v>0.182</v>
      </c>
      <c r="G95" s="5"/>
      <c r="H95" s="5"/>
      <c r="I95" s="5"/>
      <c r="J95" s="4"/>
      <c r="K95" s="4"/>
      <c r="L95" s="4"/>
      <c r="M95" s="4"/>
      <c r="N95" s="4"/>
      <c r="O95" s="4"/>
      <c r="P95" s="4"/>
    </row>
    <row x14ac:dyDescent="0.25" r="96" customHeight="1" ht="18.75">
      <c r="A96" s="1" t="s">
        <v>1167</v>
      </c>
      <c r="B96" s="3">
        <v>0.315</v>
      </c>
      <c r="C96" s="3">
        <v>0.318</v>
      </c>
      <c r="D96" s="3">
        <v>0.267</v>
      </c>
      <c r="E96" s="3">
        <v>0.394</v>
      </c>
      <c r="F96" s="3">
        <v>0.418</v>
      </c>
      <c r="G96" s="5"/>
      <c r="H96" s="5"/>
      <c r="I96" s="5"/>
      <c r="J96" s="4"/>
      <c r="K96" s="4"/>
      <c r="L96" s="4"/>
      <c r="M96" s="4"/>
      <c r="N96" s="4"/>
      <c r="O96" s="4"/>
      <c r="P96" s="4"/>
    </row>
    <row x14ac:dyDescent="0.25" r="97" customHeight="1" ht="18.75">
      <c r="A97" s="1" t="s">
        <v>1171</v>
      </c>
      <c r="B97" s="3">
        <v>0.0546</v>
      </c>
      <c r="C97" s="3">
        <v>0.053899999999999997</v>
      </c>
      <c r="D97" s="3">
        <v>0.047700000000000006</v>
      </c>
      <c r="E97" s="3">
        <v>0.0595</v>
      </c>
      <c r="F97" s="3">
        <v>0.044700000000000004</v>
      </c>
      <c r="G97" s="3">
        <v>0.0396</v>
      </c>
      <c r="H97" s="3">
        <v>0.0265</v>
      </c>
      <c r="I97" s="5"/>
      <c r="J97" s="4"/>
      <c r="K97" s="4"/>
      <c r="L97" s="4"/>
      <c r="M97" s="4"/>
      <c r="N97" s="4"/>
      <c r="O97" s="4"/>
      <c r="P97" s="4"/>
    </row>
    <row x14ac:dyDescent="0.25" r="98" customHeight="1" ht="18.75">
      <c r="A98" s="1" t="s">
        <v>1179</v>
      </c>
      <c r="B98" s="3">
        <v>0.13319999999999999</v>
      </c>
      <c r="C98" s="3">
        <v>0.1183</v>
      </c>
      <c r="D98" s="3">
        <v>0.279</v>
      </c>
      <c r="E98" s="3">
        <v>0.1715</v>
      </c>
      <c r="F98" s="3">
        <v>0.1512</v>
      </c>
      <c r="G98" s="5"/>
      <c r="H98" s="5"/>
      <c r="I98" s="5"/>
      <c r="J98" s="4"/>
      <c r="K98" s="4"/>
      <c r="L98" s="4"/>
      <c r="M98" s="4"/>
      <c r="N98" s="4"/>
      <c r="O98" s="4"/>
      <c r="P98" s="4"/>
    </row>
    <row x14ac:dyDescent="0.25" r="99" customHeight="1" ht="18.75">
      <c r="A99" s="1" t="s">
        <v>1185</v>
      </c>
      <c r="B99" s="3">
        <v>0.047</v>
      </c>
      <c r="C99" s="3">
        <v>1.57</v>
      </c>
      <c r="D99" s="3">
        <v>1.52</v>
      </c>
      <c r="E99" s="3">
        <v>0.609</v>
      </c>
      <c r="F99" s="3">
        <v>0.636</v>
      </c>
      <c r="G99" s="3">
        <v>0.684</v>
      </c>
      <c r="H99" s="3">
        <v>0.65</v>
      </c>
      <c r="I99" s="3">
        <v>0.587</v>
      </c>
      <c r="J99" s="4"/>
      <c r="K99" s="4"/>
      <c r="L99" s="4"/>
      <c r="M99" s="4"/>
      <c r="N99" s="4"/>
      <c r="O99" s="4"/>
      <c r="P99" s="4"/>
    </row>
    <row x14ac:dyDescent="0.25" r="100" customHeight="1" ht="18.75">
      <c r="A100" s="1" t="s">
        <v>1194</v>
      </c>
      <c r="B100" s="3">
        <v>0.0054</v>
      </c>
      <c r="C100" s="3">
        <v>0.0092</v>
      </c>
      <c r="D100" s="3">
        <v>0.0221</v>
      </c>
      <c r="E100" s="3">
        <v>0.0183</v>
      </c>
      <c r="F100" s="3">
        <v>0.024300000000000002</v>
      </c>
      <c r="G100" s="5"/>
      <c r="H100" s="5"/>
      <c r="I100" s="5"/>
      <c r="J100" s="4"/>
      <c r="K100" s="4"/>
      <c r="L100" s="4"/>
      <c r="M100" s="4"/>
      <c r="N100" s="4"/>
      <c r="O100" s="4"/>
      <c r="P100" s="4"/>
    </row>
    <row x14ac:dyDescent="0.25" r="101" customHeight="1" ht="18.75">
      <c r="A101" s="1" t="s">
        <v>1197</v>
      </c>
      <c r="B101" s="3">
        <v>1.793</v>
      </c>
      <c r="C101" s="3">
        <v>0.7837999999999999</v>
      </c>
      <c r="D101" s="3">
        <v>0.6373</v>
      </c>
      <c r="E101" s="3">
        <v>0.5736</v>
      </c>
      <c r="F101" s="3">
        <v>0.5296000000000001</v>
      </c>
      <c r="G101" s="3">
        <v>0.6695</v>
      </c>
      <c r="H101" s="3">
        <v>0.5649</v>
      </c>
      <c r="I101" s="3">
        <v>0.3866</v>
      </c>
      <c r="J101" s="3">
        <v>0.198</v>
      </c>
      <c r="K101" s="3">
        <v>0.1517</v>
      </c>
      <c r="L101" s="3">
        <v>0.1799</v>
      </c>
      <c r="M101" s="3">
        <v>0.12459999999999999</v>
      </c>
      <c r="N101" s="4"/>
      <c r="O101" s="4"/>
      <c r="P101" s="4"/>
    </row>
    <row x14ac:dyDescent="0.25" r="102" customHeight="1" ht="18.75">
      <c r="A102" s="1" t="s">
        <v>1210</v>
      </c>
      <c r="B102" s="3">
        <v>0.01</v>
      </c>
      <c r="C102" s="3">
        <v>0.011</v>
      </c>
      <c r="D102" s="4"/>
      <c r="E102" s="3">
        <v>0.01</v>
      </c>
      <c r="F102" s="3">
        <v>0.01</v>
      </c>
      <c r="G102" s="3">
        <v>0.011</v>
      </c>
      <c r="H102" s="3">
        <v>0.015</v>
      </c>
      <c r="I102" s="3">
        <v>0.015</v>
      </c>
      <c r="J102" s="4"/>
      <c r="K102" s="4"/>
      <c r="L102" s="4"/>
      <c r="M102" s="4"/>
      <c r="N102" s="4"/>
      <c r="O102" s="4"/>
      <c r="P102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9"/>
  <sheetViews>
    <sheetView workbookViewId="0"/>
  </sheetViews>
  <sheetFormatPr defaultRowHeight="15" x14ac:dyDescent="0.25"/>
  <cols>
    <col min="1" max="1" style="8" width="13.576428571428572" customWidth="1" bestFit="1"/>
    <col min="2" max="2" style="9" width="13.576428571428572" customWidth="1" bestFit="1"/>
    <col min="3" max="3" style="9" width="13.576428571428572" customWidth="1" bestFit="1"/>
    <col min="4" max="4" style="9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9" width="13.576428571428572" customWidth="1" bestFit="1"/>
    <col min="10" max="10" style="9" width="13.576428571428572" customWidth="1" bestFit="1"/>
    <col min="11" max="11" style="9" width="13.576428571428572" customWidth="1" bestFit="1"/>
    <col min="12" max="12" style="9" width="13.576428571428572" customWidth="1" bestFit="1"/>
    <col min="13" max="13" style="9" width="13.576428571428572" customWidth="1" bestFit="1"/>
    <col min="14" max="14" style="9" width="13.576428571428572" customWidth="1" bestFit="1"/>
    <col min="15" max="15" style="9" width="13.576428571428572" customWidth="1" bestFit="1"/>
    <col min="16" max="16" style="9" width="13.576428571428572" customWidth="1" bestFit="1"/>
    <col min="17" max="17" style="9" width="13.576428571428572" customWidth="1" bestFit="1"/>
    <col min="18" max="18" style="9" width="13.576428571428572" customWidth="1" bestFit="1"/>
    <col min="19" max="19" style="9" width="13.576428571428572" customWidth="1" bestFit="1"/>
    <col min="20" max="20" style="9" width="13.576428571428572" customWidth="1" bestFit="1"/>
    <col min="21" max="21" style="9" width="13.576428571428572" customWidth="1" bestFit="1"/>
    <col min="22" max="22" style="9" width="13.576428571428572" customWidth="1" bestFit="1"/>
    <col min="23" max="23" style="9" width="13.576428571428572" customWidth="1" bestFit="1"/>
    <col min="24" max="24" style="9" width="13.576428571428572" customWidth="1" bestFit="1"/>
    <col min="25" max="25" style="9" width="13.576428571428572" customWidth="1" bestFit="1"/>
    <col min="26" max="26" style="8" width="13.576428571428572" customWidth="1" bestFit="1"/>
    <col min="27" max="27" style="8" width="13.576428571428572" customWidth="1" bestFit="1"/>
    <col min="28" max="28" style="8" width="13.576428571428572" customWidth="1" bestFit="1"/>
    <col min="29" max="29" style="8" width="13.576428571428572" customWidth="1" bestFit="1"/>
  </cols>
  <sheetData>
    <row x14ac:dyDescent="0.25" r="1" customHeight="1" ht="18.75">
      <c r="A1" s="51" t="s">
        <v>1505</v>
      </c>
      <c r="B1" s="52" t="s">
        <v>1506</v>
      </c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4"/>
      <c r="O1" s="52" t="s">
        <v>1507</v>
      </c>
      <c r="P1" s="53"/>
      <c r="Q1" s="53"/>
      <c r="R1" s="53"/>
      <c r="S1" s="53"/>
      <c r="T1" s="53"/>
      <c r="U1" s="53"/>
      <c r="V1" s="53"/>
      <c r="W1" s="53"/>
      <c r="X1" s="53"/>
      <c r="Y1" s="53"/>
      <c r="Z1" s="1"/>
      <c r="AA1" s="1"/>
      <c r="AB1" s="1"/>
      <c r="AC1" s="1"/>
    </row>
    <row x14ac:dyDescent="0.25" r="2" customHeight="1" ht="18.75">
      <c r="A2" s="55" t="s">
        <v>1508</v>
      </c>
      <c r="B2" s="56">
        <v>7.749999999941792</v>
      </c>
      <c r="C2" s="57">
        <v>21.46666666661622</v>
      </c>
      <c r="D2" s="57">
        <v>34.249999999883585</v>
      </c>
      <c r="E2" s="57">
        <v>48.56666666659294</v>
      </c>
      <c r="F2" s="57">
        <v>71.6166666666395</v>
      </c>
      <c r="G2" s="57">
        <v>84.83333333325572</v>
      </c>
      <c r="H2" s="57">
        <v>95.74999999988358</v>
      </c>
      <c r="I2" s="57"/>
      <c r="J2" s="57"/>
      <c r="K2" s="57"/>
      <c r="L2" s="57"/>
      <c r="M2" s="57"/>
      <c r="N2" s="58"/>
      <c r="O2" s="59">
        <v>0.895</v>
      </c>
      <c r="P2" s="59">
        <v>2.27</v>
      </c>
      <c r="Q2" s="59">
        <v>1.6</v>
      </c>
      <c r="R2" s="59">
        <v>1.53</v>
      </c>
      <c r="S2" s="59">
        <v>1.77</v>
      </c>
      <c r="T2" s="59">
        <v>1.84</v>
      </c>
      <c r="U2" s="59">
        <v>1.74</v>
      </c>
      <c r="V2" s="60"/>
      <c r="W2" s="60"/>
      <c r="X2" s="60"/>
      <c r="Y2" s="60"/>
      <c r="Z2" s="1"/>
      <c r="AA2" s="1"/>
      <c r="AB2" s="1"/>
      <c r="AC2" s="1"/>
    </row>
    <row x14ac:dyDescent="0.25" r="3" customHeight="1" ht="18.75">
      <c r="A3" s="61" t="s">
        <v>1509</v>
      </c>
      <c r="B3" s="56">
        <v>54.08333333325572</v>
      </c>
      <c r="C3" s="57">
        <v>56.78333333332557</v>
      </c>
      <c r="D3" s="57">
        <v>65.1166666665813</v>
      </c>
      <c r="E3" s="57">
        <v>81.75</v>
      </c>
      <c r="F3" s="62"/>
      <c r="G3" s="62"/>
      <c r="H3" s="62"/>
      <c r="I3" s="62"/>
      <c r="J3" s="62"/>
      <c r="K3" s="62"/>
      <c r="L3" s="62"/>
      <c r="M3" s="62"/>
      <c r="N3" s="63"/>
      <c r="O3" s="59">
        <v>0.014</v>
      </c>
      <c r="P3" s="59">
        <v>0.013</v>
      </c>
      <c r="Q3" s="59">
        <v>0.015</v>
      </c>
      <c r="R3" s="59">
        <v>0.016</v>
      </c>
      <c r="S3" s="60"/>
      <c r="T3" s="60"/>
      <c r="U3" s="60"/>
      <c r="V3" s="60"/>
      <c r="W3" s="60"/>
      <c r="X3" s="60"/>
      <c r="Y3" s="60"/>
      <c r="Z3" s="1"/>
      <c r="AA3" s="1"/>
      <c r="AB3" s="1"/>
      <c r="AC3" s="1"/>
    </row>
    <row x14ac:dyDescent="0.25" r="4" customHeight="1" ht="18.75">
      <c r="A4" s="64" t="s">
        <v>1510</v>
      </c>
      <c r="B4" s="56">
        <v>17.566666666651145</v>
      </c>
      <c r="C4" s="57">
        <v>33.70000000001164</v>
      </c>
      <c r="D4" s="57">
        <v>58.83333333337214</v>
      </c>
      <c r="E4" s="57">
        <v>81.3833333333605</v>
      </c>
      <c r="F4" s="57">
        <v>105.86666666669771</v>
      </c>
      <c r="G4" s="57">
        <v>116.90000000002328</v>
      </c>
      <c r="H4" s="57">
        <v>130.1166666666395</v>
      </c>
      <c r="I4" s="62"/>
      <c r="J4" s="62"/>
      <c r="K4" s="62"/>
      <c r="L4" s="62"/>
      <c r="M4" s="62"/>
      <c r="N4" s="63"/>
      <c r="O4" s="59">
        <v>0.39</v>
      </c>
      <c r="P4" s="59">
        <v>0.689</v>
      </c>
      <c r="Q4" s="59">
        <v>0.73</v>
      </c>
      <c r="R4" s="59">
        <v>0.853</v>
      </c>
      <c r="S4" s="59">
        <v>1.29</v>
      </c>
      <c r="T4" s="59">
        <v>1.2</v>
      </c>
      <c r="U4" s="59">
        <v>1.46</v>
      </c>
      <c r="V4" s="60"/>
      <c r="W4" s="60"/>
      <c r="X4" s="60"/>
      <c r="Y4" s="60"/>
      <c r="Z4" s="1"/>
      <c r="AA4" s="1"/>
      <c r="AB4" s="1"/>
      <c r="AC4" s="1"/>
    </row>
    <row x14ac:dyDescent="0.25" r="5" customHeight="1" ht="18.75">
      <c r="A5" s="65" t="s">
        <v>1511</v>
      </c>
      <c r="B5" s="56">
        <v>114.21666666667443</v>
      </c>
      <c r="C5" s="57">
        <v>129.71666666673264</v>
      </c>
      <c r="D5" s="57">
        <v>129.94999999995343</v>
      </c>
      <c r="E5" s="57">
        <v>153.8666666666977</v>
      </c>
      <c r="F5" s="57">
        <v>178.28333333332557</v>
      </c>
      <c r="G5" s="62"/>
      <c r="H5" s="62"/>
      <c r="I5" s="62"/>
      <c r="J5" s="62"/>
      <c r="K5" s="62"/>
      <c r="L5" s="62"/>
      <c r="M5" s="62"/>
      <c r="N5" s="63"/>
      <c r="O5" s="59">
        <v>0.326</v>
      </c>
      <c r="P5" s="59">
        <v>0.295</v>
      </c>
      <c r="Q5" s="59">
        <v>0.163</v>
      </c>
      <c r="R5" s="59">
        <v>0.083</v>
      </c>
      <c r="S5" s="59">
        <v>0.058</v>
      </c>
      <c r="T5" s="60"/>
      <c r="U5" s="60"/>
      <c r="V5" s="60"/>
      <c r="W5" s="60"/>
      <c r="X5" s="60"/>
      <c r="Y5" s="60"/>
      <c r="Z5" s="1"/>
      <c r="AA5" s="1"/>
      <c r="AB5" s="1"/>
      <c r="AC5" s="1"/>
    </row>
    <row x14ac:dyDescent="0.25" r="6" customHeight="1" ht="18.75">
      <c r="A6" s="66" t="s">
        <v>1512</v>
      </c>
      <c r="B6" s="56">
        <v>18.500000000058208</v>
      </c>
      <c r="C6" s="67">
        <v>33</v>
      </c>
      <c r="D6" s="57">
        <v>57.149999999965075</v>
      </c>
      <c r="E6" s="57">
        <v>81.50000000005821</v>
      </c>
      <c r="F6" s="57">
        <v>106.26666666660458</v>
      </c>
      <c r="G6" s="62"/>
      <c r="H6" s="62"/>
      <c r="I6" s="62"/>
      <c r="J6" s="62"/>
      <c r="K6" s="62"/>
      <c r="L6" s="62"/>
      <c r="M6" s="62"/>
      <c r="N6" s="63"/>
      <c r="O6" s="59">
        <v>0.101</v>
      </c>
      <c r="P6" s="59">
        <v>0.095</v>
      </c>
      <c r="Q6" s="59">
        <v>0.144</v>
      </c>
      <c r="R6" s="59">
        <v>0.18</v>
      </c>
      <c r="S6" s="59">
        <v>0.161</v>
      </c>
      <c r="T6" s="60"/>
      <c r="U6" s="60"/>
      <c r="V6" s="60"/>
      <c r="W6" s="60"/>
      <c r="X6" s="60"/>
      <c r="Y6" s="60"/>
      <c r="Z6" s="1"/>
      <c r="AA6" s="1"/>
      <c r="AB6" s="1"/>
      <c r="AC6" s="1"/>
    </row>
    <row x14ac:dyDescent="0.25" r="7" customHeight="1" ht="18.75">
      <c r="A7" s="51" t="s">
        <v>928</v>
      </c>
      <c r="B7" s="68">
        <v>3.3499999999185093</v>
      </c>
      <c r="C7" s="69">
        <v>3.3499999999185093</v>
      </c>
      <c r="D7" s="57">
        <v>21.91666666668607</v>
      </c>
      <c r="E7" s="57">
        <v>24.11666666669771</v>
      </c>
      <c r="F7" s="57">
        <v>53.83333333331393</v>
      </c>
      <c r="G7" s="57">
        <v>72.28333333338378</v>
      </c>
      <c r="H7" s="57">
        <v>96.04999999998836</v>
      </c>
      <c r="I7" s="57">
        <v>120.08333333325572</v>
      </c>
      <c r="J7" s="62"/>
      <c r="K7" s="62"/>
      <c r="L7" s="62"/>
      <c r="M7" s="62"/>
      <c r="N7" s="63"/>
      <c r="O7" s="70">
        <v>0.059</v>
      </c>
      <c r="P7" s="70">
        <v>0.067</v>
      </c>
      <c r="Q7" s="70">
        <v>0.078</v>
      </c>
      <c r="R7" s="70">
        <v>0.106</v>
      </c>
      <c r="S7" s="70">
        <v>0.076</v>
      </c>
      <c r="T7" s="70">
        <v>0.064</v>
      </c>
      <c r="U7" s="70">
        <v>0.052</v>
      </c>
      <c r="V7" s="70">
        <v>0.019</v>
      </c>
      <c r="W7" s="60"/>
      <c r="X7" s="60"/>
      <c r="Y7" s="60"/>
      <c r="Z7" s="1"/>
      <c r="AA7" s="1"/>
      <c r="AB7" s="1"/>
      <c r="AC7" s="21"/>
    </row>
    <row x14ac:dyDescent="0.25" r="8" customHeight="1" ht="18.75">
      <c r="A8" s="51" t="s">
        <v>1095</v>
      </c>
      <c r="B8" s="56">
        <v>22.416666666744277</v>
      </c>
      <c r="C8" s="69">
        <v>24.550000000046566</v>
      </c>
      <c r="D8" s="69">
        <v>24.550000000046566</v>
      </c>
      <c r="E8" s="57">
        <v>35.71666666661622</v>
      </c>
      <c r="F8" s="57">
        <v>48.18333333340706</v>
      </c>
      <c r="G8" s="57">
        <v>72.78333333326736</v>
      </c>
      <c r="H8" s="57">
        <v>96.45000000006985</v>
      </c>
      <c r="I8" s="57">
        <v>120.21666666667443</v>
      </c>
      <c r="J8" s="57">
        <v>517.4500000000116</v>
      </c>
      <c r="K8" s="62"/>
      <c r="L8" s="62"/>
      <c r="M8" s="62"/>
      <c r="N8" s="63"/>
      <c r="O8" s="70">
        <v>0.249</v>
      </c>
      <c r="P8" s="70">
        <v>0.36</v>
      </c>
      <c r="Q8" s="70">
        <v>0.356</v>
      </c>
      <c r="R8" s="70">
        <v>0.276</v>
      </c>
      <c r="S8" s="70">
        <v>0.343</v>
      </c>
      <c r="T8" s="70">
        <v>0.357</v>
      </c>
      <c r="U8" s="70">
        <v>0.251</v>
      </c>
      <c r="V8" s="70">
        <v>0.145</v>
      </c>
      <c r="W8" s="70">
        <v>0.006</v>
      </c>
      <c r="X8" s="60"/>
      <c r="Y8" s="60"/>
      <c r="Z8" s="1"/>
      <c r="AA8" s="1"/>
      <c r="AB8" s="1"/>
      <c r="AC8" s="1"/>
    </row>
    <row x14ac:dyDescent="0.25" r="9" customHeight="1" ht="18.75">
      <c r="A9" s="1" t="s">
        <v>1034</v>
      </c>
      <c r="B9" s="3">
        <v>4.350000000034925</v>
      </c>
      <c r="C9" s="3">
        <v>4.366666666581295</v>
      </c>
      <c r="D9" s="3">
        <v>15.650000000023283</v>
      </c>
      <c r="E9" s="3">
        <v>24.45000000006985</v>
      </c>
      <c r="F9" s="3">
        <v>48.433333333348855</v>
      </c>
      <c r="G9" s="3">
        <v>72.19999999995343</v>
      </c>
      <c r="H9" s="3">
        <v>96.8833333334187</v>
      </c>
      <c r="I9" s="3">
        <v>120.766666666721</v>
      </c>
      <c r="J9" s="3">
        <v>144.21666666667443</v>
      </c>
      <c r="K9" s="3">
        <v>168.03333333326736</v>
      </c>
      <c r="L9" s="3">
        <v>192.09999999997672</v>
      </c>
      <c r="M9" s="3">
        <v>216.23333333339542</v>
      </c>
      <c r="N9" s="3">
        <v>265.483333333279</v>
      </c>
      <c r="O9" s="70">
        <v>0.27</v>
      </c>
      <c r="P9" s="70">
        <v>0.219</v>
      </c>
      <c r="Q9" s="70">
        <v>0.093</v>
      </c>
      <c r="R9" s="70">
        <v>0.064</v>
      </c>
      <c r="S9" s="70">
        <v>0.053</v>
      </c>
      <c r="T9" s="70">
        <v>0.036</v>
      </c>
      <c r="U9" s="70">
        <v>0.02</v>
      </c>
      <c r="V9" s="70">
        <v>0.013</v>
      </c>
      <c r="W9" s="70">
        <v>0.01</v>
      </c>
      <c r="X9" s="70">
        <v>0.011</v>
      </c>
      <c r="Y9" s="70">
        <v>0.009</v>
      </c>
      <c r="Z9" s="1"/>
      <c r="AA9" s="1"/>
      <c r="AB9" s="1"/>
      <c r="AC9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53"/>
  <sheetViews>
    <sheetView workbookViewId="0"/>
  </sheetViews>
  <sheetFormatPr defaultRowHeight="15" x14ac:dyDescent="0.25"/>
  <cols>
    <col min="1" max="1" style="8" width="32.29071428571429" customWidth="1" bestFit="1"/>
    <col min="2" max="2" style="50" width="21.719285714285714" customWidth="1" bestFit="1"/>
    <col min="3" max="3" style="11" width="21.14785714285714" customWidth="1" bestFit="1"/>
    <col min="4" max="4" style="9" width="21.14785714285714" customWidth="1" bestFit="1"/>
    <col min="5" max="5" style="11" width="19.14785714285714" customWidth="1" bestFit="1"/>
    <col min="6" max="6" style="9" width="19.14785714285714" customWidth="1" bestFit="1"/>
    <col min="7" max="7" style="11" width="22.576428571428572" customWidth="1" bestFit="1"/>
    <col min="8" max="8" style="9" width="24.14785714285714" customWidth="1" bestFit="1"/>
    <col min="9" max="9" style="11" width="30.290714285714284" customWidth="1" bestFit="1"/>
    <col min="10" max="10" style="9" width="13.576428571428572" customWidth="1" bestFit="1"/>
    <col min="11" max="11" style="11" width="30.290714285714284" customWidth="1" bestFit="1"/>
    <col min="12" max="12" style="9" width="13.576428571428572" customWidth="1" bestFit="1"/>
    <col min="13" max="13" style="11" width="15.719285714285713" customWidth="1" bestFit="1"/>
    <col min="14" max="14" style="9" width="13.576428571428572" customWidth="1" bestFit="1"/>
    <col min="15" max="15" style="11" width="13.576428571428572" customWidth="1" bestFit="1"/>
    <col min="16" max="16" style="10" width="13.576428571428572" customWidth="1" bestFit="1"/>
    <col min="17" max="17" style="11" width="13.576428571428572" customWidth="1" bestFit="1"/>
    <col min="18" max="18" style="10" width="13.576428571428572" customWidth="1" bestFit="1"/>
    <col min="19" max="19" style="11" width="18.14785714285714" customWidth="1" bestFit="1"/>
    <col min="20" max="20" style="10" width="13.576428571428572" customWidth="1" bestFit="1"/>
    <col min="21" max="21" style="11" width="13.576428571428572" customWidth="1" bestFit="1"/>
    <col min="22" max="22" style="10" width="13.576428571428572" customWidth="1" bestFit="1"/>
    <col min="23" max="23" style="11" width="13.576428571428572" customWidth="1" bestFit="1"/>
    <col min="24" max="24" style="10" width="13.576428571428572" customWidth="1" bestFit="1"/>
    <col min="25" max="25" style="11" width="13.576428571428572" customWidth="1" bestFit="1"/>
    <col min="26" max="26" style="10" width="13.576428571428572" customWidth="1" bestFit="1"/>
  </cols>
  <sheetData>
    <row x14ac:dyDescent="0.25" r="1" customHeight="1" ht="18.75">
      <c r="A1" s="34" t="s">
        <v>18</v>
      </c>
      <c r="B1" s="45" t="s">
        <v>1462</v>
      </c>
      <c r="C1" s="46" t="s">
        <v>1463</v>
      </c>
      <c r="D1" s="37" t="s">
        <v>1464</v>
      </c>
      <c r="E1" s="46" t="s">
        <v>1463</v>
      </c>
      <c r="F1" s="37" t="s">
        <v>1465</v>
      </c>
      <c r="G1" s="46" t="s">
        <v>1463</v>
      </c>
      <c r="H1" s="37" t="s">
        <v>1466</v>
      </c>
      <c r="I1" s="46" t="s">
        <v>1463</v>
      </c>
      <c r="J1" s="37" t="s">
        <v>1467</v>
      </c>
      <c r="K1" s="46" t="s">
        <v>1463</v>
      </c>
      <c r="L1" s="37" t="s">
        <v>1468</v>
      </c>
      <c r="M1" s="46" t="s">
        <v>1463</v>
      </c>
      <c r="N1" s="37" t="s">
        <v>1469</v>
      </c>
      <c r="O1" s="46" t="s">
        <v>1463</v>
      </c>
      <c r="P1" s="37" t="s">
        <v>1470</v>
      </c>
      <c r="Q1" s="46" t="s">
        <v>1463</v>
      </c>
      <c r="R1" s="37" t="s">
        <v>1471</v>
      </c>
      <c r="S1" s="46" t="s">
        <v>1463</v>
      </c>
      <c r="T1" s="37" t="s">
        <v>1472</v>
      </c>
      <c r="U1" s="46" t="s">
        <v>1463</v>
      </c>
      <c r="V1" s="37" t="s">
        <v>1473</v>
      </c>
      <c r="W1" s="46" t="s">
        <v>1463</v>
      </c>
      <c r="X1" s="37" t="s">
        <v>1474</v>
      </c>
      <c r="Y1" s="46" t="s">
        <v>1463</v>
      </c>
      <c r="Z1" s="37" t="s">
        <v>1475</v>
      </c>
    </row>
    <row x14ac:dyDescent="0.25" r="2" customHeight="1" ht="18.75">
      <c r="A2" s="1" t="s">
        <v>1476</v>
      </c>
      <c r="B2" s="47">
        <v>41338.541666666664</v>
      </c>
      <c r="C2" s="2">
        <v>1.1805555555555556</v>
      </c>
      <c r="D2" s="3">
        <v>0.514</v>
      </c>
      <c r="E2" s="2">
        <v>1.4138888888888888</v>
      </c>
      <c r="F2" s="3">
        <v>0.618</v>
      </c>
      <c r="G2" s="2">
        <v>1.81875</v>
      </c>
      <c r="H2" s="3">
        <v>0.542</v>
      </c>
      <c r="I2" s="2">
        <v>2.220138888888889</v>
      </c>
      <c r="J2" s="3">
        <v>0.579</v>
      </c>
      <c r="K2" s="2">
        <v>2.8166666666666664</v>
      </c>
      <c r="L2" s="3">
        <v>0.422</v>
      </c>
      <c r="M2" s="2">
        <v>3.8305555555555557</v>
      </c>
      <c r="N2" s="3">
        <v>0.366</v>
      </c>
      <c r="O2" s="7"/>
      <c r="P2" s="4"/>
      <c r="Q2" s="7"/>
      <c r="R2" s="4"/>
      <c r="S2" s="7"/>
      <c r="T2" s="4"/>
      <c r="U2" s="7"/>
      <c r="V2" s="4"/>
      <c r="W2" s="7"/>
      <c r="X2" s="4"/>
      <c r="Y2" s="7"/>
      <c r="Z2" s="4"/>
    </row>
    <row x14ac:dyDescent="0.25" r="3" customHeight="1" ht="18.75">
      <c r="A3" s="1" t="s">
        <v>1477</v>
      </c>
      <c r="B3" s="47">
        <v>41337.583333333336</v>
      </c>
      <c r="C3" s="2">
        <v>2.9819444444444443</v>
      </c>
      <c r="D3" s="3">
        <v>0.059</v>
      </c>
      <c r="E3" s="2">
        <v>3.3784722222222223</v>
      </c>
      <c r="F3" s="3">
        <v>0.0782</v>
      </c>
      <c r="G3" s="2">
        <v>3.7868055555555555</v>
      </c>
      <c r="H3" s="3">
        <v>0.078</v>
      </c>
      <c r="I3" s="2">
        <v>4.840972222222222</v>
      </c>
      <c r="J3" s="3">
        <v>0.072</v>
      </c>
      <c r="K3" s="2"/>
      <c r="L3" s="5"/>
      <c r="M3" s="2"/>
      <c r="N3" s="5"/>
      <c r="O3" s="7"/>
      <c r="P3" s="4"/>
      <c r="Q3" s="7"/>
      <c r="R3" s="4"/>
      <c r="S3" s="7"/>
      <c r="T3" s="4"/>
      <c r="U3" s="7"/>
      <c r="V3" s="4"/>
      <c r="W3" s="7"/>
      <c r="X3" s="4"/>
      <c r="Y3" s="7"/>
      <c r="Z3" s="4"/>
    </row>
    <row x14ac:dyDescent="0.25" r="4" customHeight="1" ht="18.75">
      <c r="A4" s="1" t="s">
        <v>1478</v>
      </c>
      <c r="B4" s="47">
        <v>41337.5</v>
      </c>
      <c r="C4" s="2">
        <v>5.013194444444444</v>
      </c>
      <c r="D4" s="3">
        <v>0.194</v>
      </c>
      <c r="E4" s="2">
        <v>5.450694444444444</v>
      </c>
      <c r="F4" s="3">
        <v>0.789</v>
      </c>
      <c r="G4" s="2">
        <v>5.940277777777778</v>
      </c>
      <c r="H4" s="3">
        <v>0.531</v>
      </c>
      <c r="I4" s="2">
        <v>6.9319444444444445</v>
      </c>
      <c r="J4" s="3">
        <v>0.818</v>
      </c>
      <c r="K4" s="2">
        <v>7.909027777777778</v>
      </c>
      <c r="L4" s="3">
        <v>0.761</v>
      </c>
      <c r="M4" s="2"/>
      <c r="N4" s="5"/>
      <c r="O4" s="7"/>
      <c r="P4" s="4"/>
      <c r="Q4" s="7"/>
      <c r="R4" s="4"/>
      <c r="S4" s="7"/>
      <c r="T4" s="4"/>
      <c r="U4" s="7"/>
      <c r="V4" s="4"/>
      <c r="W4" s="7"/>
      <c r="X4" s="4"/>
      <c r="Y4" s="7"/>
      <c r="Z4" s="4"/>
    </row>
    <row x14ac:dyDescent="0.25" r="5" customHeight="1" ht="18.75">
      <c r="A5" s="1" t="s">
        <v>1479</v>
      </c>
      <c r="B5" s="47">
        <v>41367.5</v>
      </c>
      <c r="C5" s="2">
        <v>1.1833333333333333</v>
      </c>
      <c r="D5" s="3">
        <v>0.205</v>
      </c>
      <c r="E5" s="2">
        <v>1.90625</v>
      </c>
      <c r="F5" s="3">
        <v>0.127</v>
      </c>
      <c r="G5" s="2">
        <v>2.457638888888889</v>
      </c>
      <c r="H5" s="3">
        <v>0.196</v>
      </c>
      <c r="I5" s="2">
        <v>2.884722222222222</v>
      </c>
      <c r="J5" s="3">
        <v>0.278</v>
      </c>
      <c r="K5" s="2">
        <v>3.8986111111111112</v>
      </c>
      <c r="L5" s="3">
        <v>0.184</v>
      </c>
      <c r="M5" s="2">
        <v>4.947916666666666</v>
      </c>
      <c r="N5" s="3">
        <v>0.182</v>
      </c>
      <c r="O5" s="2"/>
      <c r="P5" s="4"/>
      <c r="Q5" s="7"/>
      <c r="R5" s="4"/>
      <c r="S5" s="7"/>
      <c r="T5" s="4"/>
      <c r="U5" s="7"/>
      <c r="V5" s="4"/>
      <c r="W5" s="7"/>
      <c r="X5" s="4"/>
      <c r="Y5" s="7"/>
      <c r="Z5" s="4"/>
    </row>
    <row x14ac:dyDescent="0.25" r="6" customHeight="1" ht="18.75">
      <c r="A6" s="1" t="s">
        <v>1480</v>
      </c>
      <c r="B6" s="47">
        <v>41381.5</v>
      </c>
      <c r="C6" s="2">
        <v>1.457638888888889</v>
      </c>
      <c r="D6" s="3">
        <v>0.335</v>
      </c>
      <c r="E6" s="2">
        <v>1.9465277777777779</v>
      </c>
      <c r="F6" s="3">
        <v>0.296</v>
      </c>
      <c r="G6" s="2">
        <v>2.489583333333333</v>
      </c>
      <c r="H6" s="3">
        <v>0.236</v>
      </c>
      <c r="I6" s="2">
        <v>2.8798611111111114</v>
      </c>
      <c r="J6" s="3">
        <v>0.237</v>
      </c>
      <c r="K6" s="2">
        <v>3.923611111111111</v>
      </c>
      <c r="L6" s="3">
        <v>0.411</v>
      </c>
      <c r="M6" s="2">
        <v>4.156944444444445</v>
      </c>
      <c r="N6" s="3">
        <v>0.255</v>
      </c>
      <c r="O6" s="2">
        <v>4.920138888888889</v>
      </c>
      <c r="P6" s="3">
        <v>0.298</v>
      </c>
      <c r="Q6" s="2">
        <v>5.1875</v>
      </c>
      <c r="R6" s="3">
        <v>0.351</v>
      </c>
      <c r="S6" s="2">
        <v>5.955555555555556</v>
      </c>
      <c r="T6" s="3">
        <v>0.341</v>
      </c>
      <c r="U6" s="7"/>
      <c r="V6" s="4"/>
      <c r="W6" s="7"/>
      <c r="X6" s="4"/>
      <c r="Y6" s="7"/>
      <c r="Z6" s="4"/>
    </row>
    <row x14ac:dyDescent="0.25" r="7" customHeight="1" ht="18.75">
      <c r="A7" s="1" t="s">
        <v>1481</v>
      </c>
      <c r="B7" s="47">
        <v>41389.5</v>
      </c>
      <c r="C7" s="2">
        <v>1.2625</v>
      </c>
      <c r="D7" s="3">
        <v>0.16</v>
      </c>
      <c r="E7" s="2">
        <v>1.932638888888889</v>
      </c>
      <c r="F7" s="3">
        <v>0.32</v>
      </c>
      <c r="G7" s="2">
        <v>2.2104166666666667</v>
      </c>
      <c r="H7" s="3">
        <v>0.249</v>
      </c>
      <c r="I7" s="2">
        <v>2.8715277777777777</v>
      </c>
      <c r="J7" s="3">
        <v>0.271</v>
      </c>
      <c r="K7" s="2">
        <v>3.9055555555555554</v>
      </c>
      <c r="L7" s="3">
        <v>0.29</v>
      </c>
      <c r="M7" s="2">
        <v>4.854166666666666</v>
      </c>
      <c r="N7" s="3">
        <v>0.296</v>
      </c>
      <c r="O7" s="2">
        <v>5.857638888888889</v>
      </c>
      <c r="P7" s="3">
        <v>0.235</v>
      </c>
      <c r="Q7" s="2">
        <v>6.93125</v>
      </c>
      <c r="R7" s="3">
        <v>0.169</v>
      </c>
      <c r="S7" s="2"/>
      <c r="T7" s="4"/>
      <c r="U7" s="7"/>
      <c r="V7" s="4"/>
      <c r="W7" s="7"/>
      <c r="X7" s="4"/>
      <c r="Y7" s="7"/>
      <c r="Z7" s="4"/>
    </row>
    <row x14ac:dyDescent="0.25" r="8" customHeight="1" ht="18.75">
      <c r="A8" s="1" t="s">
        <v>1482</v>
      </c>
      <c r="B8" s="47">
        <v>41383.5</v>
      </c>
      <c r="C8" s="48">
        <v>1.0069444444444444</v>
      </c>
      <c r="D8" s="3">
        <v>0.118</v>
      </c>
      <c r="E8" s="48">
        <v>1.525</v>
      </c>
      <c r="F8" s="3">
        <v>0.147</v>
      </c>
      <c r="G8" s="48">
        <v>1.9104166666666667</v>
      </c>
      <c r="H8" s="3">
        <v>0.158</v>
      </c>
      <c r="I8" s="48">
        <v>2.920138888888889</v>
      </c>
      <c r="J8" s="3">
        <v>0.149</v>
      </c>
      <c r="K8" s="48">
        <v>3.1875</v>
      </c>
      <c r="L8" s="3">
        <v>0.135</v>
      </c>
      <c r="M8" s="48">
        <v>3.9618055555555554</v>
      </c>
      <c r="N8" s="3">
        <v>0.144</v>
      </c>
      <c r="O8" s="2"/>
      <c r="P8" s="4"/>
      <c r="Q8" s="2"/>
      <c r="R8" s="4"/>
      <c r="S8" s="2"/>
      <c r="T8" s="4"/>
      <c r="U8" s="7"/>
      <c r="V8" s="4"/>
      <c r="W8" s="7"/>
      <c r="X8" s="4"/>
      <c r="Y8" s="7"/>
      <c r="Z8" s="4"/>
    </row>
    <row x14ac:dyDescent="0.25" r="9" customHeight="1" ht="18.75">
      <c r="A9" s="1" t="s">
        <v>1483</v>
      </c>
      <c r="B9" s="47">
        <v>41354.5</v>
      </c>
      <c r="C9" s="2">
        <v>1.1201388888888888</v>
      </c>
      <c r="D9" s="3">
        <v>0.621</v>
      </c>
      <c r="E9" s="2">
        <v>32.95763888888889</v>
      </c>
      <c r="F9" s="3">
        <v>0.317</v>
      </c>
      <c r="G9" s="2">
        <v>33.42777777777778</v>
      </c>
      <c r="H9" s="3">
        <v>0.308</v>
      </c>
      <c r="I9" s="2">
        <v>33.947916666666664</v>
      </c>
      <c r="J9" s="3">
        <v>0.379</v>
      </c>
      <c r="K9" s="2">
        <v>34.93333333333333</v>
      </c>
      <c r="L9" s="3">
        <v>0.263</v>
      </c>
      <c r="M9" s="2">
        <v>35.89652777777778</v>
      </c>
      <c r="N9" s="3">
        <v>0.288</v>
      </c>
      <c r="O9" s="2"/>
      <c r="P9" s="4"/>
      <c r="Q9" s="2"/>
      <c r="R9" s="4"/>
      <c r="S9" s="2"/>
      <c r="T9" s="4"/>
      <c r="U9" s="7"/>
      <c r="V9" s="4"/>
      <c r="W9" s="7"/>
      <c r="X9" s="4"/>
      <c r="Y9" s="7"/>
      <c r="Z9" s="4"/>
    </row>
    <row x14ac:dyDescent="0.25" r="10" customHeight="1" ht="18.75">
      <c r="A10" s="1" t="s">
        <v>1484</v>
      </c>
      <c r="B10" s="47">
        <v>41367.5</v>
      </c>
      <c r="C10" s="2">
        <v>1.1583333333333332</v>
      </c>
      <c r="D10" s="3">
        <v>0.466</v>
      </c>
      <c r="E10" s="2">
        <v>1.43125</v>
      </c>
      <c r="F10" s="3">
        <v>0.539</v>
      </c>
      <c r="G10" s="2">
        <v>1.90625</v>
      </c>
      <c r="H10" s="3">
        <v>0.417</v>
      </c>
      <c r="I10" s="2">
        <v>2.8583333333333334</v>
      </c>
      <c r="J10" s="3">
        <v>0.375</v>
      </c>
      <c r="K10" s="2">
        <v>3.91875</v>
      </c>
      <c r="L10" s="3">
        <v>0.472</v>
      </c>
      <c r="M10" s="2"/>
      <c r="N10" s="5"/>
      <c r="O10" s="2"/>
      <c r="P10" s="4"/>
      <c r="Q10" s="2"/>
      <c r="R10" s="4"/>
      <c r="S10" s="2"/>
      <c r="T10" s="4"/>
      <c r="U10" s="7"/>
      <c r="V10" s="4"/>
      <c r="W10" s="7"/>
      <c r="X10" s="4"/>
      <c r="Y10" s="7"/>
      <c r="Z10" s="4"/>
    </row>
    <row x14ac:dyDescent="0.25" r="11" customHeight="1" ht="18.75">
      <c r="A11" s="1" t="s">
        <v>1485</v>
      </c>
      <c r="B11" s="47">
        <v>42342.5</v>
      </c>
      <c r="C11" s="2">
        <v>3.0118055555555556</v>
      </c>
      <c r="D11" s="3">
        <v>3.35</v>
      </c>
      <c r="E11" s="2">
        <v>3.9368055555555554</v>
      </c>
      <c r="F11" s="3">
        <v>3.2</v>
      </c>
      <c r="G11" s="2">
        <v>4.408333333333333</v>
      </c>
      <c r="H11" s="3">
        <v>2.34</v>
      </c>
      <c r="I11" s="2">
        <v>4.918055555555556</v>
      </c>
      <c r="J11" s="3">
        <v>2.93</v>
      </c>
      <c r="K11" s="2">
        <v>5.934722222222222</v>
      </c>
      <c r="L11" s="3">
        <v>2.24</v>
      </c>
      <c r="M11" s="2">
        <v>6.331944444444445</v>
      </c>
      <c r="N11" s="3">
        <v>1.68</v>
      </c>
      <c r="O11" s="2">
        <v>6.927083333333333</v>
      </c>
      <c r="P11" s="3">
        <v>2.29</v>
      </c>
      <c r="Q11" s="2">
        <v>7.884722222222222</v>
      </c>
      <c r="R11" s="3">
        <v>1.66</v>
      </c>
      <c r="S11" s="2">
        <v>8.911111111111111</v>
      </c>
      <c r="T11" s="3">
        <v>1.09</v>
      </c>
      <c r="U11" s="2">
        <v>9.92986111111111</v>
      </c>
      <c r="V11" s="3">
        <v>0.819</v>
      </c>
      <c r="W11" s="2">
        <v>10.98263888888889</v>
      </c>
      <c r="X11" s="3">
        <v>0.652</v>
      </c>
      <c r="Y11" s="2">
        <v>11.924305555555556</v>
      </c>
      <c r="Z11" s="3">
        <v>0.64</v>
      </c>
    </row>
    <row x14ac:dyDescent="0.25" r="12" customHeight="1" ht="18.75">
      <c r="A12" s="1" t="s">
        <v>1486</v>
      </c>
      <c r="B12" s="47">
        <v>42341.5</v>
      </c>
      <c r="C12" s="2">
        <v>2.988888888888889</v>
      </c>
      <c r="D12" s="3">
        <v>0.125</v>
      </c>
      <c r="E12" s="2">
        <v>3.8993055555555554</v>
      </c>
      <c r="F12" s="3">
        <v>0.143</v>
      </c>
      <c r="G12" s="2">
        <v>4.936805555555555</v>
      </c>
      <c r="H12" s="3">
        <v>0.133</v>
      </c>
      <c r="I12" s="2">
        <v>5.227777777777778</v>
      </c>
      <c r="J12" s="3">
        <v>0.105</v>
      </c>
      <c r="K12" s="2">
        <v>5.94375</v>
      </c>
      <c r="L12" s="3">
        <v>0.1</v>
      </c>
      <c r="M12" s="2">
        <v>6.948611111111111</v>
      </c>
      <c r="N12" s="3">
        <v>0.046</v>
      </c>
      <c r="O12" s="2">
        <v>7.96875</v>
      </c>
      <c r="P12" s="3">
        <v>0.027</v>
      </c>
      <c r="Q12" s="2">
        <v>9.932638888888889</v>
      </c>
      <c r="R12" s="3">
        <v>0.021</v>
      </c>
      <c r="S12" s="2">
        <v>10.995138888888889</v>
      </c>
      <c r="T12" s="3">
        <v>0.021</v>
      </c>
      <c r="U12" s="2">
        <v>11.925694444444444</v>
      </c>
      <c r="V12" s="3">
        <v>0.02</v>
      </c>
      <c r="W12" s="2"/>
      <c r="X12" s="4"/>
      <c r="Y12" s="7"/>
      <c r="Z12" s="4"/>
    </row>
    <row x14ac:dyDescent="0.25" r="13" customHeight="1" ht="18.75">
      <c r="A13" s="1" t="s">
        <v>1487</v>
      </c>
      <c r="B13" s="47">
        <v>42337.625</v>
      </c>
      <c r="C13" s="2">
        <v>2.0888888888888886</v>
      </c>
      <c r="D13" s="3">
        <v>1.33</v>
      </c>
      <c r="E13" s="2">
        <v>2.3465277777777778</v>
      </c>
      <c r="F13" s="3">
        <v>1.12</v>
      </c>
      <c r="G13" s="2">
        <v>2.7694444444444444</v>
      </c>
      <c r="H13" s="25">
        <v>1.3944444444444444</v>
      </c>
      <c r="I13" s="2">
        <v>3.748611111111111</v>
      </c>
      <c r="J13" s="3">
        <v>1.47</v>
      </c>
      <c r="K13" s="2">
        <v>4.7652777777777775</v>
      </c>
      <c r="L13" s="3">
        <v>1.63</v>
      </c>
      <c r="M13" s="2">
        <v>5.124305555555556</v>
      </c>
      <c r="N13" s="3">
        <v>1.5</v>
      </c>
      <c r="O13" s="2">
        <v>5.795138888888889</v>
      </c>
      <c r="P13" s="3">
        <v>1.25</v>
      </c>
      <c r="Q13" s="2">
        <v>6.811805555555556</v>
      </c>
      <c r="R13" s="3">
        <v>0.695</v>
      </c>
      <c r="S13" s="2">
        <v>7.845833333333333</v>
      </c>
      <c r="T13" s="3">
        <v>0.338</v>
      </c>
      <c r="U13" s="2">
        <v>8.824305555555554</v>
      </c>
      <c r="V13" s="3">
        <v>0.222</v>
      </c>
      <c r="W13" s="2"/>
      <c r="X13" s="4"/>
      <c r="Y13" s="7"/>
      <c r="Z13" s="4"/>
    </row>
    <row x14ac:dyDescent="0.25" r="14" customHeight="1" ht="18.75">
      <c r="A14" s="1" t="s">
        <v>1488</v>
      </c>
      <c r="B14" s="47">
        <v>42340.5</v>
      </c>
      <c r="C14" s="2">
        <v>10.065277777777778</v>
      </c>
      <c r="D14" s="3">
        <v>0.045</v>
      </c>
      <c r="E14" s="2">
        <v>10.25763888888889</v>
      </c>
      <c r="F14" s="3">
        <v>0.045</v>
      </c>
      <c r="G14" s="2">
        <v>10.916666666666666</v>
      </c>
      <c r="H14" s="3">
        <v>0.08</v>
      </c>
      <c r="I14" s="2">
        <v>11.92986111111111</v>
      </c>
      <c r="J14" s="3">
        <v>0.059</v>
      </c>
      <c r="K14" s="2">
        <v>12.88888888888889</v>
      </c>
      <c r="L14" s="3">
        <v>0.055</v>
      </c>
      <c r="M14" s="2">
        <v>13.422222222222222</v>
      </c>
      <c r="N14" s="3">
        <v>0.055</v>
      </c>
      <c r="O14" s="2">
        <v>13.896527777777777</v>
      </c>
      <c r="P14" s="3">
        <v>0.066</v>
      </c>
      <c r="Q14" s="2">
        <v>14.956944444444444</v>
      </c>
      <c r="R14" s="3">
        <v>0.055</v>
      </c>
      <c r="S14" s="2"/>
      <c r="T14" s="4"/>
      <c r="U14" s="2"/>
      <c r="V14" s="4"/>
      <c r="W14" s="2"/>
      <c r="X14" s="4"/>
      <c r="Y14" s="7"/>
      <c r="Z14" s="4"/>
    </row>
    <row x14ac:dyDescent="0.25" r="15" customHeight="1" ht="18.75">
      <c r="A15" s="1" t="s">
        <v>1489</v>
      </c>
      <c r="B15" s="47">
        <v>42329.5</v>
      </c>
      <c r="C15" s="2">
        <v>2.1902777777777778</v>
      </c>
      <c r="D15" s="3">
        <v>0.475</v>
      </c>
      <c r="E15" s="2">
        <v>2.8909722222222225</v>
      </c>
      <c r="F15" s="3">
        <v>0.476</v>
      </c>
      <c r="G15" s="2">
        <v>3.254861111111111</v>
      </c>
      <c r="H15" s="3">
        <v>0.624</v>
      </c>
      <c r="I15" s="2">
        <v>2.9375</v>
      </c>
      <c r="J15" s="3">
        <v>0.624</v>
      </c>
      <c r="K15" s="2">
        <v>3.9409722222222223</v>
      </c>
      <c r="L15" s="3">
        <v>0.733</v>
      </c>
      <c r="M15" s="2">
        <v>4.879861111111111</v>
      </c>
      <c r="N15" s="3">
        <v>0.515</v>
      </c>
      <c r="O15" s="2">
        <v>5.886805555555555</v>
      </c>
      <c r="P15" s="3">
        <v>0.497</v>
      </c>
      <c r="Q15" s="2">
        <v>6.91875</v>
      </c>
      <c r="R15" s="3">
        <v>0.426</v>
      </c>
      <c r="S15" s="2"/>
      <c r="T15" s="4"/>
      <c r="U15" s="2"/>
      <c r="V15" s="4"/>
      <c r="W15" s="2"/>
      <c r="X15" s="4"/>
      <c r="Y15" s="7"/>
      <c r="Z15" s="4"/>
    </row>
    <row x14ac:dyDescent="0.25" r="16" customHeight="1" ht="18.75">
      <c r="A16" s="1" t="s">
        <v>1490</v>
      </c>
      <c r="B16" s="47">
        <v>42336.5</v>
      </c>
      <c r="C16" s="2">
        <v>7.1625</v>
      </c>
      <c r="D16" s="3">
        <v>0.022</v>
      </c>
      <c r="E16" s="2">
        <v>7.41875</v>
      </c>
      <c r="F16" s="3">
        <v>0.075</v>
      </c>
      <c r="G16" s="2">
        <v>7.9534722222222225</v>
      </c>
      <c r="H16" s="3">
        <v>5.52</v>
      </c>
      <c r="I16" s="2">
        <v>8.903472222222222</v>
      </c>
      <c r="J16" s="3">
        <v>0.268</v>
      </c>
      <c r="K16" s="2">
        <v>9.911805555555556</v>
      </c>
      <c r="L16" s="3">
        <v>0.329</v>
      </c>
      <c r="M16" s="2">
        <v>10.918055555555556</v>
      </c>
      <c r="N16" s="3">
        <v>0.439</v>
      </c>
      <c r="O16" s="2">
        <v>12.03888888888889</v>
      </c>
      <c r="P16" s="3">
        <v>0.448</v>
      </c>
      <c r="Q16" s="2">
        <v>12.96875</v>
      </c>
      <c r="R16" s="3">
        <v>0.384</v>
      </c>
      <c r="S16" s="2"/>
      <c r="T16" s="4"/>
      <c r="U16" s="2"/>
      <c r="V16" s="4"/>
      <c r="W16" s="2"/>
      <c r="X16" s="4"/>
      <c r="Y16" s="7"/>
      <c r="Z16" s="4"/>
    </row>
    <row x14ac:dyDescent="0.25" r="17" customHeight="1" ht="18.75">
      <c r="A17" s="1" t="s">
        <v>1491</v>
      </c>
      <c r="B17" s="47">
        <v>42351.5</v>
      </c>
      <c r="C17" s="2">
        <v>2.3930555555555557</v>
      </c>
      <c r="D17" s="3">
        <v>0.54</v>
      </c>
      <c r="E17" s="2">
        <v>2.896527777777778</v>
      </c>
      <c r="F17" s="3">
        <v>0.476</v>
      </c>
      <c r="G17" s="2">
        <v>3.245138888888889</v>
      </c>
      <c r="H17" s="3">
        <v>0.535</v>
      </c>
      <c r="I17" s="2">
        <v>3.9229166666666666</v>
      </c>
      <c r="J17" s="3">
        <v>1.36</v>
      </c>
      <c r="K17" s="2">
        <v>4.225694444444445</v>
      </c>
      <c r="L17" s="3">
        <v>0.94</v>
      </c>
      <c r="M17" s="2">
        <v>4.897222222222222</v>
      </c>
      <c r="N17" s="6">
        <v>1</v>
      </c>
      <c r="O17" s="2">
        <v>5.9215277777777775</v>
      </c>
      <c r="P17" s="3">
        <v>0.886</v>
      </c>
      <c r="Q17" s="2">
        <v>6.308333333333334</v>
      </c>
      <c r="R17" s="3">
        <v>0.828</v>
      </c>
      <c r="S17" s="2">
        <v>6.926388888888889</v>
      </c>
      <c r="T17" s="3">
        <v>0.91</v>
      </c>
      <c r="U17" s="2">
        <v>7.241666666666666</v>
      </c>
      <c r="V17" s="3">
        <v>0.817</v>
      </c>
      <c r="W17" s="2">
        <v>7.9215277777777775</v>
      </c>
      <c r="X17" s="3">
        <v>0.74</v>
      </c>
      <c r="Y17" s="2">
        <v>8.975</v>
      </c>
      <c r="Z17" s="3">
        <v>0.532</v>
      </c>
    </row>
    <row x14ac:dyDescent="0.25" r="18" customHeight="1" ht="18.75">
      <c r="A18" s="1" t="s">
        <v>1492</v>
      </c>
      <c r="B18" s="47">
        <v>42347.6875</v>
      </c>
      <c r="C18" s="2">
        <v>1.1097222222222223</v>
      </c>
      <c r="D18" s="3">
        <v>0.267</v>
      </c>
      <c r="E18" s="2">
        <v>1.78125</v>
      </c>
      <c r="F18" s="3">
        <v>0.833</v>
      </c>
      <c r="G18" s="2">
        <v>1.9819444444444443</v>
      </c>
      <c r="H18" s="3">
        <v>1.82</v>
      </c>
      <c r="I18" s="2">
        <v>2.7354166666666666</v>
      </c>
      <c r="J18" s="3">
        <v>1.04</v>
      </c>
      <c r="K18" s="2">
        <v>3.745138888888889</v>
      </c>
      <c r="L18" s="3">
        <v>1.2</v>
      </c>
      <c r="M18" s="2">
        <v>4.757638888888889</v>
      </c>
      <c r="N18" s="3">
        <v>1.03</v>
      </c>
      <c r="O18" s="2">
        <v>5.795138888888889</v>
      </c>
      <c r="P18" s="3">
        <v>0.593</v>
      </c>
      <c r="Q18" s="2"/>
      <c r="R18" s="4"/>
      <c r="S18" s="2"/>
      <c r="T18" s="4"/>
      <c r="U18" s="2"/>
      <c r="V18" s="4"/>
      <c r="W18" s="2"/>
      <c r="X18" s="4"/>
      <c r="Y18" s="7"/>
      <c r="Z18" s="4"/>
    </row>
    <row x14ac:dyDescent="0.25" r="19" customHeight="1" ht="18.75">
      <c r="A19" s="1" t="s">
        <v>1493</v>
      </c>
      <c r="B19" s="47">
        <v>42340.5</v>
      </c>
      <c r="C19" s="2">
        <v>8.255555555555556</v>
      </c>
      <c r="D19" s="3">
        <v>0.096</v>
      </c>
      <c r="E19" s="2">
        <v>8.06388888888889</v>
      </c>
      <c r="F19" s="3">
        <v>0.098</v>
      </c>
      <c r="G19" s="2">
        <v>8.96875</v>
      </c>
      <c r="H19" s="3">
        <v>0.106</v>
      </c>
      <c r="I19" s="2">
        <v>9.884722222222223</v>
      </c>
      <c r="J19" s="3">
        <v>0.075</v>
      </c>
      <c r="K19" s="2">
        <v>10.25763888888889</v>
      </c>
      <c r="L19" s="3">
        <v>0.082</v>
      </c>
      <c r="M19" s="2">
        <v>10.911111111111111</v>
      </c>
      <c r="N19" s="3">
        <v>0.126</v>
      </c>
      <c r="O19" s="2">
        <v>11.92986111111111</v>
      </c>
      <c r="P19" s="3">
        <v>0.137</v>
      </c>
      <c r="Q19" s="2">
        <v>12.906944444444445</v>
      </c>
      <c r="R19" s="3">
        <v>0.139</v>
      </c>
      <c r="S19" s="2"/>
      <c r="T19" s="4"/>
      <c r="U19" s="2"/>
      <c r="V19" s="4"/>
      <c r="W19" s="2"/>
      <c r="X19" s="4"/>
      <c r="Y19" s="7"/>
      <c r="Z19" s="4"/>
    </row>
    <row x14ac:dyDescent="0.25" r="20" customHeight="1" ht="18.75">
      <c r="A20" s="1" t="s">
        <v>1494</v>
      </c>
      <c r="B20" s="47">
        <v>42340.083333333336</v>
      </c>
      <c r="C20" s="2">
        <v>1.6125</v>
      </c>
      <c r="D20" s="3">
        <v>0.798</v>
      </c>
      <c r="E20" s="2">
        <v>2.302083333333333</v>
      </c>
      <c r="F20" s="3">
        <v>1.95</v>
      </c>
      <c r="G20" s="2">
        <v>2.7381944444444444</v>
      </c>
      <c r="H20" s="3">
        <v>5.08</v>
      </c>
      <c r="I20" s="2">
        <v>3.3368055555555554</v>
      </c>
      <c r="J20" s="3">
        <v>4.74</v>
      </c>
      <c r="K20" s="2">
        <v>4.3694444444444445</v>
      </c>
      <c r="L20" s="3">
        <v>4.32</v>
      </c>
      <c r="M20" s="2">
        <v>5.326388888888889</v>
      </c>
      <c r="N20" s="3">
        <v>3.05</v>
      </c>
      <c r="O20" s="2">
        <v>6.384027777777778</v>
      </c>
      <c r="P20" s="3">
        <v>1.78</v>
      </c>
      <c r="Q20" s="2"/>
      <c r="R20" s="4"/>
      <c r="S20" s="2"/>
      <c r="T20" s="4"/>
      <c r="U20" s="2"/>
      <c r="V20" s="4"/>
      <c r="W20" s="2"/>
      <c r="X20" s="4"/>
      <c r="Y20" s="7"/>
      <c r="Z20" s="4"/>
    </row>
    <row x14ac:dyDescent="0.25" r="21" customHeight="1" ht="18.75">
      <c r="A21" s="1" t="s">
        <v>1495</v>
      </c>
      <c r="B21" s="47">
        <v>42362.125</v>
      </c>
      <c r="C21" s="2">
        <v>1.1694444444444445</v>
      </c>
      <c r="D21" s="3">
        <v>0.046</v>
      </c>
      <c r="E21" s="2">
        <v>1.2277777777777779</v>
      </c>
      <c r="F21" s="3">
        <v>0.045</v>
      </c>
      <c r="G21" s="2">
        <v>2.3048611111111112</v>
      </c>
      <c r="H21" s="3">
        <v>0.18</v>
      </c>
      <c r="I21" s="2">
        <v>3.2534722222222223</v>
      </c>
      <c r="J21" s="3">
        <v>0.171</v>
      </c>
      <c r="K21" s="2">
        <v>4.313888888888889</v>
      </c>
      <c r="L21" s="3">
        <v>0.172</v>
      </c>
      <c r="M21" s="2">
        <v>5.263888888888889</v>
      </c>
      <c r="N21" s="3">
        <v>0.13</v>
      </c>
      <c r="O21" s="2">
        <v>5.8694444444444445</v>
      </c>
      <c r="P21" s="3">
        <v>0.1</v>
      </c>
      <c r="Q21" s="2">
        <v>6.273611111111111</v>
      </c>
      <c r="R21" s="3">
        <v>0.09</v>
      </c>
      <c r="S21" s="2">
        <v>7.320833333333334</v>
      </c>
      <c r="T21" s="3">
        <v>0.077</v>
      </c>
      <c r="U21" s="2">
        <v>8.295833333333334</v>
      </c>
      <c r="V21" s="3">
        <v>0.055</v>
      </c>
      <c r="W21" s="2"/>
      <c r="X21" s="4"/>
      <c r="Y21" s="7"/>
      <c r="Z21" s="4"/>
    </row>
    <row x14ac:dyDescent="0.25" r="22" customHeight="1" ht="18.75">
      <c r="A22" s="1" t="s">
        <v>1496</v>
      </c>
      <c r="B22" s="47">
        <v>42363.125</v>
      </c>
      <c r="C22" s="2">
        <v>3.390972222222222</v>
      </c>
      <c r="D22" s="3">
        <v>0.873</v>
      </c>
      <c r="E22" s="2">
        <v>4.263888888888889</v>
      </c>
      <c r="F22" s="3">
        <v>0.813</v>
      </c>
      <c r="G22" s="2">
        <v>4.8694444444444445</v>
      </c>
      <c r="H22" s="3">
        <v>0.962</v>
      </c>
      <c r="I22" s="2">
        <v>5.275</v>
      </c>
      <c r="J22" s="3">
        <v>0.864</v>
      </c>
      <c r="K22" s="2">
        <v>6.28125</v>
      </c>
      <c r="L22" s="3">
        <v>0.832</v>
      </c>
      <c r="M22" s="2">
        <v>7.329166666666667</v>
      </c>
      <c r="N22" s="3">
        <v>0.605</v>
      </c>
      <c r="O22" s="2"/>
      <c r="P22" s="4"/>
      <c r="Q22" s="2"/>
      <c r="R22" s="4"/>
      <c r="S22" s="2"/>
      <c r="T22" s="4"/>
      <c r="U22" s="2"/>
      <c r="V22" s="4"/>
      <c r="W22" s="2"/>
      <c r="X22" s="4"/>
      <c r="Y22" s="7"/>
      <c r="Z22" s="4"/>
    </row>
    <row x14ac:dyDescent="0.25" r="23" customHeight="1" ht="18.75">
      <c r="A23" s="1" t="s">
        <v>1497</v>
      </c>
      <c r="B23" s="47">
        <v>42356.5</v>
      </c>
      <c r="C23" s="2">
        <v>1.0763888888888888</v>
      </c>
      <c r="D23" s="3">
        <v>0.477</v>
      </c>
      <c r="E23" s="2">
        <v>1.4777777777777779</v>
      </c>
      <c r="F23" s="3">
        <v>0.626</v>
      </c>
      <c r="G23" s="2">
        <v>1.926388888888889</v>
      </c>
      <c r="H23" s="3">
        <v>0.856</v>
      </c>
      <c r="I23" s="2">
        <v>2.240277777777778</v>
      </c>
      <c r="J23" s="3">
        <v>0.813</v>
      </c>
      <c r="K23" s="2">
        <v>2.95625</v>
      </c>
      <c r="L23" s="3">
        <v>0.871</v>
      </c>
      <c r="M23" s="2">
        <v>3.979861111111111</v>
      </c>
      <c r="N23" s="3">
        <v>0.859</v>
      </c>
      <c r="O23" s="2">
        <v>4.2340277777777775</v>
      </c>
      <c r="P23" s="3">
        <v>0.877</v>
      </c>
      <c r="Q23" s="2">
        <v>4.483333333333333</v>
      </c>
      <c r="R23" s="6">
        <v>1</v>
      </c>
      <c r="S23" s="2">
        <v>4.8625</v>
      </c>
      <c r="T23" s="3">
        <v>1.26</v>
      </c>
      <c r="U23" s="2">
        <v>5.85625</v>
      </c>
      <c r="V23" s="3">
        <v>1.05</v>
      </c>
      <c r="W23" s="2">
        <v>6.854166666666667</v>
      </c>
      <c r="X23" s="6">
        <v>1</v>
      </c>
      <c r="Y23" s="7"/>
      <c r="Z23" s="4"/>
    </row>
    <row x14ac:dyDescent="0.25" r="24" customHeight="1" ht="18.75">
      <c r="A24" s="1" t="s">
        <v>1498</v>
      </c>
      <c r="B24" s="47">
        <v>42353.666666666664</v>
      </c>
      <c r="C24" s="2">
        <v>1.3125</v>
      </c>
      <c r="D24" s="3">
        <v>0.01</v>
      </c>
      <c r="E24" s="2">
        <v>1.7513888888888889</v>
      </c>
      <c r="F24" s="3">
        <v>0.01</v>
      </c>
      <c r="G24" s="2">
        <v>2.0590277777777777</v>
      </c>
      <c r="H24" s="3">
        <v>0.087</v>
      </c>
      <c r="I24" s="2">
        <v>2.7305555555555556</v>
      </c>
      <c r="J24" s="3">
        <v>0.085</v>
      </c>
      <c r="K24" s="2">
        <v>3.754861111111111</v>
      </c>
      <c r="L24" s="3">
        <v>0.108</v>
      </c>
      <c r="M24" s="2">
        <v>4.779166666666667</v>
      </c>
      <c r="N24" s="3">
        <v>0.093</v>
      </c>
      <c r="O24" s="2">
        <v>5.75625</v>
      </c>
      <c r="P24" s="3">
        <v>0.089</v>
      </c>
      <c r="Q24" s="2"/>
      <c r="R24" s="4"/>
      <c r="S24" s="2"/>
      <c r="T24" s="4"/>
      <c r="U24" s="7"/>
      <c r="V24" s="4"/>
      <c r="W24" s="7"/>
      <c r="X24" s="4"/>
      <c r="Y24" s="7"/>
      <c r="Z24" s="4"/>
    </row>
    <row x14ac:dyDescent="0.25" r="25" customHeight="1" ht="18.75">
      <c r="A25" s="1" t="s">
        <v>1499</v>
      </c>
      <c r="B25" s="47">
        <v>42346.5</v>
      </c>
      <c r="C25" s="2">
        <v>2.2347222222222225</v>
      </c>
      <c r="D25" s="3">
        <v>0.014</v>
      </c>
      <c r="E25" s="2">
        <v>2.927083333333333</v>
      </c>
      <c r="F25" s="3">
        <v>0.013</v>
      </c>
      <c r="G25" s="2">
        <v>3.240972222222222</v>
      </c>
      <c r="H25" s="3">
        <v>0.122</v>
      </c>
      <c r="I25" s="2">
        <v>3.8847222222222224</v>
      </c>
      <c r="J25" s="3">
        <v>0.176</v>
      </c>
      <c r="K25" s="2">
        <v>4.259722222222223</v>
      </c>
      <c r="L25" s="3">
        <v>0.11</v>
      </c>
      <c r="M25" s="2">
        <v>4.932638888888889</v>
      </c>
      <c r="N25" s="3">
        <v>0.141</v>
      </c>
      <c r="O25" s="2">
        <v>5.929861111111111</v>
      </c>
      <c r="P25" s="3">
        <v>0.154</v>
      </c>
      <c r="Q25" s="2">
        <v>6.9840277777777775</v>
      </c>
      <c r="R25" s="3">
        <v>0.135</v>
      </c>
      <c r="S25" s="2"/>
      <c r="T25" s="4"/>
      <c r="U25" s="7"/>
      <c r="V25" s="4"/>
      <c r="W25" s="7"/>
      <c r="X25" s="4"/>
      <c r="Y25" s="7"/>
      <c r="Z25" s="4"/>
    </row>
    <row x14ac:dyDescent="0.25" r="26" customHeight="1" ht="18.75">
      <c r="A26" s="1" t="s">
        <v>1500</v>
      </c>
      <c r="B26" s="47">
        <v>42353.625</v>
      </c>
      <c r="C26" s="2">
        <v>1.9159722222222222</v>
      </c>
      <c r="D26" s="3">
        <v>0.137</v>
      </c>
      <c r="E26" s="2">
        <v>2.1</v>
      </c>
      <c r="F26" s="3">
        <v>0.117</v>
      </c>
      <c r="G26" s="2">
        <v>2.772222222222222</v>
      </c>
      <c r="H26" s="3">
        <v>0.12</v>
      </c>
      <c r="I26" s="2">
        <v>3.796527777777778</v>
      </c>
      <c r="J26" s="3">
        <v>0.151</v>
      </c>
      <c r="K26" s="2">
        <v>4.827083333333333</v>
      </c>
      <c r="L26" s="3">
        <v>0.144</v>
      </c>
      <c r="M26" s="2">
        <v>5.797916666666667</v>
      </c>
      <c r="N26" s="3">
        <v>0.112</v>
      </c>
      <c r="O26" s="2"/>
      <c r="P26" s="4"/>
      <c r="Q26" s="7"/>
      <c r="R26" s="4"/>
      <c r="S26" s="7"/>
      <c r="T26" s="4"/>
      <c r="U26" s="7"/>
      <c r="V26" s="4"/>
      <c r="W26" s="7"/>
      <c r="X26" s="4"/>
      <c r="Y26" s="7"/>
      <c r="Z26" s="4"/>
    </row>
    <row x14ac:dyDescent="0.25" r="27" customHeight="1" ht="18.75">
      <c r="A27" s="1"/>
      <c r="B27" s="49"/>
      <c r="C27" s="7"/>
      <c r="D27" s="5"/>
      <c r="E27" s="7"/>
      <c r="F27" s="5"/>
      <c r="G27" s="7"/>
      <c r="H27" s="5"/>
      <c r="I27" s="7"/>
      <c r="J27" s="5"/>
      <c r="K27" s="7"/>
      <c r="L27" s="5"/>
      <c r="M27" s="7"/>
      <c r="N27" s="5"/>
      <c r="O27" s="7"/>
      <c r="P27" s="4"/>
      <c r="Q27" s="7"/>
      <c r="R27" s="4"/>
      <c r="S27" s="7"/>
      <c r="T27" s="4"/>
      <c r="U27" s="7"/>
      <c r="V27" s="4"/>
      <c r="W27" s="7"/>
      <c r="X27" s="4"/>
      <c r="Y27" s="7"/>
      <c r="Z27" s="4"/>
    </row>
    <row x14ac:dyDescent="0.25" r="28" customHeight="1" ht="18.75">
      <c r="A28" s="1"/>
      <c r="B28" s="49"/>
      <c r="C28" s="7" t="s">
        <v>1501</v>
      </c>
      <c r="D28" s="5" t="s">
        <v>1502</v>
      </c>
      <c r="E28" s="7" t="s">
        <v>1503</v>
      </c>
      <c r="F28" s="5" t="s">
        <v>1504</v>
      </c>
      <c r="G28" s="7"/>
      <c r="H28" s="5"/>
      <c r="I28" s="7"/>
      <c r="J28" s="5"/>
      <c r="K28" s="7"/>
      <c r="L28" s="5"/>
      <c r="M28" s="7"/>
      <c r="N28" s="5"/>
      <c r="O28" s="7"/>
      <c r="P28" s="4"/>
      <c r="Q28" s="7"/>
      <c r="R28" s="4"/>
      <c r="S28" s="7"/>
      <c r="T28" s="4"/>
      <c r="U28" s="7"/>
      <c r="V28" s="4"/>
      <c r="W28" s="7"/>
      <c r="X28" s="4"/>
      <c r="Y28" s="7"/>
      <c r="Z28" s="4"/>
    </row>
    <row x14ac:dyDescent="0.25" r="29" customHeight="1" ht="18.75">
      <c r="A29" s="1"/>
      <c r="B29" s="49"/>
      <c r="C29" s="2">
        <v>1.1805555555555556</v>
      </c>
      <c r="D29" s="3">
        <f>C29*24</f>
      </c>
      <c r="E29" s="2">
        <v>1.4138888888888888</v>
      </c>
      <c r="F29" s="3">
        <f>E29*24</f>
      </c>
      <c r="G29" s="2">
        <v>1.81875</v>
      </c>
      <c r="H29" s="3">
        <f>G29*24</f>
      </c>
      <c r="I29" s="2">
        <v>2.220138888888889</v>
      </c>
      <c r="J29" s="3">
        <f>I29*24</f>
      </c>
      <c r="K29" s="2">
        <v>2.8166666666666664</v>
      </c>
      <c r="L29" s="3">
        <f>K29*24</f>
      </c>
      <c r="M29" s="2">
        <v>3.8305555555555557</v>
      </c>
      <c r="N29" s="3">
        <f>M29*24</f>
      </c>
      <c r="O29" s="7"/>
      <c r="P29" s="3"/>
      <c r="Q29" s="7"/>
      <c r="R29" s="3"/>
      <c r="S29" s="7"/>
      <c r="T29" s="3"/>
      <c r="U29" s="7"/>
      <c r="V29" s="3"/>
      <c r="W29" s="7"/>
      <c r="X29" s="3"/>
      <c r="Y29" s="7"/>
      <c r="Z29" s="3"/>
    </row>
    <row x14ac:dyDescent="0.25" r="30" customHeight="1" ht="18.75">
      <c r="A30" s="1"/>
      <c r="B30" s="49"/>
      <c r="C30" s="2">
        <v>2.9819444444444443</v>
      </c>
      <c r="D30" s="3">
        <f>C30*24</f>
      </c>
      <c r="E30" s="2">
        <v>3.3784722222222223</v>
      </c>
      <c r="F30" s="3">
        <f>E30*24</f>
      </c>
      <c r="G30" s="2">
        <v>3.7868055555555555</v>
      </c>
      <c r="H30" s="3">
        <f>G30*24</f>
      </c>
      <c r="I30" s="2">
        <v>4.840972222222222</v>
      </c>
      <c r="J30" s="3">
        <f>I30*24</f>
      </c>
      <c r="K30" s="2"/>
      <c r="L30" s="3"/>
      <c r="M30" s="2"/>
      <c r="N30" s="3"/>
      <c r="O30" s="7"/>
      <c r="P30" s="3"/>
      <c r="Q30" s="7"/>
      <c r="R30" s="3"/>
      <c r="S30" s="7"/>
      <c r="T30" s="3"/>
      <c r="U30" s="7"/>
      <c r="V30" s="3"/>
      <c r="W30" s="7"/>
      <c r="X30" s="3"/>
      <c r="Y30" s="7"/>
      <c r="Z30" s="3"/>
    </row>
    <row x14ac:dyDescent="0.25" r="31" customHeight="1" ht="18.75">
      <c r="A31" s="1"/>
      <c r="B31" s="49"/>
      <c r="C31" s="2">
        <v>5.013194444444444</v>
      </c>
      <c r="D31" s="3">
        <f>C31*24</f>
      </c>
      <c r="E31" s="2">
        <v>5.450694444444444</v>
      </c>
      <c r="F31" s="3">
        <f>E31*24</f>
      </c>
      <c r="G31" s="2">
        <v>5.940277777777778</v>
      </c>
      <c r="H31" s="3">
        <f>G31*24</f>
      </c>
      <c r="I31" s="2">
        <v>6.9319444444444445</v>
      </c>
      <c r="J31" s="3">
        <f>I31*24</f>
      </c>
      <c r="K31" s="2">
        <v>7.909027777777778</v>
      </c>
      <c r="L31" s="3">
        <f>K31*24</f>
      </c>
      <c r="M31" s="2"/>
      <c r="N31" s="3"/>
      <c r="O31" s="7"/>
      <c r="P31" s="3"/>
      <c r="Q31" s="7"/>
      <c r="R31" s="3"/>
      <c r="S31" s="7"/>
      <c r="T31" s="3"/>
      <c r="U31" s="7"/>
      <c r="V31" s="3"/>
      <c r="W31" s="7"/>
      <c r="X31" s="3"/>
      <c r="Y31" s="7"/>
      <c r="Z31" s="3"/>
    </row>
    <row x14ac:dyDescent="0.25" r="32" customHeight="1" ht="18.75">
      <c r="A32" s="1"/>
      <c r="B32" s="49"/>
      <c r="C32" s="2">
        <v>1.1833333333333333</v>
      </c>
      <c r="D32" s="3">
        <f>C32*24</f>
      </c>
      <c r="E32" s="2">
        <v>1.90625</v>
      </c>
      <c r="F32" s="3">
        <f>E32*24</f>
      </c>
      <c r="G32" s="2">
        <v>2.457638888888889</v>
      </c>
      <c r="H32" s="3">
        <f>G32*24</f>
      </c>
      <c r="I32" s="2">
        <v>2.884722222222222</v>
      </c>
      <c r="J32" s="3">
        <f>I32*24</f>
      </c>
      <c r="K32" s="2">
        <v>3.8986111111111112</v>
      </c>
      <c r="L32" s="3">
        <f>K32*24</f>
      </c>
      <c r="M32" s="2">
        <v>4.947916666666666</v>
      </c>
      <c r="N32" s="3">
        <f>M32*24</f>
      </c>
      <c r="O32" s="2"/>
      <c r="P32" s="3"/>
      <c r="Q32" s="7"/>
      <c r="R32" s="3"/>
      <c r="S32" s="7"/>
      <c r="T32" s="3"/>
      <c r="U32" s="7"/>
      <c r="V32" s="3"/>
      <c r="W32" s="7"/>
      <c r="X32" s="3"/>
      <c r="Y32" s="7"/>
      <c r="Z32" s="3"/>
    </row>
    <row x14ac:dyDescent="0.25" r="33" customHeight="1" ht="18.75">
      <c r="A33" s="1"/>
      <c r="B33" s="49"/>
      <c r="C33" s="2">
        <v>1.457638888888889</v>
      </c>
      <c r="D33" s="3">
        <f>C33*24</f>
      </c>
      <c r="E33" s="2">
        <v>1.9465277777777779</v>
      </c>
      <c r="F33" s="3">
        <f>E33*24</f>
      </c>
      <c r="G33" s="2">
        <v>2.489583333333333</v>
      </c>
      <c r="H33" s="3">
        <f>G33*24</f>
      </c>
      <c r="I33" s="2">
        <v>2.8798611111111114</v>
      </c>
      <c r="J33" s="3">
        <f>I33*24</f>
      </c>
      <c r="K33" s="2">
        <v>3.923611111111111</v>
      </c>
      <c r="L33" s="3">
        <f>K33*24</f>
      </c>
      <c r="M33" s="2">
        <v>4.156944444444445</v>
      </c>
      <c r="N33" s="3">
        <f>M33*24</f>
      </c>
      <c r="O33" s="2">
        <v>4.920138888888889</v>
      </c>
      <c r="P33" s="3">
        <f>O33*24</f>
      </c>
      <c r="Q33" s="2">
        <v>5.1875</v>
      </c>
      <c r="R33" s="3">
        <f>Q33*24</f>
      </c>
      <c r="S33" s="2">
        <v>5.955555555555556</v>
      </c>
      <c r="T33" s="3">
        <f>S33*24</f>
      </c>
      <c r="U33" s="7"/>
      <c r="V33" s="3"/>
      <c r="W33" s="7"/>
      <c r="X33" s="3"/>
      <c r="Y33" s="7"/>
      <c r="Z33" s="3"/>
    </row>
    <row x14ac:dyDescent="0.25" r="34" customHeight="1" ht="18.75">
      <c r="A34" s="1"/>
      <c r="B34" s="49"/>
      <c r="C34" s="2">
        <v>1.2625</v>
      </c>
      <c r="D34" s="3">
        <f>C34*24</f>
      </c>
      <c r="E34" s="2">
        <v>1.932638888888889</v>
      </c>
      <c r="F34" s="3">
        <f>E34*24</f>
      </c>
      <c r="G34" s="2">
        <v>2.2104166666666667</v>
      </c>
      <c r="H34" s="3">
        <f>G34*24</f>
      </c>
      <c r="I34" s="2">
        <v>2.8715277777777777</v>
      </c>
      <c r="J34" s="3">
        <f>I34*24</f>
      </c>
      <c r="K34" s="2">
        <v>3.9055555555555554</v>
      </c>
      <c r="L34" s="3">
        <f>K34*24</f>
      </c>
      <c r="M34" s="2">
        <v>4.854166666666666</v>
      </c>
      <c r="N34" s="3">
        <f>M34*24</f>
      </c>
      <c r="O34" s="2">
        <v>5.857638888888889</v>
      </c>
      <c r="P34" s="3">
        <f>O34*24</f>
      </c>
      <c r="Q34" s="2">
        <v>6.93125</v>
      </c>
      <c r="R34" s="3">
        <f>Q34*24</f>
      </c>
      <c r="S34" s="2"/>
      <c r="T34" s="3"/>
      <c r="U34" s="7"/>
      <c r="V34" s="3"/>
      <c r="W34" s="7"/>
      <c r="X34" s="3"/>
      <c r="Y34" s="7"/>
      <c r="Z34" s="3"/>
    </row>
    <row x14ac:dyDescent="0.25" r="35" customHeight="1" ht="18.75">
      <c r="A35" s="1"/>
      <c r="B35" s="49"/>
      <c r="C35" s="48">
        <v>1.0069444444444444</v>
      </c>
      <c r="D35" s="3">
        <f>C35*24</f>
      </c>
      <c r="E35" s="48">
        <v>1.525</v>
      </c>
      <c r="F35" s="3">
        <f>E35*24</f>
      </c>
      <c r="G35" s="48">
        <v>1.9104166666666667</v>
      </c>
      <c r="H35" s="3">
        <f>G35*24</f>
      </c>
      <c r="I35" s="48">
        <v>2.920138888888889</v>
      </c>
      <c r="J35" s="3">
        <f>I35*24</f>
      </c>
      <c r="K35" s="48">
        <v>3.1875</v>
      </c>
      <c r="L35" s="3">
        <f>K35*24</f>
      </c>
      <c r="M35" s="48">
        <v>3.9618055555555554</v>
      </c>
      <c r="N35" s="3">
        <f>M35*24</f>
      </c>
      <c r="O35" s="2"/>
      <c r="P35" s="3"/>
      <c r="Q35" s="2"/>
      <c r="R35" s="3"/>
      <c r="S35" s="2"/>
      <c r="T35" s="3"/>
      <c r="U35" s="7"/>
      <c r="V35" s="3"/>
      <c r="W35" s="7"/>
      <c r="X35" s="3"/>
      <c r="Y35" s="7"/>
      <c r="Z35" s="3"/>
    </row>
    <row x14ac:dyDescent="0.25" r="36" customHeight="1" ht="18.75">
      <c r="A36" s="1"/>
      <c r="B36" s="49"/>
      <c r="C36" s="2">
        <v>1.1201388888888888</v>
      </c>
      <c r="D36" s="3">
        <f>C36*24</f>
      </c>
      <c r="E36" s="2">
        <v>32.95763888888889</v>
      </c>
      <c r="F36" s="3">
        <f>E36*24</f>
      </c>
      <c r="G36" s="2">
        <v>33.42777777777778</v>
      </c>
      <c r="H36" s="3">
        <f>G36*24</f>
      </c>
      <c r="I36" s="2">
        <v>33.947916666666664</v>
      </c>
      <c r="J36" s="3">
        <f>I36*24</f>
      </c>
      <c r="K36" s="2">
        <v>34.93333333333333</v>
      </c>
      <c r="L36" s="3">
        <f>K36*24</f>
      </c>
      <c r="M36" s="2">
        <v>35.89652777777778</v>
      </c>
      <c r="N36" s="3">
        <f>M36*24</f>
      </c>
      <c r="O36" s="2"/>
      <c r="P36" s="3"/>
      <c r="Q36" s="2"/>
      <c r="R36" s="3"/>
      <c r="S36" s="2"/>
      <c r="T36" s="3"/>
      <c r="U36" s="7"/>
      <c r="V36" s="3"/>
      <c r="W36" s="7"/>
      <c r="X36" s="3"/>
      <c r="Y36" s="7"/>
      <c r="Z36" s="3"/>
    </row>
    <row x14ac:dyDescent="0.25" r="37" customHeight="1" ht="18.75">
      <c r="A37" s="1"/>
      <c r="B37" s="49"/>
      <c r="C37" s="2">
        <v>1.1583333333333332</v>
      </c>
      <c r="D37" s="3">
        <f>C37*24</f>
      </c>
      <c r="E37" s="2">
        <v>1.43125</v>
      </c>
      <c r="F37" s="3">
        <f>E37*24</f>
      </c>
      <c r="G37" s="2">
        <v>1.90625</v>
      </c>
      <c r="H37" s="3">
        <f>G37*24</f>
      </c>
      <c r="I37" s="2">
        <v>2.8583333333333334</v>
      </c>
      <c r="J37" s="3">
        <f>I37*24</f>
      </c>
      <c r="K37" s="2">
        <v>3.91875</v>
      </c>
      <c r="L37" s="3">
        <f>K37*24</f>
      </c>
      <c r="M37" s="2"/>
      <c r="N37" s="3"/>
      <c r="O37" s="2"/>
      <c r="P37" s="3"/>
      <c r="Q37" s="2"/>
      <c r="R37" s="3"/>
      <c r="S37" s="2"/>
      <c r="T37" s="3"/>
      <c r="U37" s="7"/>
      <c r="V37" s="3"/>
      <c r="W37" s="7"/>
      <c r="X37" s="3"/>
      <c r="Y37" s="7"/>
      <c r="Z37" s="3"/>
    </row>
    <row x14ac:dyDescent="0.25" r="38" customHeight="1" ht="18.75">
      <c r="A38" s="1"/>
      <c r="B38" s="49"/>
      <c r="C38" s="2">
        <v>3.0118055555555556</v>
      </c>
      <c r="D38" s="3">
        <f>C38*24</f>
      </c>
      <c r="E38" s="2">
        <v>3.9368055555555554</v>
      </c>
      <c r="F38" s="3">
        <f>E38*24</f>
      </c>
      <c r="G38" s="2">
        <v>4.408333333333333</v>
      </c>
      <c r="H38" s="3">
        <f>G38*24</f>
      </c>
      <c r="I38" s="2">
        <v>4.918055555555556</v>
      </c>
      <c r="J38" s="3">
        <f>I38*24</f>
      </c>
      <c r="K38" s="2">
        <v>5.934722222222222</v>
      </c>
      <c r="L38" s="3">
        <f>K38*24</f>
      </c>
      <c r="M38" s="2">
        <v>6.331944444444445</v>
      </c>
      <c r="N38" s="3">
        <f>M38*24</f>
      </c>
      <c r="O38" s="2">
        <v>6.927083333333333</v>
      </c>
      <c r="P38" s="3">
        <f>O38*24</f>
      </c>
      <c r="Q38" s="2">
        <v>7.884722222222222</v>
      </c>
      <c r="R38" s="3">
        <f>Q38*24</f>
      </c>
      <c r="S38" s="2">
        <v>8.911111111111111</v>
      </c>
      <c r="T38" s="3">
        <f>S38*24</f>
      </c>
      <c r="U38" s="2">
        <v>9.92986111111111</v>
      </c>
      <c r="V38" s="3">
        <f>U38*24</f>
      </c>
      <c r="W38" s="2">
        <v>10.98263888888889</v>
      </c>
      <c r="X38" s="3">
        <f>W38*24</f>
      </c>
      <c r="Y38" s="2">
        <v>11.924305555555556</v>
      </c>
      <c r="Z38" s="3">
        <f>Y38*24</f>
      </c>
    </row>
    <row x14ac:dyDescent="0.25" r="39" customHeight="1" ht="18.75">
      <c r="A39" s="1"/>
      <c r="B39" s="49"/>
      <c r="C39" s="2">
        <v>2.988888888888889</v>
      </c>
      <c r="D39" s="3">
        <f>C39*24</f>
      </c>
      <c r="E39" s="2">
        <v>3.8993055555555554</v>
      </c>
      <c r="F39" s="3">
        <f>E39*24</f>
      </c>
      <c r="G39" s="2">
        <v>4.936805555555555</v>
      </c>
      <c r="H39" s="3">
        <f>G39*24</f>
      </c>
      <c r="I39" s="2">
        <v>5.227777777777778</v>
      </c>
      <c r="J39" s="3">
        <f>I39*24</f>
      </c>
      <c r="K39" s="2">
        <v>5.94375</v>
      </c>
      <c r="L39" s="3">
        <f>K39*24</f>
      </c>
      <c r="M39" s="2">
        <v>6.948611111111111</v>
      </c>
      <c r="N39" s="3">
        <f>M39*24</f>
      </c>
      <c r="O39" s="2">
        <v>7.96875</v>
      </c>
      <c r="P39" s="3">
        <f>O39*24</f>
      </c>
      <c r="Q39" s="2">
        <v>9.932638888888889</v>
      </c>
      <c r="R39" s="3">
        <f>Q39*24</f>
      </c>
      <c r="S39" s="2">
        <v>10.995138888888889</v>
      </c>
      <c r="T39" s="3">
        <f>S39*24</f>
      </c>
      <c r="U39" s="2">
        <v>11.925694444444444</v>
      </c>
      <c r="V39" s="3">
        <f>U39*24</f>
      </c>
      <c r="W39" s="2"/>
      <c r="X39" s="3"/>
      <c r="Y39" s="7"/>
      <c r="Z39" s="3"/>
    </row>
    <row x14ac:dyDescent="0.25" r="40" customHeight="1" ht="18.75">
      <c r="A40" s="1"/>
      <c r="B40" s="49"/>
      <c r="C40" s="2">
        <v>2.0888888888888886</v>
      </c>
      <c r="D40" s="3">
        <f>C40*24</f>
      </c>
      <c r="E40" s="2">
        <v>2.3465277777777778</v>
      </c>
      <c r="F40" s="3">
        <f>E40*24</f>
      </c>
      <c r="G40" s="2">
        <v>2.7694444444444444</v>
      </c>
      <c r="H40" s="3">
        <f>G40*24</f>
      </c>
      <c r="I40" s="2">
        <v>3.748611111111111</v>
      </c>
      <c r="J40" s="3">
        <f>I40*24</f>
      </c>
      <c r="K40" s="2">
        <v>4.7652777777777775</v>
      </c>
      <c r="L40" s="3">
        <f>K40*24</f>
      </c>
      <c r="M40" s="2">
        <v>5.124305555555556</v>
      </c>
      <c r="N40" s="3">
        <f>M40*24</f>
      </c>
      <c r="O40" s="2">
        <v>5.795138888888889</v>
      </c>
      <c r="P40" s="3">
        <f>O40*24</f>
      </c>
      <c r="Q40" s="2">
        <v>6.811805555555556</v>
      </c>
      <c r="R40" s="3">
        <f>Q40*24</f>
      </c>
      <c r="S40" s="2">
        <v>7.845833333333333</v>
      </c>
      <c r="T40" s="3">
        <f>S40*24</f>
      </c>
      <c r="U40" s="2">
        <v>8.824305555555554</v>
      </c>
      <c r="V40" s="3">
        <f>U40*24</f>
      </c>
      <c r="W40" s="2"/>
      <c r="X40" s="3"/>
      <c r="Y40" s="7"/>
      <c r="Z40" s="3"/>
    </row>
    <row x14ac:dyDescent="0.25" r="41" customHeight="1" ht="18.75">
      <c r="A41" s="1"/>
      <c r="B41" s="49"/>
      <c r="C41" s="2">
        <v>10.065277777777778</v>
      </c>
      <c r="D41" s="3">
        <f>C41*24</f>
      </c>
      <c r="E41" s="2">
        <v>10.25763888888889</v>
      </c>
      <c r="F41" s="3">
        <f>E41*24</f>
      </c>
      <c r="G41" s="2">
        <v>10.916666666666666</v>
      </c>
      <c r="H41" s="3">
        <f>G41*24</f>
      </c>
      <c r="I41" s="2">
        <v>11.92986111111111</v>
      </c>
      <c r="J41" s="3">
        <f>I41*24</f>
      </c>
      <c r="K41" s="2">
        <v>12.88888888888889</v>
      </c>
      <c r="L41" s="3">
        <f>K41*24</f>
      </c>
      <c r="M41" s="2">
        <v>13.422222222222222</v>
      </c>
      <c r="N41" s="3">
        <f>M41*24</f>
      </c>
      <c r="O41" s="2">
        <v>13.896527777777777</v>
      </c>
      <c r="P41" s="3">
        <f>O41*24</f>
      </c>
      <c r="Q41" s="2">
        <v>14.956944444444444</v>
      </c>
      <c r="R41" s="3">
        <f>Q41*24</f>
      </c>
      <c r="S41" s="2"/>
      <c r="T41" s="3"/>
      <c r="U41" s="2"/>
      <c r="V41" s="3"/>
      <c r="W41" s="2"/>
      <c r="X41" s="3"/>
      <c r="Y41" s="7"/>
      <c r="Z41" s="3"/>
    </row>
    <row x14ac:dyDescent="0.25" r="42" customHeight="1" ht="18.75">
      <c r="A42" s="1"/>
      <c r="B42" s="49"/>
      <c r="C42" s="2">
        <v>2.1902777777777778</v>
      </c>
      <c r="D42" s="3">
        <f>C42*24</f>
      </c>
      <c r="E42" s="2">
        <v>2.8909722222222225</v>
      </c>
      <c r="F42" s="3">
        <f>E42*24</f>
      </c>
      <c r="G42" s="2">
        <v>3.254861111111111</v>
      </c>
      <c r="H42" s="3">
        <f>G42*24</f>
      </c>
      <c r="I42" s="2">
        <v>2.9375</v>
      </c>
      <c r="J42" s="3">
        <f>I42*24</f>
      </c>
      <c r="K42" s="2">
        <v>3.9409722222222223</v>
      </c>
      <c r="L42" s="3">
        <f>K42*24</f>
      </c>
      <c r="M42" s="2">
        <v>4.879861111111111</v>
      </c>
      <c r="N42" s="3">
        <f>M42*24</f>
      </c>
      <c r="O42" s="2">
        <v>5.886805555555555</v>
      </c>
      <c r="P42" s="3">
        <f>O42*24</f>
      </c>
      <c r="Q42" s="2">
        <v>6.91875</v>
      </c>
      <c r="R42" s="3">
        <f>Q42*24</f>
      </c>
      <c r="S42" s="2"/>
      <c r="T42" s="3"/>
      <c r="U42" s="2"/>
      <c r="V42" s="3"/>
      <c r="W42" s="2"/>
      <c r="X42" s="3"/>
      <c r="Y42" s="7"/>
      <c r="Z42" s="3"/>
    </row>
    <row x14ac:dyDescent="0.25" r="43" customHeight="1" ht="18.75">
      <c r="A43" s="1"/>
      <c r="B43" s="49"/>
      <c r="C43" s="2">
        <v>7.1625</v>
      </c>
      <c r="D43" s="3">
        <f>C43*24</f>
      </c>
      <c r="E43" s="2">
        <v>7.41875</v>
      </c>
      <c r="F43" s="3">
        <f>E43*24</f>
      </c>
      <c r="G43" s="2">
        <v>7.9534722222222225</v>
      </c>
      <c r="H43" s="3">
        <f>G43*24</f>
      </c>
      <c r="I43" s="2">
        <v>8.903472222222222</v>
      </c>
      <c r="J43" s="3">
        <f>I43*24</f>
      </c>
      <c r="K43" s="2">
        <v>9.911805555555556</v>
      </c>
      <c r="L43" s="3">
        <f>K43*24</f>
      </c>
      <c r="M43" s="2">
        <v>10.918055555555556</v>
      </c>
      <c r="N43" s="3">
        <f>M43*24</f>
      </c>
      <c r="O43" s="2">
        <v>12.03888888888889</v>
      </c>
      <c r="P43" s="3">
        <f>O43*24</f>
      </c>
      <c r="Q43" s="2">
        <v>12.96875</v>
      </c>
      <c r="R43" s="3">
        <f>Q43*24</f>
      </c>
      <c r="S43" s="2"/>
      <c r="T43" s="3"/>
      <c r="U43" s="2"/>
      <c r="V43" s="3"/>
      <c r="W43" s="2"/>
      <c r="X43" s="3"/>
      <c r="Y43" s="7"/>
      <c r="Z43" s="3"/>
    </row>
    <row x14ac:dyDescent="0.25" r="44" customHeight="1" ht="18.75">
      <c r="A44" s="1"/>
      <c r="B44" s="49"/>
      <c r="C44" s="2">
        <v>2.3930555555555557</v>
      </c>
      <c r="D44" s="3">
        <f>C44*24</f>
      </c>
      <c r="E44" s="2">
        <v>2.896527777777778</v>
      </c>
      <c r="F44" s="3">
        <f>E44*24</f>
      </c>
      <c r="G44" s="2">
        <v>3.245138888888889</v>
      </c>
      <c r="H44" s="3">
        <f>G44*24</f>
      </c>
      <c r="I44" s="2">
        <v>3.9229166666666666</v>
      </c>
      <c r="J44" s="3">
        <f>I44*24</f>
      </c>
      <c r="K44" s="2">
        <v>4.225694444444445</v>
      </c>
      <c r="L44" s="3">
        <f>K44*24</f>
      </c>
      <c r="M44" s="2">
        <v>4.897222222222222</v>
      </c>
      <c r="N44" s="3">
        <f>M44*24</f>
      </c>
      <c r="O44" s="2">
        <v>5.9215277777777775</v>
      </c>
      <c r="P44" s="3">
        <f>O44*24</f>
      </c>
      <c r="Q44" s="2">
        <v>6.308333333333334</v>
      </c>
      <c r="R44" s="3">
        <f>Q44*24</f>
      </c>
      <c r="S44" s="2">
        <v>6.926388888888889</v>
      </c>
      <c r="T44" s="3">
        <f>S44*24</f>
      </c>
      <c r="U44" s="2">
        <v>7.241666666666666</v>
      </c>
      <c r="V44" s="3">
        <f>U44*24</f>
      </c>
      <c r="W44" s="2">
        <v>7.9215277777777775</v>
      </c>
      <c r="X44" s="3">
        <f>W44*24</f>
      </c>
      <c r="Y44" s="2">
        <v>8.975</v>
      </c>
      <c r="Z44" s="3">
        <f>Y44*24</f>
      </c>
    </row>
    <row x14ac:dyDescent="0.25" r="45" customHeight="1" ht="18.75">
      <c r="A45" s="1"/>
      <c r="B45" s="49"/>
      <c r="C45" s="2">
        <v>1.1097222222222223</v>
      </c>
      <c r="D45" s="3">
        <f>C45*24</f>
      </c>
      <c r="E45" s="2">
        <v>1.78125</v>
      </c>
      <c r="F45" s="3">
        <f>E45*24</f>
      </c>
      <c r="G45" s="2">
        <v>1.9819444444444443</v>
      </c>
      <c r="H45" s="3">
        <f>G45*24</f>
      </c>
      <c r="I45" s="2">
        <v>2.7354166666666666</v>
      </c>
      <c r="J45" s="3">
        <f>I45*24</f>
      </c>
      <c r="K45" s="2">
        <v>3.745138888888889</v>
      </c>
      <c r="L45" s="3">
        <f>K45*24</f>
      </c>
      <c r="M45" s="2">
        <v>4.757638888888889</v>
      </c>
      <c r="N45" s="3">
        <f>M45*24</f>
      </c>
      <c r="O45" s="2">
        <v>5.795138888888889</v>
      </c>
      <c r="P45" s="3">
        <f>O45*24</f>
      </c>
      <c r="Q45" s="2"/>
      <c r="R45" s="3"/>
      <c r="S45" s="2"/>
      <c r="T45" s="3"/>
      <c r="U45" s="2"/>
      <c r="V45" s="3"/>
      <c r="W45" s="2"/>
      <c r="X45" s="3"/>
      <c r="Y45" s="7"/>
      <c r="Z45" s="3"/>
    </row>
    <row x14ac:dyDescent="0.25" r="46" customHeight="1" ht="18.75">
      <c r="A46" s="1"/>
      <c r="B46" s="49"/>
      <c r="C46" s="2">
        <v>8.255555555555556</v>
      </c>
      <c r="D46" s="3">
        <f>C46*24</f>
      </c>
      <c r="E46" s="2">
        <v>8.06388888888889</v>
      </c>
      <c r="F46" s="3">
        <f>E46*24</f>
      </c>
      <c r="G46" s="2">
        <v>8.96875</v>
      </c>
      <c r="H46" s="3">
        <f>G46*24</f>
      </c>
      <c r="I46" s="2">
        <v>9.884722222222223</v>
      </c>
      <c r="J46" s="3">
        <f>I46*24</f>
      </c>
      <c r="K46" s="2">
        <v>10.25763888888889</v>
      </c>
      <c r="L46" s="3">
        <f>K46*24</f>
      </c>
      <c r="M46" s="2">
        <v>10.911111111111111</v>
      </c>
      <c r="N46" s="3">
        <f>M46*24</f>
      </c>
      <c r="O46" s="2">
        <v>11.92986111111111</v>
      </c>
      <c r="P46" s="3">
        <f>O46*24</f>
      </c>
      <c r="Q46" s="2">
        <v>12.906944444444445</v>
      </c>
      <c r="R46" s="3">
        <f>Q46*24</f>
      </c>
      <c r="S46" s="2"/>
      <c r="T46" s="3"/>
      <c r="U46" s="2"/>
      <c r="V46" s="3"/>
      <c r="W46" s="2"/>
      <c r="X46" s="3"/>
      <c r="Y46" s="7"/>
      <c r="Z46" s="3"/>
    </row>
    <row x14ac:dyDescent="0.25" r="47" customHeight="1" ht="18.75">
      <c r="A47" s="1"/>
      <c r="B47" s="49"/>
      <c r="C47" s="2">
        <v>1.6125</v>
      </c>
      <c r="D47" s="3">
        <f>C47*24</f>
      </c>
      <c r="E47" s="2">
        <v>2.302083333333333</v>
      </c>
      <c r="F47" s="3">
        <f>E47*24</f>
      </c>
      <c r="G47" s="2">
        <v>2.7381944444444444</v>
      </c>
      <c r="H47" s="3">
        <f>G47*24</f>
      </c>
      <c r="I47" s="2">
        <v>3.3368055555555554</v>
      </c>
      <c r="J47" s="3">
        <f>I47*24</f>
      </c>
      <c r="K47" s="2">
        <v>4.3694444444444445</v>
      </c>
      <c r="L47" s="3">
        <f>K47*24</f>
      </c>
      <c r="M47" s="2">
        <v>5.326388888888889</v>
      </c>
      <c r="N47" s="3">
        <f>M47*24</f>
      </c>
      <c r="O47" s="2">
        <v>6.384027777777778</v>
      </c>
      <c r="P47" s="3">
        <f>O47*24</f>
      </c>
      <c r="Q47" s="2"/>
      <c r="R47" s="3"/>
      <c r="S47" s="2"/>
      <c r="T47" s="3"/>
      <c r="U47" s="2"/>
      <c r="V47" s="3"/>
      <c r="W47" s="2"/>
      <c r="X47" s="3"/>
      <c r="Y47" s="7"/>
      <c r="Z47" s="3"/>
    </row>
    <row x14ac:dyDescent="0.25" r="48" customHeight="1" ht="18.75">
      <c r="A48" s="1"/>
      <c r="B48" s="49"/>
      <c r="C48" s="2">
        <v>1.1694444444444445</v>
      </c>
      <c r="D48" s="3">
        <f>C48*24</f>
      </c>
      <c r="E48" s="2">
        <v>1.2277777777777779</v>
      </c>
      <c r="F48" s="3">
        <f>E48*24</f>
      </c>
      <c r="G48" s="2">
        <v>2.3048611111111112</v>
      </c>
      <c r="H48" s="3">
        <f>G48*24</f>
      </c>
      <c r="I48" s="2">
        <v>3.2534722222222223</v>
      </c>
      <c r="J48" s="3">
        <f>I48*24</f>
      </c>
      <c r="K48" s="2">
        <v>4.313888888888889</v>
      </c>
      <c r="L48" s="3">
        <f>K48*24</f>
      </c>
      <c r="M48" s="2">
        <v>5.263888888888889</v>
      </c>
      <c r="N48" s="3">
        <f>M48*24</f>
      </c>
      <c r="O48" s="2">
        <v>5.8694444444444445</v>
      </c>
      <c r="P48" s="3">
        <f>O48*24</f>
      </c>
      <c r="Q48" s="2">
        <v>6.273611111111111</v>
      </c>
      <c r="R48" s="3">
        <f>Q48*24</f>
      </c>
      <c r="S48" s="2">
        <v>7.320833333333334</v>
      </c>
      <c r="T48" s="3">
        <f>S48*24</f>
      </c>
      <c r="U48" s="2">
        <v>8.295833333333334</v>
      </c>
      <c r="V48" s="3">
        <f>U48*24</f>
      </c>
      <c r="W48" s="2"/>
      <c r="X48" s="3"/>
      <c r="Y48" s="7"/>
      <c r="Z48" s="3"/>
    </row>
    <row x14ac:dyDescent="0.25" r="49" customHeight="1" ht="18.75">
      <c r="A49" s="1"/>
      <c r="B49" s="49"/>
      <c r="C49" s="2">
        <v>3.390972222222222</v>
      </c>
      <c r="D49" s="3">
        <f>C49*24</f>
      </c>
      <c r="E49" s="2">
        <v>4.263888888888889</v>
      </c>
      <c r="F49" s="3">
        <f>E49*24</f>
      </c>
      <c r="G49" s="2">
        <v>4.8694444444444445</v>
      </c>
      <c r="H49" s="3">
        <f>G49*24</f>
      </c>
      <c r="I49" s="2">
        <v>5.275</v>
      </c>
      <c r="J49" s="3">
        <f>I49*24</f>
      </c>
      <c r="K49" s="2">
        <v>6.28125</v>
      </c>
      <c r="L49" s="3">
        <f>K49*24</f>
      </c>
      <c r="M49" s="2">
        <v>7.329166666666667</v>
      </c>
      <c r="N49" s="3">
        <f>M49*24</f>
      </c>
      <c r="O49" s="2"/>
      <c r="P49" s="3"/>
      <c r="Q49" s="2"/>
      <c r="R49" s="3"/>
      <c r="S49" s="2"/>
      <c r="T49" s="3"/>
      <c r="U49" s="2"/>
      <c r="V49" s="3"/>
      <c r="W49" s="2"/>
      <c r="X49" s="3"/>
      <c r="Y49" s="7"/>
      <c r="Z49" s="3"/>
    </row>
    <row x14ac:dyDescent="0.25" r="50" customHeight="1" ht="18.75">
      <c r="A50" s="1"/>
      <c r="B50" s="49"/>
      <c r="C50" s="2">
        <v>1.0763888888888888</v>
      </c>
      <c r="D50" s="3">
        <f>C50*24</f>
      </c>
      <c r="E50" s="2">
        <v>1.4777777777777779</v>
      </c>
      <c r="F50" s="3">
        <f>E50*24</f>
      </c>
      <c r="G50" s="2">
        <v>1.926388888888889</v>
      </c>
      <c r="H50" s="3">
        <f>G50*24</f>
      </c>
      <c r="I50" s="2">
        <v>2.240277777777778</v>
      </c>
      <c r="J50" s="3">
        <f>I50*24</f>
      </c>
      <c r="K50" s="2">
        <v>2.95625</v>
      </c>
      <c r="L50" s="3">
        <f>K50*24</f>
      </c>
      <c r="M50" s="2">
        <v>3.979861111111111</v>
      </c>
      <c r="N50" s="3">
        <f>M50*24</f>
      </c>
      <c r="O50" s="2">
        <v>4.2340277777777775</v>
      </c>
      <c r="P50" s="3">
        <f>O50*24</f>
      </c>
      <c r="Q50" s="2">
        <v>4.483333333333333</v>
      </c>
      <c r="R50" s="3">
        <f>Q50*24</f>
      </c>
      <c r="S50" s="2">
        <v>4.8625</v>
      </c>
      <c r="T50" s="3">
        <f>S50*24</f>
      </c>
      <c r="U50" s="2">
        <v>5.85625</v>
      </c>
      <c r="V50" s="3">
        <f>U50*24</f>
      </c>
      <c r="W50" s="2">
        <v>6.854166666666667</v>
      </c>
      <c r="X50" s="3">
        <f>W50*24</f>
      </c>
      <c r="Y50" s="7"/>
      <c r="Z50" s="3"/>
    </row>
    <row x14ac:dyDescent="0.25" r="51" customHeight="1" ht="18.75">
      <c r="A51" s="1"/>
      <c r="B51" s="49"/>
      <c r="C51" s="2">
        <v>1.3125</v>
      </c>
      <c r="D51" s="3">
        <f>C51*24</f>
      </c>
      <c r="E51" s="2">
        <v>1.7513888888888889</v>
      </c>
      <c r="F51" s="3">
        <f>E51*24</f>
      </c>
      <c r="G51" s="2">
        <v>2.0590277777777777</v>
      </c>
      <c r="H51" s="3">
        <f>G51*24</f>
      </c>
      <c r="I51" s="2">
        <v>2.7305555555555556</v>
      </c>
      <c r="J51" s="3">
        <f>I51*24</f>
      </c>
      <c r="K51" s="2">
        <v>3.754861111111111</v>
      </c>
      <c r="L51" s="3">
        <f>K51*24</f>
      </c>
      <c r="M51" s="2">
        <v>4.779166666666667</v>
      </c>
      <c r="N51" s="3">
        <f>M51*24</f>
      </c>
      <c r="O51" s="2">
        <v>5.75625</v>
      </c>
      <c r="P51" s="3">
        <f>O51*24</f>
      </c>
      <c r="Q51" s="2"/>
      <c r="R51" s="3"/>
      <c r="S51" s="2"/>
      <c r="T51" s="3"/>
      <c r="U51" s="7"/>
      <c r="V51" s="3"/>
      <c r="W51" s="7"/>
      <c r="X51" s="3"/>
      <c r="Y51" s="7"/>
      <c r="Z51" s="3"/>
    </row>
    <row x14ac:dyDescent="0.25" r="52" customHeight="1" ht="18.75">
      <c r="A52" s="1"/>
      <c r="B52" s="49"/>
      <c r="C52" s="2">
        <v>2.2347222222222225</v>
      </c>
      <c r="D52" s="3">
        <f>C52*24</f>
      </c>
      <c r="E52" s="2">
        <v>2.927083333333333</v>
      </c>
      <c r="F52" s="3">
        <f>E52*24</f>
      </c>
      <c r="G52" s="2">
        <v>3.240972222222222</v>
      </c>
      <c r="H52" s="3">
        <f>G52*24</f>
      </c>
      <c r="I52" s="2">
        <v>3.8847222222222224</v>
      </c>
      <c r="J52" s="3">
        <f>I52*24</f>
      </c>
      <c r="K52" s="2">
        <v>4.259722222222223</v>
      </c>
      <c r="L52" s="3">
        <f>K52*24</f>
      </c>
      <c r="M52" s="2">
        <v>4.932638888888889</v>
      </c>
      <c r="N52" s="3">
        <f>M52*24</f>
      </c>
      <c r="O52" s="2">
        <v>5.929861111111111</v>
      </c>
      <c r="P52" s="3">
        <f>O52*24</f>
      </c>
      <c r="Q52" s="2">
        <v>6.9840277777777775</v>
      </c>
      <c r="R52" s="3">
        <f>Q52*24</f>
      </c>
      <c r="S52" s="2"/>
      <c r="T52" s="3"/>
      <c r="U52" s="7"/>
      <c r="V52" s="3"/>
      <c r="W52" s="7"/>
      <c r="X52" s="3"/>
      <c r="Y52" s="7"/>
      <c r="Z52" s="3"/>
    </row>
    <row x14ac:dyDescent="0.25" r="53" customHeight="1" ht="18.75">
      <c r="A53" s="1"/>
      <c r="B53" s="49"/>
      <c r="C53" s="2">
        <v>1.9159722222222222</v>
      </c>
      <c r="D53" s="3">
        <f>C53*24</f>
      </c>
      <c r="E53" s="2">
        <v>2.1</v>
      </c>
      <c r="F53" s="3">
        <f>E53*24</f>
      </c>
      <c r="G53" s="2">
        <v>2.772222222222222</v>
      </c>
      <c r="H53" s="3">
        <f>G53*24</f>
      </c>
      <c r="I53" s="2">
        <v>3.796527777777778</v>
      </c>
      <c r="J53" s="3">
        <f>I53*24</f>
      </c>
      <c r="K53" s="2">
        <v>4.827083333333333</v>
      </c>
      <c r="L53" s="3">
        <f>K53*24</f>
      </c>
      <c r="M53" s="2">
        <v>5.797916666666667</v>
      </c>
      <c r="N53" s="3">
        <f>M53*24</f>
      </c>
      <c r="O53" s="2"/>
      <c r="P53" s="3"/>
      <c r="Q53" s="7"/>
      <c r="R53" s="3"/>
      <c r="S53" s="7"/>
      <c r="T53" s="3"/>
      <c r="U53" s="7"/>
      <c r="V53" s="3"/>
      <c r="W53" s="7"/>
      <c r="X53" s="3"/>
      <c r="Y53" s="7"/>
      <c r="Z53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77"/>
  <sheetViews>
    <sheetView workbookViewId="0"/>
  </sheetViews>
  <sheetFormatPr defaultRowHeight="15" x14ac:dyDescent="0.25"/>
  <cols>
    <col min="1" max="1" style="8" width="13.576428571428572" customWidth="1" bestFit="1"/>
    <col min="2" max="2" style="9" width="16.14785714285714" customWidth="1" bestFit="1"/>
    <col min="3" max="3" style="9" width="13.576428571428572" customWidth="1" bestFit="1"/>
    <col min="4" max="4" style="9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9" width="13.576428571428572" customWidth="1" bestFit="1"/>
    <col min="10" max="10" style="9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1" width="13.576428571428572" customWidth="1" bestFit="1"/>
    <col min="17" max="17" style="10" width="13.576428571428572" customWidth="1" bestFit="1"/>
    <col min="18" max="18" style="11" width="13.576428571428572" customWidth="1" bestFit="1"/>
    <col min="19" max="19" style="10" width="13.576428571428572" customWidth="1" bestFit="1"/>
    <col min="20" max="20" style="11" width="13.576428571428572" customWidth="1" bestFit="1"/>
    <col min="21" max="21" style="10" width="13.576428571428572" customWidth="1" bestFit="1"/>
    <col min="22" max="22" style="11" width="13.576428571428572" customWidth="1" bestFit="1"/>
    <col min="23" max="23" style="10" width="13.576428571428572" customWidth="1" bestFit="1"/>
    <col min="24" max="24" style="11" width="13.576428571428572" customWidth="1" bestFit="1"/>
    <col min="25" max="25" style="10" width="13.576428571428572" customWidth="1" bestFit="1"/>
    <col min="26" max="26" style="11" width="13.576428571428572" customWidth="1" bestFit="1"/>
    <col min="27" max="27" style="10" width="13.576428571428572" customWidth="1" bestFit="1"/>
    <col min="28" max="28" style="11" width="13.576428571428572" customWidth="1" bestFit="1"/>
    <col min="29" max="29" style="10" width="13.576428571428572" customWidth="1" bestFit="1"/>
  </cols>
  <sheetData>
    <row x14ac:dyDescent="0.25" r="1" customHeight="1" ht="18.75">
      <c r="A1" s="1" t="s">
        <v>1435</v>
      </c>
      <c r="B1" s="2">
        <v>1.1708333333333334</v>
      </c>
      <c r="C1" s="3">
        <v>1.21</v>
      </c>
      <c r="D1" s="2">
        <v>1.4291666666666667</v>
      </c>
      <c r="E1" s="3">
        <v>2.79</v>
      </c>
      <c r="F1" s="2">
        <v>2.0270833333333336</v>
      </c>
      <c r="G1" s="3">
        <v>1.25</v>
      </c>
      <c r="H1" s="2">
        <v>3.0194444444444444</v>
      </c>
      <c r="I1" s="3">
        <v>0.603</v>
      </c>
      <c r="J1" s="2">
        <v>3.998611111111111</v>
      </c>
      <c r="K1" s="3">
        <v>0.665</v>
      </c>
      <c r="L1" s="2">
        <v>5.0368055555555555</v>
      </c>
      <c r="M1" s="3">
        <v>0.692</v>
      </c>
      <c r="N1" s="2">
        <v>5.4</v>
      </c>
      <c r="O1" s="3">
        <v>0.541</v>
      </c>
      <c r="P1" s="2">
        <v>6.045138888888889</v>
      </c>
      <c r="Q1" s="3">
        <v>0.483</v>
      </c>
      <c r="R1" s="2">
        <v>8.024305555555555</v>
      </c>
      <c r="S1" s="3">
        <v>0.102</v>
      </c>
      <c r="T1" s="2">
        <v>9.061805555555555</v>
      </c>
      <c r="U1" s="3">
        <v>0.069</v>
      </c>
      <c r="V1" s="2">
        <v>10.059722222222222</v>
      </c>
      <c r="W1" s="3">
        <v>0.051</v>
      </c>
      <c r="X1" s="2">
        <v>11.08611111111111</v>
      </c>
      <c r="Y1" s="3">
        <v>0.035</v>
      </c>
      <c r="Z1" s="7"/>
      <c r="AA1" s="4"/>
      <c r="AB1" s="7"/>
      <c r="AC1" s="4"/>
    </row>
    <row x14ac:dyDescent="0.25" r="2" customHeight="1" ht="18.75">
      <c r="A2" s="1" t="s">
        <v>1436</v>
      </c>
      <c r="B2" s="2">
        <v>1.354861111111111</v>
      </c>
      <c r="C2" s="3">
        <v>16.63</v>
      </c>
      <c r="D2" s="2">
        <v>1.6402777777777777</v>
      </c>
      <c r="E2" s="3">
        <v>21.43</v>
      </c>
      <c r="F2" s="2">
        <v>1.9118055555555555</v>
      </c>
      <c r="G2" s="3">
        <v>13.57</v>
      </c>
      <c r="H2" s="2">
        <v>2.636111111111111</v>
      </c>
      <c r="I2" s="3">
        <v>8.8</v>
      </c>
      <c r="J2" s="2">
        <v>3.6666666666666665</v>
      </c>
      <c r="K2" s="3">
        <v>7.91</v>
      </c>
      <c r="L2" s="2">
        <v>4.555555555555555</v>
      </c>
      <c r="M2" s="3">
        <v>7.22</v>
      </c>
      <c r="N2" s="2">
        <v>4.90625</v>
      </c>
      <c r="O2" s="3">
        <v>6.78</v>
      </c>
      <c r="P2" s="2">
        <v>5.561111111111111</v>
      </c>
      <c r="Q2" s="3">
        <v>5.47</v>
      </c>
      <c r="R2" s="2">
        <v>6.549305555555556</v>
      </c>
      <c r="S2" s="3">
        <v>4.72</v>
      </c>
      <c r="T2" s="2">
        <v>7.574305555555555</v>
      </c>
      <c r="U2" s="3">
        <v>3.83</v>
      </c>
      <c r="V2" s="2">
        <v>8.594444444444445</v>
      </c>
      <c r="W2" s="3">
        <v>3.02</v>
      </c>
      <c r="X2" s="2">
        <v>9.605555555555556</v>
      </c>
      <c r="Y2" s="3">
        <v>2.35</v>
      </c>
      <c r="Z2" s="2">
        <v>10.572916666666666</v>
      </c>
      <c r="AA2" s="3">
        <v>1.52</v>
      </c>
      <c r="AB2" s="2">
        <v>11.600694444444445</v>
      </c>
      <c r="AC2" s="3">
        <v>1.12</v>
      </c>
    </row>
    <row x14ac:dyDescent="0.25" r="3" customHeight="1" ht="18.75">
      <c r="A3" s="1" t="s">
        <v>1437</v>
      </c>
      <c r="B3" s="2">
        <v>1.1743055555555555</v>
      </c>
      <c r="C3" s="3">
        <v>1.08</v>
      </c>
      <c r="D3" s="2">
        <v>1.3590277777777777</v>
      </c>
      <c r="E3" s="3">
        <v>7.25</v>
      </c>
      <c r="F3" s="2">
        <v>1.707638888888889</v>
      </c>
      <c r="G3" s="3">
        <v>11.13</v>
      </c>
      <c r="H3" s="2">
        <v>2.728472222222222</v>
      </c>
      <c r="I3" s="3">
        <v>6.28</v>
      </c>
      <c r="J3" s="2">
        <v>3.7263888888888888</v>
      </c>
      <c r="K3" s="3">
        <v>6.41</v>
      </c>
      <c r="L3" s="2">
        <v>4.726388888888889</v>
      </c>
      <c r="M3" s="3">
        <v>5.47</v>
      </c>
      <c r="N3" s="2">
        <v>5.71875</v>
      </c>
      <c r="O3" s="6">
        <v>4</v>
      </c>
      <c r="P3" s="2">
        <v>7.663888888888889</v>
      </c>
      <c r="Q3" s="3">
        <v>1.34</v>
      </c>
      <c r="R3" s="2">
        <v>8.736805555555556</v>
      </c>
      <c r="S3" s="3">
        <v>0.828</v>
      </c>
      <c r="T3" s="2">
        <v>9.800694444444444</v>
      </c>
      <c r="U3" s="3">
        <v>0.476</v>
      </c>
      <c r="V3" s="2"/>
      <c r="W3" s="4"/>
      <c r="X3" s="2"/>
      <c r="Y3" s="4"/>
      <c r="Z3" s="2"/>
      <c r="AA3" s="4"/>
      <c r="AB3" s="2"/>
      <c r="AC3" s="4"/>
    </row>
    <row x14ac:dyDescent="0.25" r="4" customHeight="1" ht="18.75">
      <c r="A4" s="1" t="s">
        <v>1438</v>
      </c>
      <c r="B4" s="2">
        <v>1.2430555555555556</v>
      </c>
      <c r="C4" s="3">
        <v>0.058</v>
      </c>
      <c r="D4" s="2">
        <v>1.5493055555555557</v>
      </c>
      <c r="E4" s="3">
        <v>0.215</v>
      </c>
      <c r="F4" s="2">
        <v>1.8527777777777779</v>
      </c>
      <c r="G4" s="3">
        <v>0.331</v>
      </c>
      <c r="H4" s="2">
        <v>2.5666666666666664</v>
      </c>
      <c r="I4" s="3">
        <v>0.298</v>
      </c>
      <c r="J4" s="2">
        <v>3.5430555555555556</v>
      </c>
      <c r="K4" s="3">
        <v>0.33</v>
      </c>
      <c r="L4" s="2">
        <v>4.525</v>
      </c>
      <c r="M4" s="3">
        <v>0.333</v>
      </c>
      <c r="N4" s="2">
        <v>5.504166666666666</v>
      </c>
      <c r="O4" s="3">
        <v>0.196</v>
      </c>
      <c r="P4" s="2">
        <v>6.511805555555555</v>
      </c>
      <c r="Q4" s="3">
        <v>0.078</v>
      </c>
      <c r="R4" s="2">
        <v>7.554861111111111</v>
      </c>
      <c r="S4" s="3">
        <v>0.035</v>
      </c>
      <c r="T4" s="2"/>
      <c r="U4" s="4"/>
      <c r="V4" s="2"/>
      <c r="W4" s="4"/>
      <c r="X4" s="2"/>
      <c r="Y4" s="4"/>
      <c r="Z4" s="2"/>
      <c r="AA4" s="4"/>
      <c r="AB4" s="2"/>
      <c r="AC4" s="4"/>
    </row>
    <row x14ac:dyDescent="0.25" r="5" customHeight="1" ht="18.75">
      <c r="A5" s="1" t="s">
        <v>1439</v>
      </c>
      <c r="B5" s="2">
        <v>1.226388888888889</v>
      </c>
      <c r="C5" s="3">
        <v>0.53</v>
      </c>
      <c r="D5" s="2">
        <v>1.3819444444444444</v>
      </c>
      <c r="E5" s="3">
        <v>0.749</v>
      </c>
      <c r="F5" s="2">
        <v>1.7819444444444446</v>
      </c>
      <c r="G5" s="3">
        <v>0.911</v>
      </c>
      <c r="H5" s="2">
        <v>2.1715277777777775</v>
      </c>
      <c r="I5" s="3">
        <v>0.673</v>
      </c>
      <c r="J5" s="2">
        <v>2.752083333333333</v>
      </c>
      <c r="K5" s="3">
        <v>0.474</v>
      </c>
      <c r="L5" s="2">
        <v>3.7819444444444446</v>
      </c>
      <c r="M5" s="3">
        <v>0.438</v>
      </c>
      <c r="N5" s="2">
        <v>4.1</v>
      </c>
      <c r="O5" s="3">
        <v>0.354</v>
      </c>
      <c r="P5" s="2">
        <v>4.753472222222222</v>
      </c>
      <c r="Q5" s="3">
        <v>0.371</v>
      </c>
      <c r="R5" s="2">
        <v>5.7965277777777775</v>
      </c>
      <c r="S5" s="3">
        <v>0.281</v>
      </c>
      <c r="T5" s="2"/>
      <c r="U5" s="4"/>
      <c r="V5" s="2"/>
      <c r="W5" s="4"/>
      <c r="X5" s="2"/>
      <c r="Y5" s="4"/>
      <c r="Z5" s="2"/>
      <c r="AA5" s="4"/>
      <c r="AB5" s="2"/>
      <c r="AC5" s="4"/>
    </row>
    <row x14ac:dyDescent="0.25" r="6" customHeight="1" ht="18.75">
      <c r="A6" s="1" t="s">
        <v>1440</v>
      </c>
      <c r="B6" s="2">
        <v>1.1847222222222222</v>
      </c>
      <c r="C6" s="3">
        <v>1.68</v>
      </c>
      <c r="D6" s="2">
        <v>1.426388888888889</v>
      </c>
      <c r="E6" s="3">
        <v>3.74</v>
      </c>
      <c r="F6" s="2">
        <v>1.8215277777777779</v>
      </c>
      <c r="G6" s="3">
        <v>6.42</v>
      </c>
      <c r="H6" s="2">
        <v>2.0256944444444445</v>
      </c>
      <c r="I6" s="3">
        <v>3.69</v>
      </c>
      <c r="J6" s="2">
        <v>2.6722222222222225</v>
      </c>
      <c r="K6" s="3">
        <v>3.05</v>
      </c>
      <c r="L6" s="2">
        <v>3.7618055555555556</v>
      </c>
      <c r="M6" s="3">
        <v>2.41</v>
      </c>
      <c r="N6" s="2">
        <v>4.159027777777778</v>
      </c>
      <c r="O6" s="3">
        <v>2.14</v>
      </c>
      <c r="P6" s="2">
        <v>4.7875</v>
      </c>
      <c r="Q6" s="3">
        <v>2.39</v>
      </c>
      <c r="R6" s="2">
        <v>5.730555555555555</v>
      </c>
      <c r="S6" s="3">
        <v>1.48</v>
      </c>
      <c r="T6" s="2">
        <v>6.7756944444444445</v>
      </c>
      <c r="U6" s="3">
        <v>0.62</v>
      </c>
      <c r="V6" s="2">
        <v>7.817361111111111</v>
      </c>
      <c r="W6" s="3">
        <v>0.319</v>
      </c>
      <c r="X6" s="2"/>
      <c r="Y6" s="4"/>
      <c r="Z6" s="2"/>
      <c r="AA6" s="4"/>
      <c r="AB6" s="2"/>
      <c r="AC6" s="4"/>
    </row>
    <row x14ac:dyDescent="0.25" r="7" customHeight="1" ht="18.75">
      <c r="A7" s="1" t="s">
        <v>1441</v>
      </c>
      <c r="B7" s="2">
        <v>1.2458333333333333</v>
      </c>
      <c r="C7" s="3">
        <v>1.71</v>
      </c>
      <c r="D7" s="2">
        <v>1.4715277777777778</v>
      </c>
      <c r="E7" s="3">
        <v>9.36</v>
      </c>
      <c r="F7" s="2">
        <v>1.9097222222222223</v>
      </c>
      <c r="G7" s="3">
        <v>8.43</v>
      </c>
      <c r="H7" s="2">
        <v>2.873611111111111</v>
      </c>
      <c r="I7" s="3">
        <v>4.3</v>
      </c>
      <c r="J7" s="2">
        <v>3.890277777777778</v>
      </c>
      <c r="K7" s="3">
        <v>4.74</v>
      </c>
      <c r="L7" s="2">
        <v>4.942361111111111</v>
      </c>
      <c r="M7" s="3">
        <v>3.85</v>
      </c>
      <c r="N7" s="2"/>
      <c r="O7" s="4"/>
      <c r="P7" s="2"/>
      <c r="Q7" s="4"/>
      <c r="R7" s="2"/>
      <c r="S7" s="4"/>
      <c r="T7" s="2"/>
      <c r="U7" s="4"/>
      <c r="V7" s="2"/>
      <c r="W7" s="4"/>
      <c r="X7" s="2"/>
      <c r="Y7" s="4"/>
      <c r="Z7" s="2"/>
      <c r="AA7" s="4"/>
      <c r="AB7" s="2"/>
      <c r="AC7" s="4"/>
    </row>
    <row x14ac:dyDescent="0.25" r="8" customHeight="1" ht="18.75">
      <c r="A8" s="1" t="s">
        <v>1442</v>
      </c>
      <c r="B8" s="2">
        <v>1.1972222222222222</v>
      </c>
      <c r="C8" s="3">
        <v>0.31</v>
      </c>
      <c r="D8" s="2">
        <v>1.5506944444444444</v>
      </c>
      <c r="E8" s="3">
        <v>3.72</v>
      </c>
      <c r="F8" s="2">
        <v>2.2506944444444446</v>
      </c>
      <c r="G8" s="3">
        <v>4.18</v>
      </c>
      <c r="H8" s="2">
        <v>3.2756944444444445</v>
      </c>
      <c r="I8" s="3">
        <v>2.13</v>
      </c>
      <c r="J8" s="2">
        <v>4.263194444444444</v>
      </c>
      <c r="K8" s="3">
        <v>2.67</v>
      </c>
      <c r="L8" s="2">
        <v>5.259722222222222</v>
      </c>
      <c r="M8" s="3">
        <v>3.99</v>
      </c>
      <c r="N8" s="2">
        <v>6.248611111111111</v>
      </c>
      <c r="O8" s="3">
        <v>3.16</v>
      </c>
      <c r="P8" s="2">
        <v>7.29375</v>
      </c>
      <c r="Q8" s="3">
        <v>1.71</v>
      </c>
      <c r="R8" s="2">
        <v>8.317361111111111</v>
      </c>
      <c r="S8" s="3">
        <v>0.76</v>
      </c>
      <c r="T8" s="2">
        <v>9.311111111111112</v>
      </c>
      <c r="U8" s="3">
        <v>0.455</v>
      </c>
      <c r="V8" s="2">
        <v>10.259027777777778</v>
      </c>
      <c r="W8" s="3">
        <v>0.293</v>
      </c>
      <c r="X8" s="2">
        <v>11.333333333333334</v>
      </c>
      <c r="Y8" s="3">
        <v>0.182</v>
      </c>
      <c r="Z8" s="2"/>
      <c r="AA8" s="4"/>
      <c r="AB8" s="2"/>
      <c r="AC8" s="4"/>
    </row>
    <row x14ac:dyDescent="0.25" r="9" customHeight="1" ht="18.75">
      <c r="A9" s="1" t="s">
        <v>1443</v>
      </c>
      <c r="B9" s="2">
        <v>1.1916666666666667</v>
      </c>
      <c r="C9" s="3">
        <v>1.57</v>
      </c>
      <c r="D9" s="2">
        <v>1.4986111111111111</v>
      </c>
      <c r="E9" s="3">
        <v>7.81</v>
      </c>
      <c r="F9" s="2">
        <v>1.9479166666666665</v>
      </c>
      <c r="G9" s="3">
        <v>7.46</v>
      </c>
      <c r="H9" s="2">
        <v>2.602777777777778</v>
      </c>
      <c r="I9" s="3">
        <v>6.58</v>
      </c>
      <c r="J9" s="2">
        <v>3.5625</v>
      </c>
      <c r="K9" s="3">
        <v>5.93</v>
      </c>
      <c r="L9" s="2">
        <v>4.638194444444444</v>
      </c>
      <c r="M9" s="3">
        <v>4.98</v>
      </c>
      <c r="N9" s="2">
        <v>5.647222222222222</v>
      </c>
      <c r="O9" s="3">
        <v>1.72</v>
      </c>
      <c r="P9" s="2">
        <v>6.655555555555556</v>
      </c>
      <c r="Q9" s="3">
        <v>0.43</v>
      </c>
      <c r="R9" s="2">
        <v>7.558333333333334</v>
      </c>
      <c r="S9" s="3">
        <v>0.144</v>
      </c>
      <c r="T9" s="2">
        <v>7.996527777777778</v>
      </c>
      <c r="U9" s="3">
        <v>2.18</v>
      </c>
      <c r="V9" s="2">
        <v>8.202777777777778</v>
      </c>
      <c r="W9" s="3">
        <v>2.14</v>
      </c>
      <c r="X9" s="2">
        <v>8.608333333333334</v>
      </c>
      <c r="Y9" s="3">
        <v>2.16</v>
      </c>
      <c r="Z9" s="2">
        <v>9.595833333333333</v>
      </c>
      <c r="AA9" s="3">
        <v>0.896</v>
      </c>
      <c r="AB9" s="2">
        <v>10.613888888888889</v>
      </c>
      <c r="AC9" s="3">
        <v>0.973</v>
      </c>
    </row>
    <row x14ac:dyDescent="0.25" r="10" customHeight="1" ht="18.75">
      <c r="A10" s="1" t="s">
        <v>1444</v>
      </c>
      <c r="B10" s="2">
        <v>1.30625</v>
      </c>
      <c r="C10" s="3">
        <v>5.15</v>
      </c>
      <c r="D10" s="2">
        <v>1.50625</v>
      </c>
      <c r="E10" s="3">
        <v>3.82</v>
      </c>
      <c r="F10" s="2">
        <v>1.7819444444444446</v>
      </c>
      <c r="G10" s="3">
        <v>3.03</v>
      </c>
      <c r="H10" s="2">
        <v>2.7965277777777775</v>
      </c>
      <c r="I10" s="3">
        <v>2.81</v>
      </c>
      <c r="J10" s="2">
        <v>3.8201388888888888</v>
      </c>
      <c r="K10" s="3">
        <v>2.69</v>
      </c>
      <c r="L10" s="2">
        <v>4.8</v>
      </c>
      <c r="M10" s="3">
        <v>2.13</v>
      </c>
      <c r="N10" s="2">
        <v>5.834027777777778</v>
      </c>
      <c r="O10" s="3">
        <v>0.889</v>
      </c>
      <c r="P10" s="2">
        <v>6.7756944444444445</v>
      </c>
      <c r="Q10" s="3">
        <v>0.458</v>
      </c>
      <c r="R10" s="2">
        <v>7.845833333333333</v>
      </c>
      <c r="S10" s="3">
        <v>0.228</v>
      </c>
      <c r="T10" s="2">
        <v>8.802777777777777</v>
      </c>
      <c r="U10" s="3">
        <v>0.124</v>
      </c>
      <c r="V10" s="2"/>
      <c r="W10" s="4"/>
      <c r="X10" s="2"/>
      <c r="Y10" s="4"/>
      <c r="Z10" s="7"/>
      <c r="AA10" s="4"/>
      <c r="AB10" s="7"/>
      <c r="AC10" s="4"/>
    </row>
    <row x14ac:dyDescent="0.25" r="11" customHeight="1" ht="18.75">
      <c r="A11" s="1" t="s">
        <v>1445</v>
      </c>
      <c r="B11" s="2">
        <v>1.1652777777777779</v>
      </c>
      <c r="C11" s="3">
        <v>5.65</v>
      </c>
      <c r="D11" s="2">
        <v>1.411111111111111</v>
      </c>
      <c r="E11" s="3">
        <v>18.55</v>
      </c>
      <c r="F11" s="2">
        <v>2.0930555555555554</v>
      </c>
      <c r="G11" s="3">
        <v>9.43</v>
      </c>
      <c r="H11" s="2">
        <v>3.1034722222222224</v>
      </c>
      <c r="I11" s="3">
        <v>4.24</v>
      </c>
      <c r="J11" s="2">
        <v>4.076388888888889</v>
      </c>
      <c r="K11" s="3">
        <v>3.51</v>
      </c>
      <c r="L11" s="2">
        <v>5.0784722222222225</v>
      </c>
      <c r="M11" s="3">
        <v>3.17</v>
      </c>
      <c r="N11" s="2">
        <v>5.414583333333334</v>
      </c>
      <c r="O11" s="3">
        <v>2.36</v>
      </c>
      <c r="P11" s="2">
        <v>6.084722222222222</v>
      </c>
      <c r="Q11" s="44">
        <v>42553</v>
      </c>
      <c r="R11" s="2">
        <v>7.133333333333334</v>
      </c>
      <c r="S11" s="3">
        <v>1.91</v>
      </c>
      <c r="T11" s="2">
        <v>8.09375</v>
      </c>
      <c r="U11" s="3">
        <v>1.56</v>
      </c>
      <c r="V11" s="2"/>
      <c r="W11" s="4"/>
      <c r="X11" s="2"/>
      <c r="Y11" s="4"/>
      <c r="Z11" s="7"/>
      <c r="AA11" s="4"/>
      <c r="AB11" s="7"/>
      <c r="AC11" s="4"/>
    </row>
    <row x14ac:dyDescent="0.25" r="12" customHeight="1" ht="18.75">
      <c r="A12" s="1" t="s">
        <v>1446</v>
      </c>
      <c r="B12" s="2">
        <v>1.1659722222222222</v>
      </c>
      <c r="C12" s="3">
        <v>0.733</v>
      </c>
      <c r="D12" s="2">
        <v>1.3625</v>
      </c>
      <c r="E12" s="3">
        <v>1.11</v>
      </c>
      <c r="F12" s="2">
        <v>1.8118055555555554</v>
      </c>
      <c r="G12" s="3">
        <v>1.18</v>
      </c>
      <c r="H12" s="2">
        <v>2.283333333333333</v>
      </c>
      <c r="I12" s="3">
        <v>0.963</v>
      </c>
      <c r="J12" s="2">
        <v>2.298611111111111</v>
      </c>
      <c r="K12" s="3">
        <v>0.963</v>
      </c>
      <c r="L12" s="2">
        <v>2.7930555555555556</v>
      </c>
      <c r="M12" s="3">
        <v>1.09</v>
      </c>
      <c r="N12" s="2">
        <v>3.8097222222222222</v>
      </c>
      <c r="O12" s="3">
        <v>1.87</v>
      </c>
      <c r="P12" s="2">
        <v>4.84375</v>
      </c>
      <c r="Q12" s="3">
        <v>2.16</v>
      </c>
      <c r="R12" s="2">
        <v>5.834027777777778</v>
      </c>
      <c r="S12" s="3">
        <v>1.92</v>
      </c>
      <c r="T12" s="2">
        <v>6.747222222222222</v>
      </c>
      <c r="U12" s="3">
        <v>1.46</v>
      </c>
      <c r="V12" s="2"/>
      <c r="W12" s="4"/>
      <c r="X12" s="2"/>
      <c r="Y12" s="4"/>
      <c r="Z12" s="7"/>
      <c r="AA12" s="4"/>
      <c r="AB12" s="7"/>
      <c r="AC12" s="4"/>
    </row>
    <row x14ac:dyDescent="0.25" r="13" customHeight="1" ht="18.75">
      <c r="A13" s="1" t="s">
        <v>1447</v>
      </c>
      <c r="B13" s="2">
        <v>1.3152777777777778</v>
      </c>
      <c r="C13" s="3">
        <v>0.206</v>
      </c>
      <c r="D13" s="2">
        <v>1.4708333333333332</v>
      </c>
      <c r="E13" s="3">
        <v>0.803</v>
      </c>
      <c r="F13" s="2">
        <v>1.8083333333333333</v>
      </c>
      <c r="G13" s="3">
        <v>1.05</v>
      </c>
      <c r="H13" s="2">
        <v>3.8569444444444443</v>
      </c>
      <c r="I13" s="3">
        <v>0.504</v>
      </c>
      <c r="J13" s="2">
        <v>4.816666666666666</v>
      </c>
      <c r="K13" s="3">
        <v>0.753</v>
      </c>
      <c r="L13" s="2">
        <v>5.824305555555555</v>
      </c>
      <c r="M13" s="3">
        <v>0.62</v>
      </c>
      <c r="N13" s="2">
        <v>6.7756944444444445</v>
      </c>
      <c r="O13" s="3">
        <v>0.428</v>
      </c>
      <c r="P13" s="2">
        <v>7.802777777777778</v>
      </c>
      <c r="Q13" s="3">
        <v>0.247</v>
      </c>
      <c r="R13" s="2"/>
      <c r="S13" s="4"/>
      <c r="T13" s="2"/>
      <c r="U13" s="4"/>
      <c r="V13" s="2"/>
      <c r="W13" s="4"/>
      <c r="X13" s="2"/>
      <c r="Y13" s="4"/>
      <c r="Z13" s="7"/>
      <c r="AA13" s="4"/>
      <c r="AB13" s="7"/>
      <c r="AC13" s="4"/>
    </row>
    <row x14ac:dyDescent="0.25" r="14" customHeight="1" ht="18.75">
      <c r="A14" s="1" t="s">
        <v>1448</v>
      </c>
      <c r="B14" s="2">
        <v>1.3618055555555555</v>
      </c>
      <c r="C14" s="3">
        <v>0.088</v>
      </c>
      <c r="D14" s="2">
        <v>1.5583333333333333</v>
      </c>
      <c r="E14" s="3">
        <v>0.069</v>
      </c>
      <c r="F14" s="2">
        <v>2.0381944444444446</v>
      </c>
      <c r="G14" s="3">
        <v>0.073</v>
      </c>
      <c r="H14" s="2">
        <v>3.032638888888889</v>
      </c>
      <c r="I14" s="3">
        <v>0.069</v>
      </c>
      <c r="J14" s="2">
        <v>4.004861111111111</v>
      </c>
      <c r="K14" s="3">
        <v>0.076</v>
      </c>
      <c r="L14" s="2">
        <v>4.979166666666666</v>
      </c>
      <c r="M14" s="3">
        <v>0.066</v>
      </c>
      <c r="N14" s="2">
        <v>6.021527777777778</v>
      </c>
      <c r="O14" s="3">
        <v>0.041</v>
      </c>
      <c r="P14" s="2"/>
      <c r="Q14" s="4"/>
      <c r="R14" s="2"/>
      <c r="S14" s="4"/>
      <c r="T14" s="2"/>
      <c r="U14" s="4"/>
      <c r="V14" s="2"/>
      <c r="W14" s="4"/>
      <c r="X14" s="2"/>
      <c r="Y14" s="4"/>
      <c r="Z14" s="7"/>
      <c r="AA14" s="4"/>
      <c r="AB14" s="7"/>
      <c r="AC14" s="4"/>
    </row>
    <row x14ac:dyDescent="0.25" r="15" customHeight="1" ht="18.75">
      <c r="A15" s="1" t="s">
        <v>1449</v>
      </c>
      <c r="B15" s="2">
        <v>1.3194444444444444</v>
      </c>
      <c r="C15" s="3">
        <v>15.13</v>
      </c>
      <c r="D15" s="2">
        <v>1.5256944444444445</v>
      </c>
      <c r="E15" s="3">
        <v>24.39</v>
      </c>
      <c r="F15" s="2">
        <v>1.9965277777777777</v>
      </c>
      <c r="G15" s="3">
        <v>21.44</v>
      </c>
      <c r="H15" s="2">
        <v>2.990972222222222</v>
      </c>
      <c r="I15" s="3">
        <v>10.59</v>
      </c>
      <c r="J15" s="2">
        <v>3.9631944444444445</v>
      </c>
      <c r="K15" s="3">
        <v>8.73</v>
      </c>
      <c r="L15" s="2">
        <v>4.980555555555556</v>
      </c>
      <c r="M15" s="3">
        <v>7.28</v>
      </c>
      <c r="N15" s="2">
        <v>5.278472222222222</v>
      </c>
      <c r="O15" s="3">
        <v>6.22</v>
      </c>
      <c r="P15" s="2">
        <v>5.96875</v>
      </c>
      <c r="Q15" s="3">
        <v>5.88</v>
      </c>
      <c r="R15" s="2"/>
      <c r="S15" s="4"/>
      <c r="T15" s="2"/>
      <c r="U15" s="4"/>
      <c r="V15" s="2"/>
      <c r="W15" s="4"/>
      <c r="X15" s="2"/>
      <c r="Y15" s="4"/>
      <c r="Z15" s="7"/>
      <c r="AA15" s="4"/>
      <c r="AB15" s="7"/>
      <c r="AC15" s="4"/>
    </row>
    <row x14ac:dyDescent="0.25" r="16" customHeight="1" ht="18.75">
      <c r="A16" s="1" t="s">
        <v>1450</v>
      </c>
      <c r="B16" s="2">
        <v>1.24375</v>
      </c>
      <c r="C16" s="3">
        <v>1.54</v>
      </c>
      <c r="D16" s="2">
        <v>1.325</v>
      </c>
      <c r="E16" s="3">
        <v>2.47</v>
      </c>
      <c r="F16" s="2">
        <v>1.7881944444444444</v>
      </c>
      <c r="G16" s="3">
        <v>2.51</v>
      </c>
      <c r="H16" s="2">
        <v>2.782638888888889</v>
      </c>
      <c r="I16" s="3">
        <v>1.37</v>
      </c>
      <c r="J16" s="2">
        <v>3.754861111111111</v>
      </c>
      <c r="K16" s="3">
        <v>1.07</v>
      </c>
      <c r="L16" s="2">
        <v>4.113888888888889</v>
      </c>
      <c r="M16" s="3">
        <v>1.08</v>
      </c>
      <c r="N16" s="2">
        <v>4.729166666666666</v>
      </c>
      <c r="O16" s="3">
        <v>1.21</v>
      </c>
      <c r="P16" s="2">
        <v>5.355555555555555</v>
      </c>
      <c r="Q16" s="3">
        <v>1.02</v>
      </c>
      <c r="R16" s="2"/>
      <c r="S16" s="4"/>
      <c r="T16" s="2"/>
      <c r="U16" s="4"/>
      <c r="V16" s="2"/>
      <c r="W16" s="4"/>
      <c r="X16" s="2"/>
      <c r="Y16" s="4"/>
      <c r="Z16" s="7"/>
      <c r="AA16" s="4"/>
      <c r="AB16" s="7"/>
      <c r="AC16" s="4"/>
    </row>
    <row x14ac:dyDescent="0.25" r="17" customHeight="1" ht="18.75">
      <c r="A17" s="1" t="s">
        <v>1451</v>
      </c>
      <c r="B17" s="2">
        <v>2.3180555555555555</v>
      </c>
      <c r="C17" s="3">
        <v>2.56</v>
      </c>
      <c r="D17" s="2">
        <v>2.5180555555555557</v>
      </c>
      <c r="E17" s="3">
        <v>2.55</v>
      </c>
      <c r="F17" s="2">
        <v>3.071527777777778</v>
      </c>
      <c r="G17" s="3">
        <v>2.2</v>
      </c>
      <c r="H17" s="2">
        <v>4.020833333333334</v>
      </c>
      <c r="I17" s="3">
        <v>1.74</v>
      </c>
      <c r="J17" s="2">
        <v>6.045138888888889</v>
      </c>
      <c r="K17" s="3">
        <v>0.812</v>
      </c>
      <c r="L17" s="2"/>
      <c r="M17" s="4"/>
      <c r="N17" s="2"/>
      <c r="O17" s="4"/>
      <c r="P17" s="2"/>
      <c r="Q17" s="4"/>
      <c r="R17" s="2"/>
      <c r="S17" s="4"/>
      <c r="T17" s="2"/>
      <c r="U17" s="4"/>
      <c r="V17" s="2"/>
      <c r="W17" s="4"/>
      <c r="X17" s="2"/>
      <c r="Y17" s="4"/>
      <c r="Z17" s="7"/>
      <c r="AA17" s="4"/>
      <c r="AB17" s="7"/>
      <c r="AC17" s="4"/>
    </row>
    <row x14ac:dyDescent="0.25" r="18" customHeight="1" ht="18.75">
      <c r="A18" s="1" t="s">
        <v>1452</v>
      </c>
      <c r="B18" s="2">
        <v>1.8944444444444444</v>
      </c>
      <c r="C18" s="3">
        <v>2.42</v>
      </c>
      <c r="D18" s="2">
        <v>2.384722222222222</v>
      </c>
      <c r="E18" s="6">
        <v>13</v>
      </c>
      <c r="F18" s="2">
        <v>2.75</v>
      </c>
      <c r="G18" s="3">
        <v>12.67</v>
      </c>
      <c r="H18" s="2">
        <v>3.872916666666667</v>
      </c>
      <c r="I18" s="3">
        <v>8.94</v>
      </c>
      <c r="J18" s="2">
        <v>5.748611111111111</v>
      </c>
      <c r="K18" s="3">
        <v>8.22</v>
      </c>
      <c r="L18" s="2">
        <v>6.175694444444445</v>
      </c>
      <c r="M18" s="3">
        <v>6.66</v>
      </c>
      <c r="N18" s="2">
        <v>6.786111111111111</v>
      </c>
      <c r="O18" s="3">
        <v>5.11</v>
      </c>
      <c r="P18" s="2">
        <v>7.766666666666667</v>
      </c>
      <c r="Q18" s="44">
        <v>42645</v>
      </c>
      <c r="R18" s="2">
        <v>8.898611111111112</v>
      </c>
      <c r="S18" s="3">
        <v>0.758</v>
      </c>
      <c r="T18" s="2"/>
      <c r="U18" s="4"/>
      <c r="V18" s="2"/>
      <c r="W18" s="4"/>
      <c r="X18" s="2"/>
      <c r="Y18" s="4"/>
      <c r="Z18" s="7"/>
      <c r="AA18" s="4"/>
      <c r="AB18" s="7"/>
      <c r="AC18" s="4"/>
    </row>
    <row x14ac:dyDescent="0.25" r="19" customHeight="1" ht="18.75">
      <c r="A19" s="1" t="s">
        <v>1453</v>
      </c>
      <c r="B19" s="2">
        <v>1.707638888888889</v>
      </c>
      <c r="C19" s="3">
        <v>1.34</v>
      </c>
      <c r="D19" s="2">
        <v>2.002083333333333</v>
      </c>
      <c r="E19" s="3">
        <v>3.11</v>
      </c>
      <c r="F19" s="2">
        <v>2.6645833333333333</v>
      </c>
      <c r="G19" s="3">
        <v>2.67</v>
      </c>
      <c r="H19" s="2">
        <v>3.7090277777777776</v>
      </c>
      <c r="I19" s="3">
        <v>2.78</v>
      </c>
      <c r="J19" s="2">
        <v>4.714583333333334</v>
      </c>
      <c r="K19" s="3">
        <v>2.9</v>
      </c>
      <c r="L19" s="2">
        <v>5.740277777777778</v>
      </c>
      <c r="M19" s="3">
        <v>2.13</v>
      </c>
      <c r="N19" s="2">
        <v>6.720833333333333</v>
      </c>
      <c r="O19" s="3">
        <v>0.969</v>
      </c>
      <c r="P19" s="2">
        <v>7.004166666666666</v>
      </c>
      <c r="Q19" s="3">
        <v>0.658</v>
      </c>
      <c r="R19" s="2">
        <v>7.688194444444444</v>
      </c>
      <c r="S19" s="3">
        <v>0.483</v>
      </c>
      <c r="T19" s="2">
        <v>8.73611111111111</v>
      </c>
      <c r="U19" s="3">
        <v>0.268</v>
      </c>
      <c r="V19" s="2">
        <v>9.722916666666666</v>
      </c>
      <c r="W19" s="3">
        <v>0.189</v>
      </c>
      <c r="X19" s="2">
        <v>10.745138888888889</v>
      </c>
      <c r="Y19" s="3">
        <v>0.118</v>
      </c>
      <c r="Z19" s="7"/>
      <c r="AA19" s="4"/>
      <c r="AB19" s="7"/>
      <c r="AC19" s="4"/>
    </row>
    <row x14ac:dyDescent="0.25" r="20" customHeight="1" ht="18.75">
      <c r="A20" s="1" t="s">
        <v>1454</v>
      </c>
      <c r="B20" s="2">
        <v>1.3243055555555556</v>
      </c>
      <c r="C20" s="3">
        <v>5.27</v>
      </c>
      <c r="D20" s="2">
        <v>2.158333333333333</v>
      </c>
      <c r="E20" s="3">
        <v>4.4</v>
      </c>
      <c r="F20" s="2">
        <v>2.2881944444444446</v>
      </c>
      <c r="G20" s="3">
        <v>2.42</v>
      </c>
      <c r="H20" s="2">
        <v>3.28125</v>
      </c>
      <c r="I20" s="3">
        <v>1.08</v>
      </c>
      <c r="J20" s="2">
        <v>4.240277777777777</v>
      </c>
      <c r="K20" s="3">
        <v>0.752</v>
      </c>
      <c r="L20" s="2">
        <v>5.301388888888889</v>
      </c>
      <c r="M20" s="3">
        <v>0.668</v>
      </c>
      <c r="N20" s="2"/>
      <c r="O20" s="4"/>
      <c r="P20" s="2"/>
      <c r="Q20" s="4"/>
      <c r="R20" s="2"/>
      <c r="S20" s="4"/>
      <c r="T20" s="2"/>
      <c r="U20" s="4"/>
      <c r="V20" s="7"/>
      <c r="W20" s="4"/>
      <c r="X20" s="7"/>
      <c r="Y20" s="4"/>
      <c r="Z20" s="7"/>
      <c r="AA20" s="4"/>
      <c r="AB20" s="7"/>
      <c r="AC20" s="4"/>
    </row>
    <row x14ac:dyDescent="0.25" r="21" customHeight="1" ht="18.75">
      <c r="A21" s="1" t="s">
        <v>1455</v>
      </c>
      <c r="B21" s="2">
        <v>1.175</v>
      </c>
      <c r="C21" s="3">
        <v>20.85</v>
      </c>
      <c r="D21" s="2">
        <v>1.45625</v>
      </c>
      <c r="E21" s="3">
        <v>17.72</v>
      </c>
      <c r="F21" s="2">
        <v>1.8354166666666667</v>
      </c>
      <c r="G21" s="3">
        <v>9.85</v>
      </c>
      <c r="H21" s="2">
        <v>2.1402777777777775</v>
      </c>
      <c r="I21" s="3">
        <v>7.47</v>
      </c>
      <c r="J21" s="2">
        <v>2.813888888888889</v>
      </c>
      <c r="K21" s="3">
        <v>6.16</v>
      </c>
      <c r="L21" s="2">
        <v>3.8305555555555557</v>
      </c>
      <c r="M21" s="3">
        <v>5.75</v>
      </c>
      <c r="N21" s="2">
        <v>4.830555555555556</v>
      </c>
      <c r="O21" s="3">
        <v>4.52</v>
      </c>
      <c r="P21" s="2">
        <v>5.802083333333333</v>
      </c>
      <c r="Q21" s="3">
        <v>2.95</v>
      </c>
      <c r="R21" s="2">
        <v>6.831944444444445</v>
      </c>
      <c r="S21" s="3">
        <v>1.33</v>
      </c>
      <c r="T21" s="2"/>
      <c r="U21" s="4"/>
      <c r="V21" s="7"/>
      <c r="W21" s="4"/>
      <c r="X21" s="7"/>
      <c r="Y21" s="4"/>
      <c r="Z21" s="7"/>
      <c r="AA21" s="4"/>
      <c r="AB21" s="7"/>
      <c r="AC21" s="4"/>
    </row>
    <row x14ac:dyDescent="0.25" r="22" customHeight="1" ht="18.75">
      <c r="A22" s="1" t="s">
        <v>1456</v>
      </c>
      <c r="B22" s="2">
        <v>1.1993055555555556</v>
      </c>
      <c r="C22" s="3">
        <v>2.82</v>
      </c>
      <c r="D22" s="2">
        <v>1.3277777777777777</v>
      </c>
      <c r="E22" s="3">
        <v>12.21</v>
      </c>
      <c r="F22" s="2">
        <v>1.6888888888888889</v>
      </c>
      <c r="G22" s="3">
        <v>7.8</v>
      </c>
      <c r="H22" s="2">
        <v>2.7423611111111112</v>
      </c>
      <c r="I22" s="3">
        <v>3.48</v>
      </c>
      <c r="J22" s="2">
        <v>3.723611111111111</v>
      </c>
      <c r="K22" s="3">
        <v>3.66</v>
      </c>
      <c r="L22" s="2">
        <v>4.745833333333334</v>
      </c>
      <c r="M22" s="3">
        <v>3.66</v>
      </c>
      <c r="N22" s="2">
        <v>5.771527777777778</v>
      </c>
      <c r="O22" s="3">
        <v>2.22</v>
      </c>
      <c r="P22" s="2"/>
      <c r="Q22" s="4"/>
      <c r="R22" s="2"/>
      <c r="S22" s="4"/>
      <c r="T22" s="2"/>
      <c r="U22" s="4"/>
      <c r="V22" s="7"/>
      <c r="W22" s="4"/>
      <c r="X22" s="7"/>
      <c r="Y22" s="4"/>
      <c r="Z22" s="7"/>
      <c r="AA22" s="4"/>
      <c r="AB22" s="7"/>
      <c r="AC22" s="4"/>
    </row>
    <row x14ac:dyDescent="0.25" r="23" customHeight="1" ht="18.75">
      <c r="A23" s="1" t="s">
        <v>1457</v>
      </c>
      <c r="B23" s="2">
        <v>1.4534722222222223</v>
      </c>
      <c r="C23" s="6">
        <v>4</v>
      </c>
      <c r="D23" s="2">
        <v>1.6625</v>
      </c>
      <c r="E23" s="3">
        <v>13.96</v>
      </c>
      <c r="F23" s="2">
        <v>2.1291666666666664</v>
      </c>
      <c r="G23" s="3">
        <v>12.05</v>
      </c>
      <c r="H23" s="2">
        <v>3.1534722222222222</v>
      </c>
      <c r="I23" s="3">
        <v>12.33</v>
      </c>
      <c r="J23" s="2">
        <v>4.197222222222223</v>
      </c>
      <c r="K23" s="3">
        <v>11.89</v>
      </c>
      <c r="L23" s="2">
        <v>5.124305555555556</v>
      </c>
      <c r="M23" s="3">
        <v>9.59</v>
      </c>
      <c r="N23" s="2">
        <v>6.120138888888889</v>
      </c>
      <c r="O23" s="3">
        <v>8.9</v>
      </c>
      <c r="P23" s="2">
        <v>7.143055555555556</v>
      </c>
      <c r="Q23" s="3">
        <v>7.06</v>
      </c>
      <c r="R23" s="2"/>
      <c r="S23" s="4"/>
      <c r="T23" s="2"/>
      <c r="U23" s="4"/>
      <c r="V23" s="7"/>
      <c r="W23" s="4"/>
      <c r="X23" s="7"/>
      <c r="Y23" s="4"/>
      <c r="Z23" s="7"/>
      <c r="AA23" s="4"/>
      <c r="AB23" s="7"/>
      <c r="AC23" s="4"/>
    </row>
    <row x14ac:dyDescent="0.25" r="24" customHeight="1" ht="18.75">
      <c r="A24" s="1" t="s">
        <v>1458</v>
      </c>
      <c r="B24" s="2">
        <v>1.3923611111111112</v>
      </c>
      <c r="C24" s="3">
        <v>1.02</v>
      </c>
      <c r="D24" s="2">
        <v>1.7375</v>
      </c>
      <c r="E24" s="3">
        <v>9.64</v>
      </c>
      <c r="F24" s="2">
        <v>1.9631944444444445</v>
      </c>
      <c r="G24" s="3">
        <v>5.76</v>
      </c>
      <c r="H24" s="2">
        <v>2.6923611111111114</v>
      </c>
      <c r="I24" s="3">
        <v>3.16</v>
      </c>
      <c r="J24" s="2">
        <v>3.70625</v>
      </c>
      <c r="K24" s="3">
        <v>2.68</v>
      </c>
      <c r="L24" s="2">
        <v>4.725</v>
      </c>
      <c r="M24" s="3">
        <v>2.93</v>
      </c>
      <c r="N24" s="2">
        <v>5.668055555555555</v>
      </c>
      <c r="O24" s="3">
        <v>2.9</v>
      </c>
      <c r="P24" s="2">
        <v>6.747222222222222</v>
      </c>
      <c r="Q24" s="3">
        <v>2.11</v>
      </c>
      <c r="R24" s="2">
        <v>7.701388888888889</v>
      </c>
      <c r="S24" s="3">
        <v>1.34</v>
      </c>
      <c r="T24" s="2">
        <v>8.74375</v>
      </c>
      <c r="U24" s="3">
        <v>0.744</v>
      </c>
      <c r="V24" s="7"/>
      <c r="W24" s="4"/>
      <c r="X24" s="7"/>
      <c r="Y24" s="4"/>
      <c r="Z24" s="7"/>
      <c r="AA24" s="4"/>
      <c r="AB24" s="7"/>
      <c r="AC24" s="4"/>
    </row>
    <row x14ac:dyDescent="0.25" r="25" customHeight="1" ht="18.75">
      <c r="A25" s="1" t="s">
        <v>1459</v>
      </c>
      <c r="B25" s="2">
        <v>1.1784722222222221</v>
      </c>
      <c r="C25" s="3">
        <v>0.899</v>
      </c>
      <c r="D25" s="2">
        <v>1.4006944444444445</v>
      </c>
      <c r="E25" s="3">
        <v>2.83</v>
      </c>
      <c r="F25" s="2">
        <v>1.8597222222222223</v>
      </c>
      <c r="G25" s="3">
        <v>3.11</v>
      </c>
      <c r="H25" s="2">
        <v>2.8680555555555554</v>
      </c>
      <c r="I25" s="3">
        <v>1.83</v>
      </c>
      <c r="J25" s="2">
        <v>3.8847222222222224</v>
      </c>
      <c r="K25" s="3">
        <v>1.91</v>
      </c>
      <c r="L25" s="2">
        <v>4.857638888888889</v>
      </c>
      <c r="M25" s="3">
        <v>1.64</v>
      </c>
      <c r="N25" s="2">
        <v>5.8597222222222225</v>
      </c>
      <c r="O25" s="3">
        <v>1.44</v>
      </c>
      <c r="P25" s="2">
        <v>6.882638888888889</v>
      </c>
      <c r="Q25" s="3">
        <v>1.14</v>
      </c>
      <c r="R25" s="2">
        <v>7.909027777777778</v>
      </c>
      <c r="S25" s="3">
        <v>0.782</v>
      </c>
      <c r="T25" s="7"/>
      <c r="U25" s="4"/>
      <c r="V25" s="7"/>
      <c r="W25" s="4"/>
      <c r="X25" s="7"/>
      <c r="Y25" s="4"/>
      <c r="Z25" s="7"/>
      <c r="AA25" s="4"/>
      <c r="AB25" s="7"/>
      <c r="AC25" s="4"/>
    </row>
    <row x14ac:dyDescent="0.25" r="26" customHeight="1" ht="18.75">
      <c r="A26" s="1" t="s">
        <v>1460</v>
      </c>
      <c r="B26" s="5"/>
      <c r="C26" s="5"/>
      <c r="D26" s="5"/>
      <c r="E26" s="5"/>
      <c r="F26" s="5"/>
      <c r="G26" s="5"/>
      <c r="H26" s="5"/>
      <c r="I26" s="5"/>
      <c r="J26" s="5"/>
      <c r="K26" s="4"/>
      <c r="L26" s="4"/>
      <c r="M26" s="4"/>
      <c r="N26" s="4"/>
      <c r="O26" s="4"/>
      <c r="P26" s="7"/>
      <c r="Q26" s="4"/>
      <c r="R26" s="7"/>
      <c r="S26" s="4"/>
      <c r="T26" s="7"/>
      <c r="U26" s="4"/>
      <c r="V26" s="7"/>
      <c r="W26" s="4"/>
      <c r="X26" s="7"/>
      <c r="Y26" s="4"/>
      <c r="Z26" s="7"/>
      <c r="AA26" s="4"/>
      <c r="AB26" s="7"/>
      <c r="AC26" s="4"/>
    </row>
    <row x14ac:dyDescent="0.25" r="27" customHeight="1" ht="18.75">
      <c r="A27" s="1" t="s">
        <v>1435</v>
      </c>
      <c r="B27" s="3">
        <f>B1*24</f>
      </c>
      <c r="C27" s="3">
        <f>D1*24</f>
      </c>
      <c r="D27" s="3">
        <f>F1*24</f>
      </c>
      <c r="E27" s="3">
        <f>H1*24</f>
      </c>
      <c r="F27" s="3">
        <f>J1*24</f>
      </c>
      <c r="G27" s="3">
        <f>L1*24</f>
      </c>
      <c r="H27" s="3">
        <f>N1*24</f>
      </c>
      <c r="I27" s="3">
        <f>P1*24</f>
      </c>
      <c r="J27" s="3">
        <f>R1*24</f>
      </c>
      <c r="K27" s="3">
        <f>T1*24</f>
      </c>
      <c r="L27" s="3">
        <f>V1*24</f>
      </c>
      <c r="M27" s="3">
        <f>X1*24</f>
      </c>
      <c r="N27" s="3"/>
      <c r="O27" s="3"/>
      <c r="P27" s="7"/>
      <c r="Q27" s="4"/>
      <c r="R27" s="7"/>
      <c r="S27" s="4"/>
      <c r="T27" s="7"/>
      <c r="U27" s="4"/>
      <c r="V27" s="7"/>
      <c r="W27" s="4"/>
      <c r="X27" s="7"/>
      <c r="Y27" s="4"/>
      <c r="Z27" s="7"/>
      <c r="AA27" s="4"/>
      <c r="AB27" s="7"/>
      <c r="AC27" s="4"/>
    </row>
    <row x14ac:dyDescent="0.25" r="28" customHeight="1" ht="18.75">
      <c r="A28" s="1" t="s">
        <v>1436</v>
      </c>
      <c r="B28" s="3">
        <f>B2*24</f>
      </c>
      <c r="C28" s="3">
        <f>D2*24</f>
      </c>
      <c r="D28" s="3">
        <f>F2*24</f>
      </c>
      <c r="E28" s="3">
        <f>H2*24</f>
      </c>
      <c r="F28" s="3">
        <f>J2*24</f>
      </c>
      <c r="G28" s="3">
        <f>L2*24</f>
      </c>
      <c r="H28" s="3">
        <f>N2*24</f>
      </c>
      <c r="I28" s="3">
        <f>P2*24</f>
      </c>
      <c r="J28" s="3">
        <f>R2*24</f>
      </c>
      <c r="K28" s="3">
        <f>T2*24</f>
      </c>
      <c r="L28" s="3">
        <f>V2*24</f>
      </c>
      <c r="M28" s="3">
        <f>X2*24</f>
      </c>
      <c r="N28" s="3">
        <f>Z2*24</f>
      </c>
      <c r="O28" s="3">
        <f>AB2*24</f>
      </c>
      <c r="P28" s="7"/>
      <c r="Q28" s="4"/>
      <c r="R28" s="7"/>
      <c r="S28" s="4"/>
      <c r="T28" s="7"/>
      <c r="U28" s="4"/>
      <c r="V28" s="7"/>
      <c r="W28" s="4"/>
      <c r="X28" s="7"/>
      <c r="Y28" s="4"/>
      <c r="Z28" s="7"/>
      <c r="AA28" s="4"/>
      <c r="AB28" s="7"/>
      <c r="AC28" s="4"/>
    </row>
    <row x14ac:dyDescent="0.25" r="29" customHeight="1" ht="18.75">
      <c r="A29" s="1" t="s">
        <v>1437</v>
      </c>
      <c r="B29" s="3">
        <f>B3*24</f>
      </c>
      <c r="C29" s="3">
        <f>D3*24</f>
      </c>
      <c r="D29" s="3">
        <f>F3*24</f>
      </c>
      <c r="E29" s="3">
        <f>H3*24</f>
      </c>
      <c r="F29" s="3">
        <f>J3*24</f>
      </c>
      <c r="G29" s="3">
        <f>L3*24</f>
      </c>
      <c r="H29" s="3">
        <f>N3*24</f>
      </c>
      <c r="I29" s="3">
        <f>P3*24</f>
      </c>
      <c r="J29" s="3">
        <f>R3*24</f>
      </c>
      <c r="K29" s="3">
        <f>T3*24</f>
      </c>
      <c r="L29" s="3"/>
      <c r="M29" s="3"/>
      <c r="N29" s="3"/>
      <c r="O29" s="3"/>
      <c r="P29" s="7"/>
      <c r="Q29" s="4"/>
      <c r="R29" s="7"/>
      <c r="S29" s="4"/>
      <c r="T29" s="7"/>
      <c r="U29" s="4"/>
      <c r="V29" s="7"/>
      <c r="W29" s="4"/>
      <c r="X29" s="7"/>
      <c r="Y29" s="4"/>
      <c r="Z29" s="7"/>
      <c r="AA29" s="4"/>
      <c r="AB29" s="7"/>
      <c r="AC29" s="4"/>
    </row>
    <row x14ac:dyDescent="0.25" r="30" customHeight="1" ht="18.75">
      <c r="A30" s="1" t="s">
        <v>1438</v>
      </c>
      <c r="B30" s="3">
        <f>B4*24</f>
      </c>
      <c r="C30" s="3">
        <f>D4*24</f>
      </c>
      <c r="D30" s="3">
        <f>F4*24</f>
      </c>
      <c r="E30" s="3">
        <f>H4*24</f>
      </c>
      <c r="F30" s="3">
        <f>J4*24</f>
      </c>
      <c r="G30" s="3">
        <f>L4*24</f>
      </c>
      <c r="H30" s="3">
        <f>N4*24</f>
      </c>
      <c r="I30" s="3">
        <f>P4*24</f>
      </c>
      <c r="J30" s="3">
        <f>R4*24</f>
      </c>
      <c r="K30" s="3"/>
      <c r="L30" s="3"/>
      <c r="M30" s="3"/>
      <c r="N30" s="3"/>
      <c r="O30" s="3"/>
      <c r="P30" s="7"/>
      <c r="Q30" s="4"/>
      <c r="R30" s="7"/>
      <c r="S30" s="4"/>
      <c r="T30" s="7"/>
      <c r="U30" s="4"/>
      <c r="V30" s="7"/>
      <c r="W30" s="4"/>
      <c r="X30" s="7"/>
      <c r="Y30" s="4"/>
      <c r="Z30" s="7"/>
      <c r="AA30" s="4"/>
      <c r="AB30" s="7"/>
      <c r="AC30" s="4"/>
    </row>
    <row x14ac:dyDescent="0.25" r="31" customHeight="1" ht="18.75">
      <c r="A31" s="1" t="s">
        <v>1439</v>
      </c>
      <c r="B31" s="3">
        <f>B5*24</f>
      </c>
      <c r="C31" s="3">
        <f>D5*24</f>
      </c>
      <c r="D31" s="3">
        <f>F5*24</f>
      </c>
      <c r="E31" s="3">
        <f>H5*24</f>
      </c>
      <c r="F31" s="3">
        <f>J5*24</f>
      </c>
      <c r="G31" s="3">
        <f>L5*24</f>
      </c>
      <c r="H31" s="3">
        <f>N5*24</f>
      </c>
      <c r="I31" s="3">
        <f>P5*24</f>
      </c>
      <c r="J31" s="3">
        <f>R5*24</f>
      </c>
      <c r="K31" s="3"/>
      <c r="L31" s="3"/>
      <c r="M31" s="3"/>
      <c r="N31" s="3"/>
      <c r="O31" s="3"/>
      <c r="P31" s="7"/>
      <c r="Q31" s="4"/>
      <c r="R31" s="7"/>
      <c r="S31" s="4"/>
      <c r="T31" s="7"/>
      <c r="U31" s="4"/>
      <c r="V31" s="7"/>
      <c r="W31" s="4"/>
      <c r="X31" s="7"/>
      <c r="Y31" s="4"/>
      <c r="Z31" s="7"/>
      <c r="AA31" s="4"/>
      <c r="AB31" s="7"/>
      <c r="AC31" s="4"/>
    </row>
    <row x14ac:dyDescent="0.25" r="32" customHeight="1" ht="18.75">
      <c r="A32" s="1" t="s">
        <v>1440</v>
      </c>
      <c r="B32" s="3">
        <f>B6*24</f>
      </c>
      <c r="C32" s="3">
        <f>D6*24</f>
      </c>
      <c r="D32" s="3">
        <f>F6*24</f>
      </c>
      <c r="E32" s="3">
        <f>H6*24</f>
      </c>
      <c r="F32" s="3">
        <f>J6*24</f>
      </c>
      <c r="G32" s="3">
        <f>L6*24</f>
      </c>
      <c r="H32" s="3">
        <f>N6*24</f>
      </c>
      <c r="I32" s="3">
        <f>P6*24</f>
      </c>
      <c r="J32" s="3">
        <f>R6*24</f>
      </c>
      <c r="K32" s="3">
        <f>T6*24</f>
      </c>
      <c r="L32" s="3">
        <f>V6*24</f>
      </c>
      <c r="M32" s="3"/>
      <c r="N32" s="3"/>
      <c r="O32" s="3"/>
      <c r="P32" s="7"/>
      <c r="Q32" s="4"/>
      <c r="R32" s="7"/>
      <c r="S32" s="4"/>
      <c r="T32" s="7"/>
      <c r="U32" s="4"/>
      <c r="V32" s="7"/>
      <c r="W32" s="4"/>
      <c r="X32" s="7"/>
      <c r="Y32" s="4"/>
      <c r="Z32" s="7"/>
      <c r="AA32" s="4"/>
      <c r="AB32" s="7"/>
      <c r="AC32" s="4"/>
    </row>
    <row x14ac:dyDescent="0.25" r="33" customHeight="1" ht="18.75">
      <c r="A33" s="1" t="s">
        <v>1441</v>
      </c>
      <c r="B33" s="3">
        <f>B7*24</f>
      </c>
      <c r="C33" s="3">
        <f>D7*24</f>
      </c>
      <c r="D33" s="3">
        <f>F7*24</f>
      </c>
      <c r="E33" s="3">
        <f>H7*24</f>
      </c>
      <c r="F33" s="3">
        <f>J7*24</f>
      </c>
      <c r="G33" s="3">
        <f>L7*24</f>
      </c>
      <c r="H33" s="3"/>
      <c r="I33" s="3"/>
      <c r="J33" s="3"/>
      <c r="K33" s="3"/>
      <c r="L33" s="3"/>
      <c r="M33" s="3"/>
      <c r="N33" s="3"/>
      <c r="O33" s="3"/>
      <c r="P33" s="7"/>
      <c r="Q33" s="4"/>
      <c r="R33" s="7"/>
      <c r="S33" s="4"/>
      <c r="T33" s="7"/>
      <c r="U33" s="4"/>
      <c r="V33" s="7"/>
      <c r="W33" s="4"/>
      <c r="X33" s="7"/>
      <c r="Y33" s="4"/>
      <c r="Z33" s="7"/>
      <c r="AA33" s="4"/>
      <c r="AB33" s="7"/>
      <c r="AC33" s="4"/>
    </row>
    <row x14ac:dyDescent="0.25" r="34" customHeight="1" ht="18.75">
      <c r="A34" s="1" t="s">
        <v>1442</v>
      </c>
      <c r="B34" s="3">
        <f>B8*24</f>
      </c>
      <c r="C34" s="3">
        <f>D8*24</f>
      </c>
      <c r="D34" s="3">
        <f>F8*24</f>
      </c>
      <c r="E34" s="3">
        <f>H8*24</f>
      </c>
      <c r="F34" s="3">
        <f>J8*24</f>
      </c>
      <c r="G34" s="3">
        <f>L8*24</f>
      </c>
      <c r="H34" s="3">
        <f>N8*24</f>
      </c>
      <c r="I34" s="3">
        <f>P8*24</f>
      </c>
      <c r="J34" s="3">
        <f>R8*24</f>
      </c>
      <c r="K34" s="3">
        <f>T8*24</f>
      </c>
      <c r="L34" s="3">
        <f>V8*24</f>
      </c>
      <c r="M34" s="3">
        <f>X8*24</f>
      </c>
      <c r="N34" s="3"/>
      <c r="O34" s="3"/>
      <c r="P34" s="7"/>
      <c r="Q34" s="4"/>
      <c r="R34" s="7"/>
      <c r="S34" s="4"/>
      <c r="T34" s="7"/>
      <c r="U34" s="4"/>
      <c r="V34" s="7"/>
      <c r="W34" s="4"/>
      <c r="X34" s="7"/>
      <c r="Y34" s="4"/>
      <c r="Z34" s="7"/>
      <c r="AA34" s="4"/>
      <c r="AB34" s="7"/>
      <c r="AC34" s="4"/>
    </row>
    <row x14ac:dyDescent="0.25" r="35" customHeight="1" ht="18.75">
      <c r="A35" s="1" t="s">
        <v>1443</v>
      </c>
      <c r="B35" s="3">
        <f>B9*24</f>
      </c>
      <c r="C35" s="3">
        <f>D9*24</f>
      </c>
      <c r="D35" s="3">
        <f>F9*24</f>
      </c>
      <c r="E35" s="3">
        <f>H9*24</f>
      </c>
      <c r="F35" s="3">
        <f>J9*24</f>
      </c>
      <c r="G35" s="3">
        <f>L9*24</f>
      </c>
      <c r="H35" s="3">
        <f>N9*24</f>
      </c>
      <c r="I35" s="3">
        <f>P9*24</f>
      </c>
      <c r="J35" s="3">
        <f>R9*24</f>
      </c>
      <c r="K35" s="3">
        <f>T9*24</f>
      </c>
      <c r="L35" s="3">
        <f>V9*24</f>
      </c>
      <c r="M35" s="3">
        <f>X9*24</f>
      </c>
      <c r="N35" s="3">
        <f>Z9*24</f>
      </c>
      <c r="O35" s="3">
        <f>AB9*24</f>
      </c>
      <c r="P35" s="7"/>
      <c r="Q35" s="4"/>
      <c r="R35" s="7"/>
      <c r="S35" s="4"/>
      <c r="T35" s="7"/>
      <c r="U35" s="4"/>
      <c r="V35" s="7"/>
      <c r="W35" s="4"/>
      <c r="X35" s="7"/>
      <c r="Y35" s="4"/>
      <c r="Z35" s="7"/>
      <c r="AA35" s="4"/>
      <c r="AB35" s="7"/>
      <c r="AC35" s="4"/>
    </row>
    <row x14ac:dyDescent="0.25" r="36" customHeight="1" ht="18.75">
      <c r="A36" s="1" t="s">
        <v>1444</v>
      </c>
      <c r="B36" s="3">
        <f>B10*24</f>
      </c>
      <c r="C36" s="3">
        <f>D10*24</f>
      </c>
      <c r="D36" s="3">
        <f>F10*24</f>
      </c>
      <c r="E36" s="3">
        <f>H10*24</f>
      </c>
      <c r="F36" s="3">
        <f>J10*24</f>
      </c>
      <c r="G36" s="3">
        <f>L10*24</f>
      </c>
      <c r="H36" s="3">
        <f>N10*24</f>
      </c>
      <c r="I36" s="3">
        <f>P10*24</f>
      </c>
      <c r="J36" s="3">
        <f>R10*24</f>
      </c>
      <c r="K36" s="3">
        <f>T10*24</f>
      </c>
      <c r="L36" s="3"/>
      <c r="M36" s="3"/>
      <c r="N36" s="3"/>
      <c r="O36" s="3"/>
      <c r="P36" s="7"/>
      <c r="Q36" s="4"/>
      <c r="R36" s="7"/>
      <c r="S36" s="4"/>
      <c r="T36" s="7"/>
      <c r="U36" s="4"/>
      <c r="V36" s="7"/>
      <c r="W36" s="4"/>
      <c r="X36" s="7"/>
      <c r="Y36" s="4"/>
      <c r="Z36" s="7"/>
      <c r="AA36" s="4"/>
      <c r="AB36" s="7"/>
      <c r="AC36" s="4"/>
    </row>
    <row x14ac:dyDescent="0.25" r="37" customHeight="1" ht="18.75">
      <c r="A37" s="1" t="s">
        <v>1445</v>
      </c>
      <c r="B37" s="3">
        <f>B11*24</f>
      </c>
      <c r="C37" s="3">
        <f>D11*24</f>
      </c>
      <c r="D37" s="3">
        <f>F11*24</f>
      </c>
      <c r="E37" s="3">
        <f>H11*24</f>
      </c>
      <c r="F37" s="3">
        <f>J11*24</f>
      </c>
      <c r="G37" s="3">
        <f>L11*24</f>
      </c>
      <c r="H37" s="3">
        <f>N11*24</f>
      </c>
      <c r="I37" s="3">
        <f>P11*24</f>
      </c>
      <c r="J37" s="3">
        <f>R11*24</f>
      </c>
      <c r="K37" s="3">
        <f>T11*24</f>
      </c>
      <c r="L37" s="3"/>
      <c r="M37" s="3"/>
      <c r="N37" s="3"/>
      <c r="O37" s="3"/>
      <c r="P37" s="7"/>
      <c r="Q37" s="4"/>
      <c r="R37" s="7"/>
      <c r="S37" s="4"/>
      <c r="T37" s="7"/>
      <c r="U37" s="4"/>
      <c r="V37" s="7"/>
      <c r="W37" s="4"/>
      <c r="X37" s="7"/>
      <c r="Y37" s="4"/>
      <c r="Z37" s="7"/>
      <c r="AA37" s="4"/>
      <c r="AB37" s="7"/>
      <c r="AC37" s="4"/>
    </row>
    <row x14ac:dyDescent="0.25" r="38" customHeight="1" ht="18.75">
      <c r="A38" s="1" t="s">
        <v>1446</v>
      </c>
      <c r="B38" s="3">
        <f>B12*24</f>
      </c>
      <c r="C38" s="3">
        <f>D12*24</f>
      </c>
      <c r="D38" s="3">
        <f>F12*24</f>
      </c>
      <c r="E38" s="3">
        <f>H12*24</f>
      </c>
      <c r="F38" s="3">
        <f>J12*24</f>
      </c>
      <c r="G38" s="3">
        <f>L12*24</f>
      </c>
      <c r="H38" s="3">
        <f>N12*24</f>
      </c>
      <c r="I38" s="3">
        <f>P12*24</f>
      </c>
      <c r="J38" s="3">
        <f>R12*24</f>
      </c>
      <c r="K38" s="3">
        <f>T12*24</f>
      </c>
      <c r="L38" s="3"/>
      <c r="M38" s="3"/>
      <c r="N38" s="3"/>
      <c r="O38" s="3"/>
      <c r="P38" s="7"/>
      <c r="Q38" s="4"/>
      <c r="R38" s="7"/>
      <c r="S38" s="4"/>
      <c r="T38" s="7"/>
      <c r="U38" s="4"/>
      <c r="V38" s="7"/>
      <c r="W38" s="4"/>
      <c r="X38" s="7"/>
      <c r="Y38" s="4"/>
      <c r="Z38" s="7"/>
      <c r="AA38" s="4"/>
      <c r="AB38" s="7"/>
      <c r="AC38" s="4"/>
    </row>
    <row x14ac:dyDescent="0.25" r="39" customHeight="1" ht="18.75">
      <c r="A39" s="1" t="s">
        <v>1447</v>
      </c>
      <c r="B39" s="3">
        <f>B13*24</f>
      </c>
      <c r="C39" s="3">
        <f>D13*24</f>
      </c>
      <c r="D39" s="3">
        <f>F13*24</f>
      </c>
      <c r="E39" s="3">
        <f>H13*24</f>
      </c>
      <c r="F39" s="3">
        <f>J13*24</f>
      </c>
      <c r="G39" s="3">
        <f>L13*24</f>
      </c>
      <c r="H39" s="3">
        <f>N13*24</f>
      </c>
      <c r="I39" s="3">
        <f>P13*24</f>
      </c>
      <c r="J39" s="3"/>
      <c r="K39" s="3"/>
      <c r="L39" s="3"/>
      <c r="M39" s="3"/>
      <c r="N39" s="3"/>
      <c r="O39" s="3"/>
      <c r="P39" s="7"/>
      <c r="Q39" s="4"/>
      <c r="R39" s="7"/>
      <c r="S39" s="4"/>
      <c r="T39" s="7"/>
      <c r="U39" s="4"/>
      <c r="V39" s="7"/>
      <c r="W39" s="4"/>
      <c r="X39" s="7"/>
      <c r="Y39" s="4"/>
      <c r="Z39" s="7"/>
      <c r="AA39" s="4"/>
      <c r="AB39" s="7"/>
      <c r="AC39" s="4"/>
    </row>
    <row x14ac:dyDescent="0.25" r="40" customHeight="1" ht="18.75">
      <c r="A40" s="1" t="s">
        <v>1448</v>
      </c>
      <c r="B40" s="3">
        <f>B14*24</f>
      </c>
      <c r="C40" s="3">
        <f>D14*24</f>
      </c>
      <c r="D40" s="3">
        <f>F14*24</f>
      </c>
      <c r="E40" s="3">
        <f>H14*24</f>
      </c>
      <c r="F40" s="3">
        <f>J14*24</f>
      </c>
      <c r="G40" s="3">
        <f>L14*24</f>
      </c>
      <c r="H40" s="3">
        <f>N14*24</f>
      </c>
      <c r="I40" s="3"/>
      <c r="J40" s="3"/>
      <c r="K40" s="3"/>
      <c r="L40" s="3"/>
      <c r="M40" s="3"/>
      <c r="N40" s="3"/>
      <c r="O40" s="3"/>
      <c r="P40" s="7"/>
      <c r="Q40" s="4"/>
      <c r="R40" s="7"/>
      <c r="S40" s="4"/>
      <c r="T40" s="7"/>
      <c r="U40" s="4"/>
      <c r="V40" s="7"/>
      <c r="W40" s="4"/>
      <c r="X40" s="7"/>
      <c r="Y40" s="4"/>
      <c r="Z40" s="7"/>
      <c r="AA40" s="4"/>
      <c r="AB40" s="7"/>
      <c r="AC40" s="4"/>
    </row>
    <row x14ac:dyDescent="0.25" r="41" customHeight="1" ht="18.75">
      <c r="A41" s="1" t="s">
        <v>1449</v>
      </c>
      <c r="B41" s="3">
        <f>B15*24</f>
      </c>
      <c r="C41" s="3">
        <f>D15*24</f>
      </c>
      <c r="D41" s="3">
        <f>F15*24</f>
      </c>
      <c r="E41" s="3">
        <f>H15*24</f>
      </c>
      <c r="F41" s="3">
        <f>J15*24</f>
      </c>
      <c r="G41" s="3">
        <f>L15*24</f>
      </c>
      <c r="H41" s="3">
        <f>N15*24</f>
      </c>
      <c r="I41" s="3">
        <f>P15*24</f>
      </c>
      <c r="J41" s="3"/>
      <c r="K41" s="3"/>
      <c r="L41" s="3"/>
      <c r="M41" s="3"/>
      <c r="N41" s="3"/>
      <c r="O41" s="3"/>
      <c r="P41" s="7"/>
      <c r="Q41" s="4"/>
      <c r="R41" s="7"/>
      <c r="S41" s="4"/>
      <c r="T41" s="7"/>
      <c r="U41" s="4"/>
      <c r="V41" s="7"/>
      <c r="W41" s="4"/>
      <c r="X41" s="7"/>
      <c r="Y41" s="4"/>
      <c r="Z41" s="7"/>
      <c r="AA41" s="4"/>
      <c r="AB41" s="7"/>
      <c r="AC41" s="4"/>
    </row>
    <row x14ac:dyDescent="0.25" r="42" customHeight="1" ht="18.75">
      <c r="A42" s="1" t="s">
        <v>1450</v>
      </c>
      <c r="B42" s="3">
        <f>B16*24</f>
      </c>
      <c r="C42" s="3">
        <f>D16*24</f>
      </c>
      <c r="D42" s="3">
        <f>F16*24</f>
      </c>
      <c r="E42" s="3">
        <f>H16*24</f>
      </c>
      <c r="F42" s="3">
        <f>J16*24</f>
      </c>
      <c r="G42" s="3">
        <f>L16*24</f>
      </c>
      <c r="H42" s="3">
        <f>N16*24</f>
      </c>
      <c r="I42" s="3">
        <f>P16*24</f>
      </c>
      <c r="J42" s="3"/>
      <c r="K42" s="3"/>
      <c r="L42" s="3"/>
      <c r="M42" s="3"/>
      <c r="N42" s="3"/>
      <c r="O42" s="3"/>
      <c r="P42" s="7"/>
      <c r="Q42" s="4"/>
      <c r="R42" s="7"/>
      <c r="S42" s="4"/>
      <c r="T42" s="7"/>
      <c r="U42" s="4"/>
      <c r="V42" s="7"/>
      <c r="W42" s="4"/>
      <c r="X42" s="7"/>
      <c r="Y42" s="4"/>
      <c r="Z42" s="7"/>
      <c r="AA42" s="4"/>
      <c r="AB42" s="7"/>
      <c r="AC42" s="4"/>
    </row>
    <row x14ac:dyDescent="0.25" r="43" customHeight="1" ht="18.75">
      <c r="A43" s="1" t="s">
        <v>1451</v>
      </c>
      <c r="B43" s="3">
        <f>B17*24</f>
      </c>
      <c r="C43" s="3">
        <f>D17*24</f>
      </c>
      <c r="D43" s="3">
        <f>F17*24</f>
      </c>
      <c r="E43" s="3">
        <f>H17*24</f>
      </c>
      <c r="F43" s="3">
        <f>J17*24</f>
      </c>
      <c r="G43" s="3"/>
      <c r="H43" s="3"/>
      <c r="I43" s="3"/>
      <c r="J43" s="3"/>
      <c r="K43" s="3"/>
      <c r="L43" s="3"/>
      <c r="M43" s="3"/>
      <c r="N43" s="3"/>
      <c r="O43" s="3"/>
      <c r="P43" s="7"/>
      <c r="Q43" s="4"/>
      <c r="R43" s="7"/>
      <c r="S43" s="4"/>
      <c r="T43" s="7"/>
      <c r="U43" s="4"/>
      <c r="V43" s="7"/>
      <c r="W43" s="4"/>
      <c r="X43" s="7"/>
      <c r="Y43" s="4"/>
      <c r="Z43" s="7"/>
      <c r="AA43" s="4"/>
      <c r="AB43" s="7"/>
      <c r="AC43" s="4"/>
    </row>
    <row x14ac:dyDescent="0.25" r="44" customHeight="1" ht="18.75">
      <c r="A44" s="1" t="s">
        <v>1452</v>
      </c>
      <c r="B44" s="3">
        <f>B18*24</f>
      </c>
      <c r="C44" s="3">
        <f>D18*24</f>
      </c>
      <c r="D44" s="3">
        <f>F18*24</f>
      </c>
      <c r="E44" s="3">
        <f>H18*24</f>
      </c>
      <c r="F44" s="3">
        <f>J18*24</f>
      </c>
      <c r="G44" s="3">
        <f>L18*24</f>
      </c>
      <c r="H44" s="3">
        <f>N18*24</f>
      </c>
      <c r="I44" s="3">
        <f>P18*24</f>
      </c>
      <c r="J44" s="3">
        <f>R18*24</f>
      </c>
      <c r="K44" s="3"/>
      <c r="L44" s="3"/>
      <c r="M44" s="3"/>
      <c r="N44" s="3"/>
      <c r="O44" s="3"/>
      <c r="P44" s="7"/>
      <c r="Q44" s="4"/>
      <c r="R44" s="7"/>
      <c r="S44" s="4"/>
      <c r="T44" s="7"/>
      <c r="U44" s="4"/>
      <c r="V44" s="7"/>
      <c r="W44" s="4"/>
      <c r="X44" s="7"/>
      <c r="Y44" s="4"/>
      <c r="Z44" s="7"/>
      <c r="AA44" s="4"/>
      <c r="AB44" s="7"/>
      <c r="AC44" s="4"/>
    </row>
    <row x14ac:dyDescent="0.25" r="45" customHeight="1" ht="18.75">
      <c r="A45" s="1" t="s">
        <v>1453</v>
      </c>
      <c r="B45" s="3">
        <f>B19*24</f>
      </c>
      <c r="C45" s="3">
        <f>D19*24</f>
      </c>
      <c r="D45" s="3">
        <f>F19*24</f>
      </c>
      <c r="E45" s="3">
        <f>H19*24</f>
      </c>
      <c r="F45" s="3">
        <f>J19*24</f>
      </c>
      <c r="G45" s="3">
        <f>L19*24</f>
      </c>
      <c r="H45" s="3">
        <f>N19*24</f>
      </c>
      <c r="I45" s="3">
        <f>P19*24</f>
      </c>
      <c r="J45" s="3">
        <f>R19*24</f>
      </c>
      <c r="K45" s="3">
        <f>T19*24</f>
      </c>
      <c r="L45" s="3">
        <f>V19*24</f>
      </c>
      <c r="M45" s="3">
        <f>X19*24</f>
      </c>
      <c r="N45" s="3"/>
      <c r="O45" s="3"/>
      <c r="P45" s="7"/>
      <c r="Q45" s="4"/>
      <c r="R45" s="7"/>
      <c r="S45" s="4"/>
      <c r="T45" s="7"/>
      <c r="U45" s="4"/>
      <c r="V45" s="7"/>
      <c r="W45" s="4"/>
      <c r="X45" s="7"/>
      <c r="Y45" s="4"/>
      <c r="Z45" s="7"/>
      <c r="AA45" s="4"/>
      <c r="AB45" s="7"/>
      <c r="AC45" s="4"/>
    </row>
    <row x14ac:dyDescent="0.25" r="46" customHeight="1" ht="18.75">
      <c r="A46" s="1" t="s">
        <v>1454</v>
      </c>
      <c r="B46" s="3">
        <f>B20*24</f>
      </c>
      <c r="C46" s="3">
        <f>D20*24</f>
      </c>
      <c r="D46" s="3">
        <f>F20*24</f>
      </c>
      <c r="E46" s="3">
        <f>H20*24</f>
      </c>
      <c r="F46" s="3">
        <f>J20*24</f>
      </c>
      <c r="G46" s="3">
        <f>L20*24</f>
      </c>
      <c r="H46" s="3"/>
      <c r="I46" s="3"/>
      <c r="J46" s="3"/>
      <c r="K46" s="3"/>
      <c r="L46" s="3"/>
      <c r="M46" s="3"/>
      <c r="N46" s="3"/>
      <c r="O46" s="3"/>
      <c r="P46" s="7"/>
      <c r="Q46" s="4"/>
      <c r="R46" s="7"/>
      <c r="S46" s="4"/>
      <c r="T46" s="7"/>
      <c r="U46" s="4"/>
      <c r="V46" s="7"/>
      <c r="W46" s="4"/>
      <c r="X46" s="7"/>
      <c r="Y46" s="4"/>
      <c r="Z46" s="7"/>
      <c r="AA46" s="4"/>
      <c r="AB46" s="7"/>
      <c r="AC46" s="4"/>
    </row>
    <row x14ac:dyDescent="0.25" r="47" customHeight="1" ht="18.75">
      <c r="A47" s="1" t="s">
        <v>1455</v>
      </c>
      <c r="B47" s="3">
        <f>B21*24</f>
      </c>
      <c r="C47" s="3">
        <f>D21*24</f>
      </c>
      <c r="D47" s="3">
        <f>F21*24</f>
      </c>
      <c r="E47" s="3">
        <f>H21*24</f>
      </c>
      <c r="F47" s="3">
        <f>J21*24</f>
      </c>
      <c r="G47" s="3">
        <f>L21*24</f>
      </c>
      <c r="H47" s="3">
        <f>N21*24</f>
      </c>
      <c r="I47" s="3">
        <f>P21*24</f>
      </c>
      <c r="J47" s="3">
        <f>R21*24</f>
      </c>
      <c r="K47" s="3"/>
      <c r="L47" s="3"/>
      <c r="M47" s="3"/>
      <c r="N47" s="3"/>
      <c r="O47" s="3"/>
      <c r="P47" s="7"/>
      <c r="Q47" s="4"/>
      <c r="R47" s="7"/>
      <c r="S47" s="4"/>
      <c r="T47" s="7"/>
      <c r="U47" s="4"/>
      <c r="V47" s="7"/>
      <c r="W47" s="4"/>
      <c r="X47" s="7"/>
      <c r="Y47" s="4"/>
      <c r="Z47" s="7"/>
      <c r="AA47" s="4"/>
      <c r="AB47" s="7"/>
      <c r="AC47" s="4"/>
    </row>
    <row x14ac:dyDescent="0.25" r="48" customHeight="1" ht="18.75">
      <c r="A48" s="1" t="s">
        <v>1456</v>
      </c>
      <c r="B48" s="3">
        <f>B22*24</f>
      </c>
      <c r="C48" s="3">
        <f>D22*24</f>
      </c>
      <c r="D48" s="3">
        <f>F22*24</f>
      </c>
      <c r="E48" s="3">
        <f>H22*24</f>
      </c>
      <c r="F48" s="3">
        <f>J22*24</f>
      </c>
      <c r="G48" s="3">
        <f>L22*24</f>
      </c>
      <c r="H48" s="3">
        <f>N22*24</f>
      </c>
      <c r="I48" s="3"/>
      <c r="J48" s="3"/>
      <c r="K48" s="3"/>
      <c r="L48" s="3"/>
      <c r="M48" s="3"/>
      <c r="N48" s="3"/>
      <c r="O48" s="3"/>
      <c r="P48" s="7"/>
      <c r="Q48" s="4"/>
      <c r="R48" s="7"/>
      <c r="S48" s="4"/>
      <c r="T48" s="7"/>
      <c r="U48" s="4"/>
      <c r="V48" s="7"/>
      <c r="W48" s="4"/>
      <c r="X48" s="7"/>
      <c r="Y48" s="4"/>
      <c r="Z48" s="7"/>
      <c r="AA48" s="4"/>
      <c r="AB48" s="7"/>
      <c r="AC48" s="4"/>
    </row>
    <row x14ac:dyDescent="0.25" r="49" customHeight="1" ht="18.75">
      <c r="A49" s="1" t="s">
        <v>1457</v>
      </c>
      <c r="B49" s="3">
        <f>B23*24</f>
      </c>
      <c r="C49" s="3">
        <f>D23*24</f>
      </c>
      <c r="D49" s="3">
        <f>F23*24</f>
      </c>
      <c r="E49" s="3">
        <f>H23*24</f>
      </c>
      <c r="F49" s="3">
        <f>J23*24</f>
      </c>
      <c r="G49" s="3">
        <f>L23*24</f>
      </c>
      <c r="H49" s="3">
        <f>N23*24</f>
      </c>
      <c r="I49" s="3">
        <f>P23*24</f>
      </c>
      <c r="J49" s="3"/>
      <c r="K49" s="3"/>
      <c r="L49" s="3"/>
      <c r="M49" s="3"/>
      <c r="N49" s="3"/>
      <c r="O49" s="3"/>
      <c r="P49" s="7"/>
      <c r="Q49" s="4"/>
      <c r="R49" s="7"/>
      <c r="S49" s="4"/>
      <c r="T49" s="7"/>
      <c r="U49" s="4"/>
      <c r="V49" s="7"/>
      <c r="W49" s="4"/>
      <c r="X49" s="7"/>
      <c r="Y49" s="4"/>
      <c r="Z49" s="7"/>
      <c r="AA49" s="4"/>
      <c r="AB49" s="7"/>
      <c r="AC49" s="4"/>
    </row>
    <row x14ac:dyDescent="0.25" r="50" customHeight="1" ht="18.75">
      <c r="A50" s="1" t="s">
        <v>1458</v>
      </c>
      <c r="B50" s="3">
        <f>B24*24</f>
      </c>
      <c r="C50" s="3">
        <f>D24*24</f>
      </c>
      <c r="D50" s="3">
        <f>F24*24</f>
      </c>
      <c r="E50" s="3">
        <f>H24*24</f>
      </c>
      <c r="F50" s="3">
        <f>J24*24</f>
      </c>
      <c r="G50" s="3">
        <f>L24*24</f>
      </c>
      <c r="H50" s="3">
        <f>N24*24</f>
      </c>
      <c r="I50" s="3">
        <f>P24*24</f>
      </c>
      <c r="J50" s="3">
        <f>R24*24</f>
      </c>
      <c r="K50" s="3">
        <f>T24*24</f>
      </c>
      <c r="L50" s="3"/>
      <c r="M50" s="3"/>
      <c r="N50" s="3"/>
      <c r="O50" s="3"/>
      <c r="P50" s="7"/>
      <c r="Q50" s="4"/>
      <c r="R50" s="7"/>
      <c r="S50" s="4"/>
      <c r="T50" s="7"/>
      <c r="U50" s="4"/>
      <c r="V50" s="7"/>
      <c r="W50" s="4"/>
      <c r="X50" s="7"/>
      <c r="Y50" s="4"/>
      <c r="Z50" s="7"/>
      <c r="AA50" s="4"/>
      <c r="AB50" s="7"/>
      <c r="AC50" s="4"/>
    </row>
    <row x14ac:dyDescent="0.25" r="51" customHeight="1" ht="18.75">
      <c r="A51" s="1" t="s">
        <v>1459</v>
      </c>
      <c r="B51" s="3">
        <f>B25*24</f>
      </c>
      <c r="C51" s="3">
        <f>D25*24</f>
      </c>
      <c r="D51" s="3">
        <f>F25*24</f>
      </c>
      <c r="E51" s="3">
        <f>H25*24</f>
      </c>
      <c r="F51" s="3">
        <f>J25*24</f>
      </c>
      <c r="G51" s="3">
        <f>L25*24</f>
      </c>
      <c r="H51" s="3">
        <f>N25*24</f>
      </c>
      <c r="I51" s="3">
        <f>P25*24</f>
      </c>
      <c r="J51" s="3">
        <f>R25*24</f>
      </c>
      <c r="K51" s="3"/>
      <c r="L51" s="3"/>
      <c r="M51" s="3"/>
      <c r="N51" s="3"/>
      <c r="O51" s="3"/>
      <c r="P51" s="7"/>
      <c r="Q51" s="4"/>
      <c r="R51" s="7"/>
      <c r="S51" s="4"/>
      <c r="T51" s="7"/>
      <c r="U51" s="4"/>
      <c r="V51" s="7"/>
      <c r="W51" s="4"/>
      <c r="X51" s="7"/>
      <c r="Y51" s="4"/>
      <c r="Z51" s="7"/>
      <c r="AA51" s="4"/>
      <c r="AB51" s="7"/>
      <c r="AC51" s="4"/>
    </row>
    <row x14ac:dyDescent="0.25" r="52" customHeight="1" ht="18.75">
      <c r="A52" s="1" t="s">
        <v>1461</v>
      </c>
      <c r="B52" s="5"/>
      <c r="C52" s="5"/>
      <c r="D52" s="5"/>
      <c r="E52" s="5"/>
      <c r="F52" s="5"/>
      <c r="G52" s="5"/>
      <c r="H52" s="3"/>
      <c r="I52" s="5"/>
      <c r="J52" s="5"/>
      <c r="K52" s="4"/>
      <c r="L52" s="4"/>
      <c r="M52" s="4"/>
      <c r="N52" s="4"/>
      <c r="O52" s="4"/>
      <c r="P52" s="7"/>
      <c r="Q52" s="4"/>
      <c r="R52" s="7"/>
      <c r="S52" s="4"/>
      <c r="T52" s="7"/>
      <c r="U52" s="4"/>
      <c r="V52" s="7"/>
      <c r="W52" s="4"/>
      <c r="X52" s="7"/>
      <c r="Y52" s="4"/>
      <c r="Z52" s="7"/>
      <c r="AA52" s="4"/>
      <c r="AB52" s="7"/>
      <c r="AC52" s="4"/>
    </row>
    <row x14ac:dyDescent="0.25" r="53" customHeight="1" ht="18.75">
      <c r="A53" s="1" t="s">
        <v>1435</v>
      </c>
      <c r="B53" s="3">
        <v>1.21</v>
      </c>
      <c r="C53" s="3">
        <v>2.79</v>
      </c>
      <c r="D53" s="3">
        <v>1.25</v>
      </c>
      <c r="E53" s="3">
        <v>0.603</v>
      </c>
      <c r="F53" s="3">
        <v>0.665</v>
      </c>
      <c r="G53" s="3">
        <v>0.692</v>
      </c>
      <c r="H53" s="3">
        <v>0.541</v>
      </c>
      <c r="I53" s="3">
        <v>0.483</v>
      </c>
      <c r="J53" s="3">
        <v>0.102</v>
      </c>
      <c r="K53" s="3">
        <v>0.069</v>
      </c>
      <c r="L53" s="3">
        <v>0.051</v>
      </c>
      <c r="M53" s="3">
        <v>0.035</v>
      </c>
      <c r="N53" s="4"/>
      <c r="O53" s="4"/>
      <c r="P53" s="7"/>
      <c r="Q53" s="4"/>
      <c r="R53" s="7"/>
      <c r="S53" s="4"/>
      <c r="T53" s="7"/>
      <c r="U53" s="4"/>
      <c r="V53" s="7"/>
      <c r="W53" s="4"/>
      <c r="X53" s="7"/>
      <c r="Y53" s="4"/>
      <c r="Z53" s="7"/>
      <c r="AA53" s="4"/>
      <c r="AB53" s="7"/>
      <c r="AC53" s="4"/>
    </row>
    <row x14ac:dyDescent="0.25" r="54" customHeight="1" ht="18.75">
      <c r="A54" s="1" t="s">
        <v>1436</v>
      </c>
      <c r="B54" s="3">
        <v>16.63</v>
      </c>
      <c r="C54" s="3">
        <v>21.43</v>
      </c>
      <c r="D54" s="3">
        <v>13.57</v>
      </c>
      <c r="E54" s="3">
        <v>8.8</v>
      </c>
      <c r="F54" s="3">
        <v>7.91</v>
      </c>
      <c r="G54" s="3">
        <v>7.22</v>
      </c>
      <c r="H54" s="3">
        <v>6.78</v>
      </c>
      <c r="I54" s="3">
        <v>5.47</v>
      </c>
      <c r="J54" s="3">
        <v>4.72</v>
      </c>
      <c r="K54" s="3">
        <v>3.83</v>
      </c>
      <c r="L54" s="3">
        <v>3.02</v>
      </c>
      <c r="M54" s="3">
        <v>2.35</v>
      </c>
      <c r="N54" s="3">
        <v>1.52</v>
      </c>
      <c r="O54" s="3">
        <v>1.12</v>
      </c>
      <c r="P54" s="7"/>
      <c r="Q54" s="4"/>
      <c r="R54" s="7"/>
      <c r="S54" s="4"/>
      <c r="T54" s="7"/>
      <c r="U54" s="4"/>
      <c r="V54" s="7"/>
      <c r="W54" s="4"/>
      <c r="X54" s="7"/>
      <c r="Y54" s="4"/>
      <c r="Z54" s="7"/>
      <c r="AA54" s="4"/>
      <c r="AB54" s="7"/>
      <c r="AC54" s="4"/>
    </row>
    <row x14ac:dyDescent="0.25" r="55" customHeight="1" ht="18.75">
      <c r="A55" s="1" t="s">
        <v>1437</v>
      </c>
      <c r="B55" s="3">
        <v>1.08</v>
      </c>
      <c r="C55" s="3">
        <v>7.25</v>
      </c>
      <c r="D55" s="3">
        <v>11.13</v>
      </c>
      <c r="E55" s="3">
        <v>6.28</v>
      </c>
      <c r="F55" s="3">
        <v>6.41</v>
      </c>
      <c r="G55" s="3">
        <v>5.47</v>
      </c>
      <c r="H55" s="6">
        <v>4</v>
      </c>
      <c r="I55" s="3">
        <v>1.34</v>
      </c>
      <c r="J55" s="3">
        <v>0.828</v>
      </c>
      <c r="K55" s="3">
        <v>0.476</v>
      </c>
      <c r="L55" s="4"/>
      <c r="M55" s="4"/>
      <c r="N55" s="4"/>
      <c r="O55" s="4"/>
      <c r="P55" s="7"/>
      <c r="Q55" s="4"/>
      <c r="R55" s="7"/>
      <c r="S55" s="4"/>
      <c r="T55" s="7"/>
      <c r="U55" s="4"/>
      <c r="V55" s="7"/>
      <c r="W55" s="4"/>
      <c r="X55" s="7"/>
      <c r="Y55" s="4"/>
      <c r="Z55" s="7"/>
      <c r="AA55" s="4"/>
      <c r="AB55" s="7"/>
      <c r="AC55" s="4"/>
    </row>
    <row x14ac:dyDescent="0.25" r="56" customHeight="1" ht="18.75">
      <c r="A56" s="1" t="s">
        <v>1438</v>
      </c>
      <c r="B56" s="3">
        <v>0.058</v>
      </c>
      <c r="C56" s="3">
        <v>0.215</v>
      </c>
      <c r="D56" s="3">
        <v>0.331</v>
      </c>
      <c r="E56" s="3">
        <v>0.298</v>
      </c>
      <c r="F56" s="3">
        <v>0.33</v>
      </c>
      <c r="G56" s="3">
        <v>0.333</v>
      </c>
      <c r="H56" s="3">
        <v>0.196</v>
      </c>
      <c r="I56" s="3">
        <v>0.078</v>
      </c>
      <c r="J56" s="3">
        <v>0.035</v>
      </c>
      <c r="K56" s="4"/>
      <c r="L56" s="4"/>
      <c r="M56" s="4"/>
      <c r="N56" s="4"/>
      <c r="O56" s="4"/>
      <c r="P56" s="7"/>
      <c r="Q56" s="4"/>
      <c r="R56" s="7"/>
      <c r="S56" s="4"/>
      <c r="T56" s="7"/>
      <c r="U56" s="4"/>
      <c r="V56" s="7"/>
      <c r="W56" s="4"/>
      <c r="X56" s="7"/>
      <c r="Y56" s="4"/>
      <c r="Z56" s="7"/>
      <c r="AA56" s="4"/>
      <c r="AB56" s="7"/>
      <c r="AC56" s="4"/>
    </row>
    <row x14ac:dyDescent="0.25" r="57" customHeight="1" ht="18.75">
      <c r="A57" s="1" t="s">
        <v>1439</v>
      </c>
      <c r="B57" s="3">
        <v>0.53</v>
      </c>
      <c r="C57" s="3">
        <v>0.749</v>
      </c>
      <c r="D57" s="3">
        <v>0.911</v>
      </c>
      <c r="E57" s="3">
        <v>0.673</v>
      </c>
      <c r="F57" s="3">
        <v>0.474</v>
      </c>
      <c r="G57" s="3">
        <v>0.438</v>
      </c>
      <c r="H57" s="3">
        <v>0.354</v>
      </c>
      <c r="I57" s="3">
        <v>0.371</v>
      </c>
      <c r="J57" s="3">
        <v>0.281</v>
      </c>
      <c r="K57" s="4"/>
      <c r="L57" s="4"/>
      <c r="M57" s="4"/>
      <c r="N57" s="4"/>
      <c r="O57" s="4"/>
      <c r="P57" s="7"/>
      <c r="Q57" s="4"/>
      <c r="R57" s="7"/>
      <c r="S57" s="4"/>
      <c r="T57" s="7"/>
      <c r="U57" s="4"/>
      <c r="V57" s="7"/>
      <c r="W57" s="4"/>
      <c r="X57" s="7"/>
      <c r="Y57" s="4"/>
      <c r="Z57" s="7"/>
      <c r="AA57" s="4"/>
      <c r="AB57" s="7"/>
      <c r="AC57" s="4"/>
    </row>
    <row x14ac:dyDescent="0.25" r="58" customHeight="1" ht="18.75">
      <c r="A58" s="1" t="s">
        <v>1440</v>
      </c>
      <c r="B58" s="3">
        <v>1.68</v>
      </c>
      <c r="C58" s="3">
        <v>3.74</v>
      </c>
      <c r="D58" s="3">
        <v>6.42</v>
      </c>
      <c r="E58" s="3">
        <v>3.69</v>
      </c>
      <c r="F58" s="3">
        <v>3.05</v>
      </c>
      <c r="G58" s="3">
        <v>2.41</v>
      </c>
      <c r="H58" s="3">
        <v>2.14</v>
      </c>
      <c r="I58" s="3">
        <v>2.39</v>
      </c>
      <c r="J58" s="3">
        <v>1.48</v>
      </c>
      <c r="K58" s="3">
        <v>0.62</v>
      </c>
      <c r="L58" s="3">
        <v>0.319</v>
      </c>
      <c r="M58" s="4"/>
      <c r="N58" s="4"/>
      <c r="O58" s="4"/>
      <c r="P58" s="7"/>
      <c r="Q58" s="4"/>
      <c r="R58" s="7"/>
      <c r="S58" s="4"/>
      <c r="T58" s="7"/>
      <c r="U58" s="4"/>
      <c r="V58" s="7"/>
      <c r="W58" s="4"/>
      <c r="X58" s="7"/>
      <c r="Y58" s="4"/>
      <c r="Z58" s="7"/>
      <c r="AA58" s="4"/>
      <c r="AB58" s="7"/>
      <c r="AC58" s="4"/>
    </row>
    <row x14ac:dyDescent="0.25" r="59" customHeight="1" ht="18.75">
      <c r="A59" s="1" t="s">
        <v>1441</v>
      </c>
      <c r="B59" s="3">
        <v>1.71</v>
      </c>
      <c r="C59" s="3">
        <v>9.36</v>
      </c>
      <c r="D59" s="3">
        <v>8.43</v>
      </c>
      <c r="E59" s="3">
        <v>4.3</v>
      </c>
      <c r="F59" s="3">
        <v>4.74</v>
      </c>
      <c r="G59" s="3">
        <v>3.85</v>
      </c>
      <c r="H59" s="5"/>
      <c r="I59" s="5"/>
      <c r="J59" s="5"/>
      <c r="K59" s="4"/>
      <c r="L59" s="4"/>
      <c r="M59" s="4"/>
      <c r="N59" s="4"/>
      <c r="O59" s="4"/>
      <c r="P59" s="7"/>
      <c r="Q59" s="4"/>
      <c r="R59" s="7"/>
      <c r="S59" s="4"/>
      <c r="T59" s="7"/>
      <c r="U59" s="4"/>
      <c r="V59" s="7"/>
      <c r="W59" s="4"/>
      <c r="X59" s="7"/>
      <c r="Y59" s="4"/>
      <c r="Z59" s="7"/>
      <c r="AA59" s="4"/>
      <c r="AB59" s="7"/>
      <c r="AC59" s="4"/>
    </row>
    <row x14ac:dyDescent="0.25" r="60" customHeight="1" ht="18.75">
      <c r="A60" s="1" t="s">
        <v>1442</v>
      </c>
      <c r="B60" s="3">
        <v>0.31</v>
      </c>
      <c r="C60" s="3">
        <v>3.72</v>
      </c>
      <c r="D60" s="3">
        <v>4.18</v>
      </c>
      <c r="E60" s="3">
        <v>2.13</v>
      </c>
      <c r="F60" s="3">
        <v>2.67</v>
      </c>
      <c r="G60" s="3">
        <v>3.99</v>
      </c>
      <c r="H60" s="3">
        <v>3.16</v>
      </c>
      <c r="I60" s="3">
        <v>1.71</v>
      </c>
      <c r="J60" s="3">
        <v>0.76</v>
      </c>
      <c r="K60" s="3">
        <v>0.455</v>
      </c>
      <c r="L60" s="3">
        <v>0.293</v>
      </c>
      <c r="M60" s="3">
        <v>0.182</v>
      </c>
      <c r="N60" s="4"/>
      <c r="O60" s="4"/>
      <c r="P60" s="7"/>
      <c r="Q60" s="4"/>
      <c r="R60" s="7"/>
      <c r="S60" s="4"/>
      <c r="T60" s="7"/>
      <c r="U60" s="4"/>
      <c r="V60" s="7"/>
      <c r="W60" s="4"/>
      <c r="X60" s="7"/>
      <c r="Y60" s="4"/>
      <c r="Z60" s="7"/>
      <c r="AA60" s="4"/>
      <c r="AB60" s="7"/>
      <c r="AC60" s="4"/>
    </row>
    <row x14ac:dyDescent="0.25" r="61" customHeight="1" ht="18.75">
      <c r="A61" s="1" t="s">
        <v>1443</v>
      </c>
      <c r="B61" s="3">
        <v>1.57</v>
      </c>
      <c r="C61" s="3">
        <v>7.81</v>
      </c>
      <c r="D61" s="3">
        <v>7.46</v>
      </c>
      <c r="E61" s="3">
        <v>6.58</v>
      </c>
      <c r="F61" s="3">
        <v>5.93</v>
      </c>
      <c r="G61" s="3">
        <v>4.98</v>
      </c>
      <c r="H61" s="3">
        <v>1.72</v>
      </c>
      <c r="I61" s="3">
        <v>0.43</v>
      </c>
      <c r="J61" s="3">
        <v>0.144</v>
      </c>
      <c r="K61" s="3">
        <v>2.18</v>
      </c>
      <c r="L61" s="3">
        <v>2.14</v>
      </c>
      <c r="M61" s="3">
        <v>2.16</v>
      </c>
      <c r="N61" s="3">
        <v>0.896</v>
      </c>
      <c r="O61" s="3">
        <v>0.973</v>
      </c>
      <c r="P61" s="7"/>
      <c r="Q61" s="4"/>
      <c r="R61" s="7"/>
      <c r="S61" s="4"/>
      <c r="T61" s="7"/>
      <c r="U61" s="4"/>
      <c r="V61" s="7"/>
      <c r="W61" s="4"/>
      <c r="X61" s="7"/>
      <c r="Y61" s="4"/>
      <c r="Z61" s="7"/>
      <c r="AA61" s="4"/>
      <c r="AB61" s="7"/>
      <c r="AC61" s="4"/>
    </row>
    <row x14ac:dyDescent="0.25" r="62" customHeight="1" ht="18.75">
      <c r="A62" s="1" t="s">
        <v>1444</v>
      </c>
      <c r="B62" s="3">
        <v>5.15</v>
      </c>
      <c r="C62" s="3">
        <v>3.82</v>
      </c>
      <c r="D62" s="3">
        <v>3.03</v>
      </c>
      <c r="E62" s="3">
        <v>2.81</v>
      </c>
      <c r="F62" s="3">
        <v>2.69</v>
      </c>
      <c r="G62" s="3">
        <v>2.13</v>
      </c>
      <c r="H62" s="3">
        <v>0.889</v>
      </c>
      <c r="I62" s="3">
        <v>0.458</v>
      </c>
      <c r="J62" s="3">
        <v>0.228</v>
      </c>
      <c r="K62" s="3">
        <v>0.124</v>
      </c>
      <c r="L62" s="4"/>
      <c r="M62" s="4"/>
      <c r="N62" s="4"/>
      <c r="O62" s="4"/>
      <c r="P62" s="7"/>
      <c r="Q62" s="4"/>
      <c r="R62" s="7"/>
      <c r="S62" s="4"/>
      <c r="T62" s="7"/>
      <c r="U62" s="4"/>
      <c r="V62" s="7"/>
      <c r="W62" s="4"/>
      <c r="X62" s="7"/>
      <c r="Y62" s="4"/>
      <c r="Z62" s="7"/>
      <c r="AA62" s="4"/>
      <c r="AB62" s="7"/>
      <c r="AC62" s="4"/>
    </row>
    <row x14ac:dyDescent="0.25" r="63" customHeight="1" ht="18.75">
      <c r="A63" s="1" t="s">
        <v>1445</v>
      </c>
      <c r="B63" s="3">
        <v>5.65</v>
      </c>
      <c r="C63" s="3">
        <v>18.55</v>
      </c>
      <c r="D63" s="3">
        <v>9.43</v>
      </c>
      <c r="E63" s="3">
        <v>4.24</v>
      </c>
      <c r="F63" s="3">
        <v>3.51</v>
      </c>
      <c r="G63" s="3">
        <v>3.17</v>
      </c>
      <c r="H63" s="3">
        <v>2.36</v>
      </c>
      <c r="I63" s="44">
        <v>42553</v>
      </c>
      <c r="J63" s="3">
        <v>1.91</v>
      </c>
      <c r="K63" s="3">
        <v>1.56</v>
      </c>
      <c r="L63" s="4"/>
      <c r="M63" s="4"/>
      <c r="N63" s="4"/>
      <c r="O63" s="4"/>
      <c r="P63" s="7"/>
      <c r="Q63" s="4"/>
      <c r="R63" s="7"/>
      <c r="S63" s="4"/>
      <c r="T63" s="7"/>
      <c r="U63" s="4"/>
      <c r="V63" s="7"/>
      <c r="W63" s="4"/>
      <c r="X63" s="7"/>
      <c r="Y63" s="4"/>
      <c r="Z63" s="7"/>
      <c r="AA63" s="4"/>
      <c r="AB63" s="7"/>
      <c r="AC63" s="4"/>
    </row>
    <row x14ac:dyDescent="0.25" r="64" customHeight="1" ht="18.75">
      <c r="A64" s="1" t="s">
        <v>1446</v>
      </c>
      <c r="B64" s="3">
        <v>0.733</v>
      </c>
      <c r="C64" s="3">
        <v>1.11</v>
      </c>
      <c r="D64" s="3">
        <v>1.18</v>
      </c>
      <c r="E64" s="3">
        <v>0.963</v>
      </c>
      <c r="F64" s="3">
        <v>0.963</v>
      </c>
      <c r="G64" s="3">
        <v>1.09</v>
      </c>
      <c r="H64" s="3">
        <v>1.87</v>
      </c>
      <c r="I64" s="3">
        <v>2.16</v>
      </c>
      <c r="J64" s="3">
        <v>1.92</v>
      </c>
      <c r="K64" s="3">
        <v>1.46</v>
      </c>
      <c r="L64" s="4"/>
      <c r="M64" s="4"/>
      <c r="N64" s="4"/>
      <c r="O64" s="4"/>
      <c r="P64" s="7"/>
      <c r="Q64" s="4"/>
      <c r="R64" s="7"/>
      <c r="S64" s="4"/>
      <c r="T64" s="7"/>
      <c r="U64" s="4"/>
      <c r="V64" s="7"/>
      <c r="W64" s="4"/>
      <c r="X64" s="7"/>
      <c r="Y64" s="4"/>
      <c r="Z64" s="7"/>
      <c r="AA64" s="4"/>
      <c r="AB64" s="7"/>
      <c r="AC64" s="4"/>
    </row>
    <row x14ac:dyDescent="0.25" r="65" customHeight="1" ht="18.75">
      <c r="A65" s="1" t="s">
        <v>1447</v>
      </c>
      <c r="B65" s="3">
        <v>0.206</v>
      </c>
      <c r="C65" s="3">
        <v>0.803</v>
      </c>
      <c r="D65" s="3">
        <v>1.05</v>
      </c>
      <c r="E65" s="3">
        <v>0.504</v>
      </c>
      <c r="F65" s="3">
        <v>0.753</v>
      </c>
      <c r="G65" s="3">
        <v>0.62</v>
      </c>
      <c r="H65" s="3">
        <v>0.428</v>
      </c>
      <c r="I65" s="3">
        <v>0.247</v>
      </c>
      <c r="J65" s="5"/>
      <c r="K65" s="4"/>
      <c r="L65" s="4"/>
      <c r="M65" s="4"/>
      <c r="N65" s="4"/>
      <c r="O65" s="4"/>
      <c r="P65" s="7"/>
      <c r="Q65" s="4"/>
      <c r="R65" s="7"/>
      <c r="S65" s="4"/>
      <c r="T65" s="7"/>
      <c r="U65" s="4"/>
      <c r="V65" s="7"/>
      <c r="W65" s="4"/>
      <c r="X65" s="7"/>
      <c r="Y65" s="4"/>
      <c r="Z65" s="7"/>
      <c r="AA65" s="4"/>
      <c r="AB65" s="7"/>
      <c r="AC65" s="4"/>
    </row>
    <row x14ac:dyDescent="0.25" r="66" customHeight="1" ht="18.75">
      <c r="A66" s="1" t="s">
        <v>1448</v>
      </c>
      <c r="B66" s="3">
        <v>0.088</v>
      </c>
      <c r="C66" s="3">
        <v>0.069</v>
      </c>
      <c r="D66" s="3">
        <v>0.073</v>
      </c>
      <c r="E66" s="3">
        <v>0.069</v>
      </c>
      <c r="F66" s="3">
        <v>0.076</v>
      </c>
      <c r="G66" s="3">
        <v>0.066</v>
      </c>
      <c r="H66" s="3">
        <v>0.041</v>
      </c>
      <c r="I66" s="5"/>
      <c r="J66" s="5"/>
      <c r="K66" s="4"/>
      <c r="L66" s="4"/>
      <c r="M66" s="4"/>
      <c r="N66" s="4"/>
      <c r="O66" s="4"/>
      <c r="P66" s="7"/>
      <c r="Q66" s="4"/>
      <c r="R66" s="7"/>
      <c r="S66" s="4"/>
      <c r="T66" s="7"/>
      <c r="U66" s="4"/>
      <c r="V66" s="7"/>
      <c r="W66" s="4"/>
      <c r="X66" s="7"/>
      <c r="Y66" s="4"/>
      <c r="Z66" s="7"/>
      <c r="AA66" s="4"/>
      <c r="AB66" s="7"/>
      <c r="AC66" s="4"/>
    </row>
    <row x14ac:dyDescent="0.25" r="67" customHeight="1" ht="18.75">
      <c r="A67" s="1" t="s">
        <v>1449</v>
      </c>
      <c r="B67" s="3">
        <v>15.13</v>
      </c>
      <c r="C67" s="3">
        <v>24.39</v>
      </c>
      <c r="D67" s="3">
        <v>21.44</v>
      </c>
      <c r="E67" s="3">
        <v>10.59</v>
      </c>
      <c r="F67" s="3">
        <v>8.73</v>
      </c>
      <c r="G67" s="3">
        <v>7.28</v>
      </c>
      <c r="H67" s="3">
        <v>6.22</v>
      </c>
      <c r="I67" s="3">
        <v>5.88</v>
      </c>
      <c r="J67" s="5"/>
      <c r="K67" s="4"/>
      <c r="L67" s="4"/>
      <c r="M67" s="4"/>
      <c r="N67" s="4"/>
      <c r="O67" s="4"/>
      <c r="P67" s="7"/>
      <c r="Q67" s="4"/>
      <c r="R67" s="7"/>
      <c r="S67" s="4"/>
      <c r="T67" s="7"/>
      <c r="U67" s="4"/>
      <c r="V67" s="7"/>
      <c r="W67" s="4"/>
      <c r="X67" s="7"/>
      <c r="Y67" s="4"/>
      <c r="Z67" s="7"/>
      <c r="AA67" s="4"/>
      <c r="AB67" s="7"/>
      <c r="AC67" s="4"/>
    </row>
    <row x14ac:dyDescent="0.25" r="68" customHeight="1" ht="18.75">
      <c r="A68" s="1" t="s">
        <v>1450</v>
      </c>
      <c r="B68" s="3">
        <v>1.54</v>
      </c>
      <c r="C68" s="3">
        <v>2.47</v>
      </c>
      <c r="D68" s="3">
        <v>2.51</v>
      </c>
      <c r="E68" s="3">
        <v>1.37</v>
      </c>
      <c r="F68" s="3">
        <v>1.07</v>
      </c>
      <c r="G68" s="3">
        <v>1.08</v>
      </c>
      <c r="H68" s="3">
        <v>1.21</v>
      </c>
      <c r="I68" s="3">
        <v>1.02</v>
      </c>
      <c r="J68" s="5"/>
      <c r="K68" s="4"/>
      <c r="L68" s="4"/>
      <c r="M68" s="4"/>
      <c r="N68" s="4"/>
      <c r="O68" s="4"/>
      <c r="P68" s="7"/>
      <c r="Q68" s="4"/>
      <c r="R68" s="7"/>
      <c r="S68" s="4"/>
      <c r="T68" s="7"/>
      <c r="U68" s="4"/>
      <c r="V68" s="7"/>
      <c r="W68" s="4"/>
      <c r="X68" s="7"/>
      <c r="Y68" s="4"/>
      <c r="Z68" s="7"/>
      <c r="AA68" s="4"/>
      <c r="AB68" s="7"/>
      <c r="AC68" s="4"/>
    </row>
    <row x14ac:dyDescent="0.25" r="69" customHeight="1" ht="18.75">
      <c r="A69" s="1" t="s">
        <v>1451</v>
      </c>
      <c r="B69" s="3">
        <v>2.56</v>
      </c>
      <c r="C69" s="3">
        <v>2.55</v>
      </c>
      <c r="D69" s="3">
        <v>2.2</v>
      </c>
      <c r="E69" s="3">
        <v>1.74</v>
      </c>
      <c r="F69" s="3">
        <v>0.812</v>
      </c>
      <c r="G69" s="5"/>
      <c r="H69" s="5"/>
      <c r="I69" s="5"/>
      <c r="J69" s="5"/>
      <c r="K69" s="4"/>
      <c r="L69" s="4"/>
      <c r="M69" s="4"/>
      <c r="N69" s="4"/>
      <c r="O69" s="4"/>
      <c r="P69" s="7"/>
      <c r="Q69" s="4"/>
      <c r="R69" s="7"/>
      <c r="S69" s="4"/>
      <c r="T69" s="7"/>
      <c r="U69" s="4"/>
      <c r="V69" s="7"/>
      <c r="W69" s="4"/>
      <c r="X69" s="7"/>
      <c r="Y69" s="4"/>
      <c r="Z69" s="7"/>
      <c r="AA69" s="4"/>
      <c r="AB69" s="7"/>
      <c r="AC69" s="4"/>
    </row>
    <row x14ac:dyDescent="0.25" r="70" customHeight="1" ht="18.75">
      <c r="A70" s="1" t="s">
        <v>1452</v>
      </c>
      <c r="B70" s="3">
        <v>2.42</v>
      </c>
      <c r="C70" s="6">
        <v>13</v>
      </c>
      <c r="D70" s="3">
        <v>12.67</v>
      </c>
      <c r="E70" s="3">
        <v>8.94</v>
      </c>
      <c r="F70" s="3">
        <v>8.22</v>
      </c>
      <c r="G70" s="3">
        <v>6.66</v>
      </c>
      <c r="H70" s="3">
        <v>5.11</v>
      </c>
      <c r="I70" s="44">
        <v>42645</v>
      </c>
      <c r="J70" s="3">
        <v>0.758</v>
      </c>
      <c r="K70" s="4"/>
      <c r="L70" s="4"/>
      <c r="M70" s="4"/>
      <c r="N70" s="4"/>
      <c r="O70" s="4"/>
      <c r="P70" s="7"/>
      <c r="Q70" s="4"/>
      <c r="R70" s="7"/>
      <c r="S70" s="4"/>
      <c r="T70" s="7"/>
      <c r="U70" s="4"/>
      <c r="V70" s="7"/>
      <c r="W70" s="4"/>
      <c r="X70" s="7"/>
      <c r="Y70" s="4"/>
      <c r="Z70" s="7"/>
      <c r="AA70" s="4"/>
      <c r="AB70" s="7"/>
      <c r="AC70" s="4"/>
    </row>
    <row x14ac:dyDescent="0.25" r="71" customHeight="1" ht="18.75">
      <c r="A71" s="1" t="s">
        <v>1453</v>
      </c>
      <c r="B71" s="3">
        <v>1.34</v>
      </c>
      <c r="C71" s="3">
        <v>3.11</v>
      </c>
      <c r="D71" s="3">
        <v>2.67</v>
      </c>
      <c r="E71" s="3">
        <v>2.78</v>
      </c>
      <c r="F71" s="3">
        <v>2.9</v>
      </c>
      <c r="G71" s="3">
        <v>2.13</v>
      </c>
      <c r="H71" s="3">
        <v>0.969</v>
      </c>
      <c r="I71" s="3">
        <v>0.658</v>
      </c>
      <c r="J71" s="3">
        <v>0.483</v>
      </c>
      <c r="K71" s="3">
        <v>0.268</v>
      </c>
      <c r="L71" s="3">
        <v>0.189</v>
      </c>
      <c r="M71" s="3">
        <v>0.118</v>
      </c>
      <c r="N71" s="4"/>
      <c r="O71" s="4"/>
      <c r="P71" s="7"/>
      <c r="Q71" s="4"/>
      <c r="R71" s="7"/>
      <c r="S71" s="4"/>
      <c r="T71" s="7"/>
      <c r="U71" s="4"/>
      <c r="V71" s="7"/>
      <c r="W71" s="4"/>
      <c r="X71" s="7"/>
      <c r="Y71" s="4"/>
      <c r="Z71" s="7"/>
      <c r="AA71" s="4"/>
      <c r="AB71" s="7"/>
      <c r="AC71" s="4"/>
    </row>
    <row x14ac:dyDescent="0.25" r="72" customHeight="1" ht="18.75">
      <c r="A72" s="1" t="s">
        <v>1454</v>
      </c>
      <c r="B72" s="3">
        <v>5.27</v>
      </c>
      <c r="C72" s="3">
        <v>4.4</v>
      </c>
      <c r="D72" s="3">
        <v>2.42</v>
      </c>
      <c r="E72" s="3">
        <v>1.08</v>
      </c>
      <c r="F72" s="3">
        <v>0.752</v>
      </c>
      <c r="G72" s="3">
        <v>0.668</v>
      </c>
      <c r="H72" s="5"/>
      <c r="I72" s="5"/>
      <c r="J72" s="5"/>
      <c r="K72" s="4"/>
      <c r="L72" s="4"/>
      <c r="M72" s="4"/>
      <c r="N72" s="4"/>
      <c r="O72" s="4"/>
      <c r="P72" s="7"/>
      <c r="Q72" s="4"/>
      <c r="R72" s="7"/>
      <c r="S72" s="4"/>
      <c r="T72" s="7"/>
      <c r="U72" s="4"/>
      <c r="V72" s="7"/>
      <c r="W72" s="4"/>
      <c r="X72" s="7"/>
      <c r="Y72" s="4"/>
      <c r="Z72" s="7"/>
      <c r="AA72" s="4"/>
      <c r="AB72" s="7"/>
      <c r="AC72" s="4"/>
    </row>
    <row x14ac:dyDescent="0.25" r="73" customHeight="1" ht="18.75">
      <c r="A73" s="1" t="s">
        <v>1455</v>
      </c>
      <c r="B73" s="3">
        <v>20.85</v>
      </c>
      <c r="C73" s="3">
        <v>17.72</v>
      </c>
      <c r="D73" s="3">
        <v>9.85</v>
      </c>
      <c r="E73" s="3">
        <v>7.47</v>
      </c>
      <c r="F73" s="3">
        <v>6.16</v>
      </c>
      <c r="G73" s="3">
        <v>5.75</v>
      </c>
      <c r="H73" s="3">
        <v>4.52</v>
      </c>
      <c r="I73" s="3">
        <v>2.95</v>
      </c>
      <c r="J73" s="3">
        <v>1.33</v>
      </c>
      <c r="K73" s="4"/>
      <c r="L73" s="4"/>
      <c r="M73" s="4"/>
      <c r="N73" s="4"/>
      <c r="O73" s="4"/>
      <c r="P73" s="7"/>
      <c r="Q73" s="4"/>
      <c r="R73" s="7"/>
      <c r="S73" s="4"/>
      <c r="T73" s="7"/>
      <c r="U73" s="4"/>
      <c r="V73" s="7"/>
      <c r="W73" s="4"/>
      <c r="X73" s="7"/>
      <c r="Y73" s="4"/>
      <c r="Z73" s="7"/>
      <c r="AA73" s="4"/>
      <c r="AB73" s="7"/>
      <c r="AC73" s="4"/>
    </row>
    <row x14ac:dyDescent="0.25" r="74" customHeight="1" ht="18.75">
      <c r="A74" s="1" t="s">
        <v>1456</v>
      </c>
      <c r="B74" s="3">
        <v>2.82</v>
      </c>
      <c r="C74" s="3">
        <v>12.21</v>
      </c>
      <c r="D74" s="3">
        <v>7.8</v>
      </c>
      <c r="E74" s="3">
        <v>3.48</v>
      </c>
      <c r="F74" s="3">
        <v>3.66</v>
      </c>
      <c r="G74" s="3">
        <v>3.66</v>
      </c>
      <c r="H74" s="3">
        <v>2.22</v>
      </c>
      <c r="I74" s="5"/>
      <c r="J74" s="5"/>
      <c r="K74" s="4"/>
      <c r="L74" s="4"/>
      <c r="M74" s="4"/>
      <c r="N74" s="4"/>
      <c r="O74" s="4"/>
      <c r="P74" s="7"/>
      <c r="Q74" s="4"/>
      <c r="R74" s="7"/>
      <c r="S74" s="4"/>
      <c r="T74" s="7"/>
      <c r="U74" s="4"/>
      <c r="V74" s="7"/>
      <c r="W74" s="4"/>
      <c r="X74" s="7"/>
      <c r="Y74" s="4"/>
      <c r="Z74" s="7"/>
      <c r="AA74" s="4"/>
      <c r="AB74" s="7"/>
      <c r="AC74" s="4"/>
    </row>
    <row x14ac:dyDescent="0.25" r="75" customHeight="1" ht="18.75">
      <c r="A75" s="1" t="s">
        <v>1457</v>
      </c>
      <c r="B75" s="6">
        <v>4</v>
      </c>
      <c r="C75" s="3">
        <v>13.96</v>
      </c>
      <c r="D75" s="3">
        <v>12.05</v>
      </c>
      <c r="E75" s="3">
        <v>12.33</v>
      </c>
      <c r="F75" s="3">
        <v>11.89</v>
      </c>
      <c r="G75" s="3">
        <v>9.59</v>
      </c>
      <c r="H75" s="3">
        <v>8.9</v>
      </c>
      <c r="I75" s="3">
        <v>7.06</v>
      </c>
      <c r="J75" s="5"/>
      <c r="K75" s="4"/>
      <c r="L75" s="4"/>
      <c r="M75" s="4"/>
      <c r="N75" s="4"/>
      <c r="O75" s="4"/>
      <c r="P75" s="7"/>
      <c r="Q75" s="4"/>
      <c r="R75" s="7"/>
      <c r="S75" s="4"/>
      <c r="T75" s="7"/>
      <c r="U75" s="4"/>
      <c r="V75" s="7"/>
      <c r="W75" s="4"/>
      <c r="X75" s="7"/>
      <c r="Y75" s="4"/>
      <c r="Z75" s="7"/>
      <c r="AA75" s="4"/>
      <c r="AB75" s="7"/>
      <c r="AC75" s="4"/>
    </row>
    <row x14ac:dyDescent="0.25" r="76" customHeight="1" ht="18.75">
      <c r="A76" s="1" t="s">
        <v>1458</v>
      </c>
      <c r="B76" s="3">
        <v>1.02</v>
      </c>
      <c r="C76" s="3">
        <v>9.64</v>
      </c>
      <c r="D76" s="3">
        <v>5.76</v>
      </c>
      <c r="E76" s="3">
        <v>3.16</v>
      </c>
      <c r="F76" s="3">
        <v>2.68</v>
      </c>
      <c r="G76" s="3">
        <v>2.93</v>
      </c>
      <c r="H76" s="3">
        <v>2.9</v>
      </c>
      <c r="I76" s="3">
        <v>2.11</v>
      </c>
      <c r="J76" s="3">
        <v>1.34</v>
      </c>
      <c r="K76" s="3">
        <v>0.744</v>
      </c>
      <c r="L76" s="4"/>
      <c r="M76" s="4"/>
      <c r="N76" s="4"/>
      <c r="O76" s="4"/>
      <c r="P76" s="7"/>
      <c r="Q76" s="4"/>
      <c r="R76" s="7"/>
      <c r="S76" s="4"/>
      <c r="T76" s="7"/>
      <c r="U76" s="4"/>
      <c r="V76" s="7"/>
      <c r="W76" s="4"/>
      <c r="X76" s="7"/>
      <c r="Y76" s="4"/>
      <c r="Z76" s="7"/>
      <c r="AA76" s="4"/>
      <c r="AB76" s="7"/>
      <c r="AC76" s="4"/>
    </row>
    <row x14ac:dyDescent="0.25" r="77" customHeight="1" ht="18.75">
      <c r="A77" s="1" t="s">
        <v>1459</v>
      </c>
      <c r="B77" s="3">
        <v>0.899</v>
      </c>
      <c r="C77" s="3">
        <v>2.83</v>
      </c>
      <c r="D77" s="3">
        <v>3.11</v>
      </c>
      <c r="E77" s="3">
        <v>1.83</v>
      </c>
      <c r="F77" s="3">
        <v>1.91</v>
      </c>
      <c r="G77" s="3">
        <v>1.64</v>
      </c>
      <c r="H77" s="3">
        <v>1.44</v>
      </c>
      <c r="I77" s="3">
        <v>1.14</v>
      </c>
      <c r="J77" s="3">
        <v>0.782</v>
      </c>
      <c r="K77" s="4"/>
      <c r="L77" s="4"/>
      <c r="M77" s="4"/>
      <c r="N77" s="4"/>
      <c r="O77" s="4"/>
      <c r="P77" s="7"/>
      <c r="Q77" s="4"/>
      <c r="R77" s="7"/>
      <c r="S77" s="4"/>
      <c r="T77" s="7"/>
      <c r="U77" s="4"/>
      <c r="V77" s="7"/>
      <c r="W77" s="4"/>
      <c r="X77" s="7"/>
      <c r="Y77" s="4"/>
      <c r="Z77" s="7"/>
      <c r="AA77" s="4"/>
      <c r="AB77" s="7"/>
      <c r="AC77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452"/>
  <sheetViews>
    <sheetView workbookViewId="0"/>
  </sheetViews>
  <sheetFormatPr defaultRowHeight="15" x14ac:dyDescent="0.25"/>
  <cols>
    <col min="1" max="1" style="8" width="20.005" customWidth="1" bestFit="1"/>
    <col min="2" max="2" style="9" width="15.005" customWidth="1" bestFit="1"/>
    <col min="3" max="3" style="9" width="13.576428571428572" customWidth="1" bestFit="1"/>
    <col min="4" max="4" style="10" width="20.719285714285714" customWidth="1" bestFit="1"/>
    <col min="5" max="5" style="9" width="18.005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9" width="9.147857142857141" customWidth="1" bestFit="1"/>
    <col min="10" max="10" style="10" width="17.290714285714284" customWidth="1" bestFit="1"/>
    <col min="11" max="11" style="10" width="13.719285714285713" customWidth="1" bestFit="1"/>
    <col min="12" max="12" style="10" width="18.005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30.719285714285714" customWidth="1" bestFit="1"/>
    <col min="24" max="24" style="10" width="13.576428571428572" customWidth="1" bestFit="1"/>
    <col min="25" max="25" style="8" width="13.576428571428572" customWidth="1" bestFit="1"/>
    <col min="26" max="26" style="8" width="13.576428571428572" customWidth="1" bestFit="1"/>
    <col min="27" max="27" style="8" width="13.576428571428572" customWidth="1" bestFit="1"/>
    <col min="28" max="28" style="8" width="13.576428571428572" customWidth="1" bestFit="1"/>
    <col min="29" max="29" style="8" width="13.576428571428572" customWidth="1" bestFit="1"/>
  </cols>
  <sheetData>
    <row x14ac:dyDescent="0.25" r="1" customHeight="1" ht="18.75">
      <c r="A1" s="1" t="s">
        <v>18</v>
      </c>
      <c r="B1" s="5" t="s">
        <v>1221</v>
      </c>
      <c r="C1" s="5" t="s">
        <v>862</v>
      </c>
      <c r="D1" s="4"/>
      <c r="E1" s="5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1"/>
      <c r="Z1" s="1"/>
      <c r="AA1" s="1"/>
      <c r="AB1" s="1"/>
      <c r="AC1" s="1"/>
    </row>
    <row x14ac:dyDescent="0.25" r="2" customHeight="1" ht="18.75">
      <c r="A2" s="1" t="s">
        <v>863</v>
      </c>
      <c r="B2" s="14">
        <v>1.5027777777777778</v>
      </c>
      <c r="C2" s="5" t="s">
        <v>1222</v>
      </c>
      <c r="D2" s="15" t="s">
        <v>864</v>
      </c>
      <c r="E2" s="15" t="s">
        <v>865</v>
      </c>
      <c r="F2" s="15" t="s">
        <v>866</v>
      </c>
      <c r="G2" s="15" t="s">
        <v>867</v>
      </c>
      <c r="H2" s="15" t="s">
        <v>868</v>
      </c>
      <c r="I2" s="15" t="s">
        <v>869</v>
      </c>
      <c r="J2" s="15" t="s">
        <v>870</v>
      </c>
      <c r="K2" s="15" t="s">
        <v>871</v>
      </c>
      <c r="L2" s="31"/>
      <c r="M2" s="31"/>
      <c r="N2" s="31"/>
      <c r="O2" s="31"/>
      <c r="P2" s="31"/>
      <c r="Q2" s="31"/>
      <c r="R2" s="31"/>
      <c r="S2" s="31"/>
      <c r="T2" s="31"/>
      <c r="U2" s="4"/>
      <c r="V2" s="33"/>
      <c r="W2" s="4"/>
      <c r="X2" s="4"/>
      <c r="Y2" s="1"/>
      <c r="Z2" s="1"/>
      <c r="AA2" s="1"/>
      <c r="AB2" s="1"/>
      <c r="AC2" s="1"/>
    </row>
    <row x14ac:dyDescent="0.25" r="3" customHeight="1" ht="18.75">
      <c r="A3" s="1" t="s">
        <v>872</v>
      </c>
      <c r="B3" s="14">
        <v>1.9319444444444445</v>
      </c>
      <c r="C3" s="5" t="s">
        <v>1223</v>
      </c>
      <c r="D3" s="15" t="s">
        <v>873</v>
      </c>
      <c r="E3" s="15" t="s">
        <v>874</v>
      </c>
      <c r="F3" s="15" t="s">
        <v>875</v>
      </c>
      <c r="G3" s="15" t="s">
        <v>876</v>
      </c>
      <c r="H3" s="15" t="s">
        <v>877</v>
      </c>
      <c r="I3" s="15" t="s">
        <v>878</v>
      </c>
      <c r="J3" s="15" t="s">
        <v>879</v>
      </c>
      <c r="K3" s="31"/>
      <c r="L3" s="31"/>
      <c r="M3" s="31"/>
      <c r="N3" s="31"/>
      <c r="O3" s="31"/>
      <c r="P3" s="31"/>
      <c r="Q3" s="31"/>
      <c r="R3" s="31"/>
      <c r="S3" s="31"/>
      <c r="T3" s="31"/>
      <c r="U3" s="4"/>
      <c r="V3" s="4"/>
      <c r="W3" s="4"/>
      <c r="X3" s="4"/>
      <c r="Y3" s="1"/>
      <c r="Z3" s="1"/>
      <c r="AA3" s="1"/>
      <c r="AB3" s="1"/>
      <c r="AC3" s="1"/>
    </row>
    <row x14ac:dyDescent="0.25" r="4" customHeight="1" ht="18.75">
      <c r="A4" s="1" t="s">
        <v>880</v>
      </c>
      <c r="B4" s="14">
        <v>1.676388888888889</v>
      </c>
      <c r="C4" s="5" t="s">
        <v>1224</v>
      </c>
      <c r="D4" s="15" t="s">
        <v>881</v>
      </c>
      <c r="E4" s="15" t="s">
        <v>882</v>
      </c>
      <c r="F4" s="15" t="s">
        <v>883</v>
      </c>
      <c r="G4" s="15" t="s">
        <v>884</v>
      </c>
      <c r="H4" s="15" t="s">
        <v>885</v>
      </c>
      <c r="I4" s="15" t="s">
        <v>886</v>
      </c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4"/>
      <c r="V4" s="4"/>
      <c r="W4" s="4"/>
      <c r="X4" s="4"/>
      <c r="Y4" s="1"/>
      <c r="Z4" s="1"/>
      <c r="AA4" s="1"/>
      <c r="AB4" s="1"/>
      <c r="AC4" s="1"/>
    </row>
    <row x14ac:dyDescent="0.25" r="5" customHeight="1" ht="18.75">
      <c r="A5" s="1" t="s">
        <v>887</v>
      </c>
      <c r="B5" s="14">
        <v>1.7118055555555556</v>
      </c>
      <c r="C5" s="5" t="s">
        <v>1225</v>
      </c>
      <c r="D5" s="15" t="s">
        <v>888</v>
      </c>
      <c r="E5" s="15" t="s">
        <v>889</v>
      </c>
      <c r="F5" s="15" t="s">
        <v>890</v>
      </c>
      <c r="G5" s="15" t="s">
        <v>891</v>
      </c>
      <c r="H5" s="15" t="s">
        <v>892</v>
      </c>
      <c r="I5" s="15" t="s">
        <v>893</v>
      </c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4"/>
      <c r="V5" s="4"/>
      <c r="W5" s="4"/>
      <c r="X5" s="4"/>
      <c r="Y5" s="1"/>
      <c r="Z5" s="1"/>
      <c r="AA5" s="1"/>
      <c r="AB5" s="1"/>
      <c r="AC5" s="1"/>
    </row>
    <row x14ac:dyDescent="0.25" r="6" customHeight="1" ht="18.75">
      <c r="A6" s="1" t="s">
        <v>894</v>
      </c>
      <c r="B6" s="14">
        <v>1.979861111111111</v>
      </c>
      <c r="C6" s="5" t="s">
        <v>345</v>
      </c>
      <c r="D6" s="15" t="s">
        <v>895</v>
      </c>
      <c r="E6" s="15" t="s">
        <v>896</v>
      </c>
      <c r="F6" s="15" t="s">
        <v>897</v>
      </c>
      <c r="G6" s="15" t="s">
        <v>898</v>
      </c>
      <c r="H6" s="15" t="s">
        <v>899</v>
      </c>
      <c r="I6" s="15" t="s">
        <v>900</v>
      </c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4"/>
      <c r="V6" s="4"/>
      <c r="W6" s="4"/>
      <c r="X6" s="4"/>
      <c r="Y6" s="1"/>
      <c r="Z6" s="1"/>
      <c r="AA6" s="1"/>
      <c r="AB6" s="1"/>
      <c r="AC6" s="1"/>
    </row>
    <row x14ac:dyDescent="0.25" r="7" customHeight="1" ht="18.75">
      <c r="A7" s="1" t="s">
        <v>901</v>
      </c>
      <c r="B7" s="14">
        <v>1.9291666666666667</v>
      </c>
      <c r="C7" s="5" t="s">
        <v>1226</v>
      </c>
      <c r="D7" s="15" t="s">
        <v>902</v>
      </c>
      <c r="E7" s="15" t="s">
        <v>903</v>
      </c>
      <c r="F7" s="15" t="s">
        <v>904</v>
      </c>
      <c r="G7" s="15" t="s">
        <v>905</v>
      </c>
      <c r="H7" s="15" t="s">
        <v>906</v>
      </c>
      <c r="I7" s="15" t="s">
        <v>907</v>
      </c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4"/>
      <c r="V7" s="4"/>
      <c r="W7" s="4"/>
      <c r="X7" s="4"/>
      <c r="Y7" s="1"/>
      <c r="Z7" s="1"/>
      <c r="AA7" s="1"/>
      <c r="AB7" s="1"/>
      <c r="AC7" s="1"/>
    </row>
    <row x14ac:dyDescent="0.25" r="8" customHeight="1" ht="18.75">
      <c r="A8" s="1" t="s">
        <v>908</v>
      </c>
      <c r="B8" s="14">
        <v>1.4756944444444444</v>
      </c>
      <c r="C8" s="5" t="s">
        <v>1227</v>
      </c>
      <c r="D8" s="15" t="s">
        <v>909</v>
      </c>
      <c r="E8" s="15" t="s">
        <v>910</v>
      </c>
      <c r="F8" s="15" t="s">
        <v>911</v>
      </c>
      <c r="G8" s="15" t="s">
        <v>912</v>
      </c>
      <c r="H8" s="15" t="s">
        <v>913</v>
      </c>
      <c r="I8" s="15" t="s">
        <v>914</v>
      </c>
      <c r="J8" s="15" t="s">
        <v>915</v>
      </c>
      <c r="K8" s="15" t="s">
        <v>916</v>
      </c>
      <c r="L8" s="15" t="s">
        <v>917</v>
      </c>
      <c r="M8" s="15" t="s">
        <v>918</v>
      </c>
      <c r="N8" s="15" t="s">
        <v>919</v>
      </c>
      <c r="O8" s="15" t="s">
        <v>920</v>
      </c>
      <c r="P8" s="15" t="s">
        <v>889</v>
      </c>
      <c r="Q8" s="15" t="s">
        <v>891</v>
      </c>
      <c r="R8" s="15" t="s">
        <v>892</v>
      </c>
      <c r="S8" s="15" t="s">
        <v>893</v>
      </c>
      <c r="T8" s="31"/>
      <c r="U8" s="4"/>
      <c r="V8" s="4"/>
      <c r="W8" s="4"/>
      <c r="X8" s="4"/>
      <c r="Y8" s="1"/>
      <c r="Z8" s="1"/>
      <c r="AA8" s="1"/>
      <c r="AB8" s="1"/>
      <c r="AC8" s="1"/>
    </row>
    <row x14ac:dyDescent="0.25" r="9" customHeight="1" ht="18.75">
      <c r="A9" s="1" t="s">
        <v>921</v>
      </c>
      <c r="B9" s="14">
        <v>1.4652777777777777</v>
      </c>
      <c r="C9" s="5" t="s">
        <v>824</v>
      </c>
      <c r="D9" s="15" t="s">
        <v>922</v>
      </c>
      <c r="E9" s="15" t="s">
        <v>923</v>
      </c>
      <c r="F9" s="15" t="s">
        <v>504</v>
      </c>
      <c r="G9" s="15" t="s">
        <v>924</v>
      </c>
      <c r="H9" s="15" t="s">
        <v>506</v>
      </c>
      <c r="I9" s="15" t="s">
        <v>507</v>
      </c>
      <c r="J9" s="15" t="s">
        <v>925</v>
      </c>
      <c r="K9" s="15" t="s">
        <v>926</v>
      </c>
      <c r="L9" s="15" t="s">
        <v>927</v>
      </c>
      <c r="M9" s="31"/>
      <c r="N9" s="31"/>
      <c r="O9" s="31"/>
      <c r="P9" s="31"/>
      <c r="Q9" s="31"/>
      <c r="R9" s="31"/>
      <c r="S9" s="31"/>
      <c r="T9" s="31"/>
      <c r="U9" s="4"/>
      <c r="V9" s="4"/>
      <c r="W9" s="4"/>
      <c r="X9" s="4"/>
      <c r="Y9" s="1"/>
      <c r="Z9" s="1"/>
      <c r="AA9" s="1"/>
      <c r="AB9" s="1"/>
      <c r="AC9" s="1"/>
    </row>
    <row x14ac:dyDescent="0.25" r="10" customHeight="1" ht="18.75">
      <c r="A10" s="1" t="s">
        <v>928</v>
      </c>
      <c r="B10" s="25">
        <v>1.1381944444444445</v>
      </c>
      <c r="C10" s="5" t="s">
        <v>1228</v>
      </c>
      <c r="D10" s="15" t="s">
        <v>929</v>
      </c>
      <c r="E10" s="15" t="s">
        <v>929</v>
      </c>
      <c r="F10" s="15" t="s">
        <v>930</v>
      </c>
      <c r="G10" s="15" t="s">
        <v>931</v>
      </c>
      <c r="H10" s="15" t="s">
        <v>932</v>
      </c>
      <c r="I10" s="15" t="s">
        <v>933</v>
      </c>
      <c r="J10" s="15" t="s">
        <v>934</v>
      </c>
      <c r="K10" s="15" t="s">
        <v>935</v>
      </c>
      <c r="L10" s="31"/>
      <c r="M10" s="31"/>
      <c r="N10" s="31"/>
      <c r="O10" s="31"/>
      <c r="P10" s="31"/>
      <c r="Q10" s="31"/>
      <c r="R10" s="31"/>
      <c r="S10" s="31"/>
      <c r="T10" s="31"/>
      <c r="U10" s="4"/>
      <c r="V10" s="4"/>
      <c r="W10" s="4"/>
      <c r="X10" s="4"/>
      <c r="Y10" s="1"/>
      <c r="Z10" s="1"/>
      <c r="AA10" s="1"/>
      <c r="AB10" s="1"/>
      <c r="AC10" s="1"/>
    </row>
    <row x14ac:dyDescent="0.25" r="11" customHeight="1" ht="18.75">
      <c r="A11" s="1" t="s">
        <v>936</v>
      </c>
      <c r="B11" s="14">
        <v>1.9722222222222223</v>
      </c>
      <c r="C11" s="5" t="s">
        <v>1229</v>
      </c>
      <c r="D11" s="15" t="s">
        <v>937</v>
      </c>
      <c r="E11" s="15" t="s">
        <v>938</v>
      </c>
      <c r="F11" s="15" t="s">
        <v>939</v>
      </c>
      <c r="G11" s="15" t="s">
        <v>940</v>
      </c>
      <c r="H11" s="15" t="s">
        <v>941</v>
      </c>
      <c r="I11" s="15" t="s">
        <v>942</v>
      </c>
      <c r="J11" s="15" t="s">
        <v>943</v>
      </c>
      <c r="K11" s="15" t="s">
        <v>944</v>
      </c>
      <c r="L11" s="31"/>
      <c r="M11" s="31"/>
      <c r="N11" s="31"/>
      <c r="O11" s="31"/>
      <c r="P11" s="31"/>
      <c r="Q11" s="31"/>
      <c r="R11" s="31"/>
      <c r="S11" s="31"/>
      <c r="T11" s="31"/>
      <c r="U11" s="4"/>
      <c r="V11" s="4"/>
      <c r="W11" s="4"/>
      <c r="X11" s="4"/>
      <c r="Y11" s="1"/>
      <c r="Z11" s="1"/>
      <c r="AA11" s="1"/>
      <c r="AB11" s="1"/>
      <c r="AC11" s="1"/>
    </row>
    <row x14ac:dyDescent="0.25" r="12" customHeight="1" ht="18.75">
      <c r="A12" s="1" t="s">
        <v>945</v>
      </c>
      <c r="B12" s="14">
        <v>1.682638888888889</v>
      </c>
      <c r="C12" s="5" t="s">
        <v>1230</v>
      </c>
      <c r="D12" s="15" t="s">
        <v>946</v>
      </c>
      <c r="E12" s="15" t="s">
        <v>947</v>
      </c>
      <c r="F12" s="15" t="s">
        <v>948</v>
      </c>
      <c r="G12" s="15" t="s">
        <v>949</v>
      </c>
      <c r="H12" s="15" t="s">
        <v>950</v>
      </c>
      <c r="I12" s="15" t="s">
        <v>951</v>
      </c>
      <c r="J12" s="15" t="s">
        <v>952</v>
      </c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4"/>
      <c r="V12" s="4"/>
      <c r="W12" s="4"/>
      <c r="X12" s="4"/>
      <c r="Y12" s="1"/>
      <c r="Z12" s="1"/>
      <c r="AA12" s="1"/>
      <c r="AB12" s="1"/>
      <c r="AC12" s="1"/>
    </row>
    <row x14ac:dyDescent="0.25" r="13" customHeight="1" ht="18.75">
      <c r="A13" s="1" t="s">
        <v>953</v>
      </c>
      <c r="B13" s="25">
        <v>1.6736111111111112</v>
      </c>
      <c r="C13" s="5" t="s">
        <v>768</v>
      </c>
      <c r="D13" s="15" t="s">
        <v>954</v>
      </c>
      <c r="E13" s="15" t="s">
        <v>955</v>
      </c>
      <c r="F13" s="15" t="s">
        <v>956</v>
      </c>
      <c r="G13" s="15" t="s">
        <v>93</v>
      </c>
      <c r="H13" s="15" t="s">
        <v>957</v>
      </c>
      <c r="I13" s="15" t="s">
        <v>94</v>
      </c>
      <c r="J13" s="15" t="s">
        <v>95</v>
      </c>
      <c r="K13" s="15" t="s">
        <v>958</v>
      </c>
      <c r="L13" s="15" t="s">
        <v>96</v>
      </c>
      <c r="M13" s="15" t="s">
        <v>959</v>
      </c>
      <c r="N13" s="15" t="s">
        <v>98</v>
      </c>
      <c r="O13" s="15" t="s">
        <v>99</v>
      </c>
      <c r="P13" s="15" t="s">
        <v>960</v>
      </c>
      <c r="Q13" s="31"/>
      <c r="R13" s="31"/>
      <c r="S13" s="31"/>
      <c r="T13" s="31"/>
      <c r="U13" s="4"/>
      <c r="V13" s="4"/>
      <c r="W13" s="4"/>
      <c r="X13" s="4"/>
      <c r="Y13" s="1"/>
      <c r="Z13" s="1"/>
      <c r="AA13" s="1"/>
      <c r="AB13" s="1"/>
      <c r="AC13" s="1"/>
    </row>
    <row x14ac:dyDescent="0.25" r="14" customHeight="1" ht="18.75">
      <c r="A14" s="1" t="s">
        <v>961</v>
      </c>
      <c r="B14" s="25">
        <v>1.7430555555555556</v>
      </c>
      <c r="C14" s="5" t="s">
        <v>1231</v>
      </c>
      <c r="D14" s="15" t="s">
        <v>962</v>
      </c>
      <c r="E14" s="15" t="s">
        <v>963</v>
      </c>
      <c r="F14" s="15" t="s">
        <v>964</v>
      </c>
      <c r="G14" s="15" t="s">
        <v>965</v>
      </c>
      <c r="H14" s="15" t="s">
        <v>966</v>
      </c>
      <c r="I14" s="15" t="s">
        <v>967</v>
      </c>
      <c r="J14" s="15" t="s">
        <v>968</v>
      </c>
      <c r="K14" s="15" t="s">
        <v>969</v>
      </c>
      <c r="L14" s="15" t="s">
        <v>970</v>
      </c>
      <c r="M14" s="15" t="s">
        <v>971</v>
      </c>
      <c r="N14" s="31"/>
      <c r="O14" s="31"/>
      <c r="P14" s="31"/>
      <c r="Q14" s="31"/>
      <c r="R14" s="31"/>
      <c r="S14" s="31"/>
      <c r="T14" s="31"/>
      <c r="U14" s="4"/>
      <c r="V14" s="4"/>
      <c r="W14" s="4"/>
      <c r="X14" s="4"/>
      <c r="Y14" s="1"/>
      <c r="Z14" s="1"/>
      <c r="AA14" s="1"/>
      <c r="AB14" s="1"/>
      <c r="AC14" s="1"/>
    </row>
    <row x14ac:dyDescent="0.25" r="15" customHeight="1" ht="18.75">
      <c r="A15" s="1" t="s">
        <v>972</v>
      </c>
      <c r="B15" s="14">
        <v>1.0972222222222223</v>
      </c>
      <c r="C15" s="5" t="s">
        <v>1232</v>
      </c>
      <c r="D15" s="15" t="s">
        <v>973</v>
      </c>
      <c r="E15" s="15" t="s">
        <v>974</v>
      </c>
      <c r="F15" s="15" t="s">
        <v>975</v>
      </c>
      <c r="G15" s="15" t="s">
        <v>976</v>
      </c>
      <c r="H15" s="15" t="s">
        <v>977</v>
      </c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4"/>
      <c r="V15" s="4"/>
      <c r="W15" s="4"/>
      <c r="X15" s="4"/>
      <c r="Y15" s="1"/>
      <c r="Z15" s="1"/>
      <c r="AA15" s="1"/>
      <c r="AB15" s="1"/>
      <c r="AC15" s="1"/>
    </row>
    <row x14ac:dyDescent="0.25" r="16" customHeight="1" ht="18.75">
      <c r="A16" s="1" t="s">
        <v>978</v>
      </c>
      <c r="B16" s="14">
        <v>1.6319444444444444</v>
      </c>
      <c r="C16" s="5" t="s">
        <v>592</v>
      </c>
      <c r="D16" s="15" t="s">
        <v>979</v>
      </c>
      <c r="E16" s="15" t="s">
        <v>980</v>
      </c>
      <c r="F16" s="15" t="s">
        <v>181</v>
      </c>
      <c r="G16" s="15" t="s">
        <v>182</v>
      </c>
      <c r="H16" s="15" t="s">
        <v>981</v>
      </c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4"/>
      <c r="V16" s="4"/>
      <c r="W16" s="4"/>
      <c r="X16" s="4"/>
      <c r="Y16" s="1"/>
      <c r="Z16" s="1"/>
      <c r="AA16" s="1"/>
      <c r="AB16" s="1"/>
      <c r="AC16" s="1"/>
    </row>
    <row x14ac:dyDescent="0.25" r="17" customHeight="1" ht="18.75">
      <c r="A17" s="1" t="s">
        <v>982</v>
      </c>
      <c r="B17" s="14">
        <v>1.1256944444444446</v>
      </c>
      <c r="C17" s="5" t="s">
        <v>1233</v>
      </c>
      <c r="D17" s="15" t="s">
        <v>983</v>
      </c>
      <c r="E17" s="15" t="s">
        <v>984</v>
      </c>
      <c r="F17" s="15" t="s">
        <v>985</v>
      </c>
      <c r="G17" s="15" t="s">
        <v>140</v>
      </c>
      <c r="H17" s="15" t="s">
        <v>986</v>
      </c>
      <c r="I17" s="15" t="s">
        <v>987</v>
      </c>
      <c r="J17" s="15" t="s">
        <v>988</v>
      </c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4"/>
      <c r="V17" s="4"/>
      <c r="W17" s="4"/>
      <c r="X17" s="4"/>
      <c r="Y17" s="1"/>
      <c r="Z17" s="1"/>
      <c r="AA17" s="1"/>
      <c r="AB17" s="1"/>
      <c r="AC17" s="1"/>
    </row>
    <row x14ac:dyDescent="0.25" r="18" customHeight="1" ht="18.75">
      <c r="A18" s="1" t="s">
        <v>989</v>
      </c>
      <c r="B18" s="14">
        <v>1.28125</v>
      </c>
      <c r="C18" s="5" t="s">
        <v>600</v>
      </c>
      <c r="D18" s="15" t="s">
        <v>990</v>
      </c>
      <c r="E18" s="15" t="s">
        <v>991</v>
      </c>
      <c r="F18" s="15" t="s">
        <v>992</v>
      </c>
      <c r="G18" s="15" t="s">
        <v>993</v>
      </c>
      <c r="H18" s="15" t="s">
        <v>994</v>
      </c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4"/>
      <c r="V18" s="4"/>
      <c r="W18" s="4"/>
      <c r="X18" s="4"/>
      <c r="Y18" s="1"/>
      <c r="Z18" s="1"/>
      <c r="AA18" s="1"/>
      <c r="AB18" s="1"/>
      <c r="AC18" s="1"/>
    </row>
    <row x14ac:dyDescent="0.25" r="19" customHeight="1" ht="18.75">
      <c r="A19" s="1" t="s">
        <v>995</v>
      </c>
      <c r="B19" s="14">
        <v>1.4513888888888888</v>
      </c>
      <c r="C19" s="5" t="s">
        <v>1234</v>
      </c>
      <c r="D19" s="15" t="s">
        <v>996</v>
      </c>
      <c r="E19" s="15" t="s">
        <v>997</v>
      </c>
      <c r="F19" s="15" t="s">
        <v>943</v>
      </c>
      <c r="G19" s="15" t="s">
        <v>944</v>
      </c>
      <c r="H19" s="15" t="s">
        <v>998</v>
      </c>
      <c r="I19" s="15" t="s">
        <v>999</v>
      </c>
      <c r="J19" s="15" t="s">
        <v>1000</v>
      </c>
      <c r="K19" s="15" t="s">
        <v>1001</v>
      </c>
      <c r="L19" s="15" t="s">
        <v>1002</v>
      </c>
      <c r="M19" s="15" t="s">
        <v>1003</v>
      </c>
      <c r="N19" s="15" t="s">
        <v>1004</v>
      </c>
      <c r="O19" s="31"/>
      <c r="P19" s="31"/>
      <c r="Q19" s="31"/>
      <c r="R19" s="31"/>
      <c r="S19" s="31"/>
      <c r="T19" s="31"/>
      <c r="U19" s="4"/>
      <c r="V19" s="4"/>
      <c r="W19" s="4"/>
      <c r="X19" s="4"/>
      <c r="Y19" s="1"/>
      <c r="Z19" s="1"/>
      <c r="AA19" s="1"/>
      <c r="AB19" s="1"/>
      <c r="AC19" s="1"/>
    </row>
    <row x14ac:dyDescent="0.25" r="20" customHeight="1" ht="18.75">
      <c r="A20" s="1" t="s">
        <v>1005</v>
      </c>
      <c r="B20" s="14">
        <v>1.7430555555555556</v>
      </c>
      <c r="C20" s="5" t="s">
        <v>1235</v>
      </c>
      <c r="D20" s="15" t="s">
        <v>1006</v>
      </c>
      <c r="E20" s="15" t="s">
        <v>1007</v>
      </c>
      <c r="F20" s="15" t="s">
        <v>1008</v>
      </c>
      <c r="G20" s="15" t="s">
        <v>1009</v>
      </c>
      <c r="H20" s="15" t="s">
        <v>1010</v>
      </c>
      <c r="I20" s="15" t="s">
        <v>1011</v>
      </c>
      <c r="J20" s="15" t="s">
        <v>1012</v>
      </c>
      <c r="K20" s="15" t="s">
        <v>1013</v>
      </c>
      <c r="L20" s="15" t="s">
        <v>1014</v>
      </c>
      <c r="M20" s="15" t="s">
        <v>1015</v>
      </c>
      <c r="N20" s="15" t="s">
        <v>1016</v>
      </c>
      <c r="O20" s="31"/>
      <c r="P20" s="31"/>
      <c r="Q20" s="31"/>
      <c r="R20" s="31"/>
      <c r="S20" s="31"/>
      <c r="T20" s="31"/>
      <c r="U20" s="4"/>
      <c r="V20" s="4"/>
      <c r="W20" s="4"/>
      <c r="X20" s="4"/>
      <c r="Y20" s="1"/>
      <c r="Z20" s="1"/>
      <c r="AA20" s="1"/>
      <c r="AB20" s="1"/>
      <c r="AC20" s="1"/>
    </row>
    <row x14ac:dyDescent="0.25" r="21" customHeight="1" ht="18.75">
      <c r="A21" s="1" t="s">
        <v>1017</v>
      </c>
      <c r="B21" s="14">
        <v>1.557638888888889</v>
      </c>
      <c r="C21" s="5" t="s">
        <v>856</v>
      </c>
      <c r="D21" s="15" t="s">
        <v>1018</v>
      </c>
      <c r="E21" s="15" t="s">
        <v>1019</v>
      </c>
      <c r="F21" s="15" t="s">
        <v>1020</v>
      </c>
      <c r="G21" s="15" t="s">
        <v>543</v>
      </c>
      <c r="H21" s="15" t="s">
        <v>544</v>
      </c>
      <c r="I21" s="15" t="s">
        <v>545</v>
      </c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4"/>
      <c r="V21" s="4"/>
      <c r="W21" s="4"/>
      <c r="X21" s="4"/>
      <c r="Y21" s="1"/>
      <c r="Z21" s="1"/>
      <c r="AA21" s="1"/>
      <c r="AB21" s="1"/>
      <c r="AC21" s="1"/>
    </row>
    <row x14ac:dyDescent="0.25" r="22" customHeight="1" ht="18.75">
      <c r="A22" s="1" t="s">
        <v>1021</v>
      </c>
      <c r="B22" s="25">
        <v>1.4979166666666668</v>
      </c>
      <c r="C22" s="5" t="s">
        <v>760</v>
      </c>
      <c r="D22" s="15" t="s">
        <v>1022</v>
      </c>
      <c r="E22" s="15" t="s">
        <v>1023</v>
      </c>
      <c r="F22" s="15" t="s">
        <v>1024</v>
      </c>
      <c r="G22" s="15" t="s">
        <v>405</v>
      </c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4"/>
      <c r="V22" s="4"/>
      <c r="W22" s="4"/>
      <c r="X22" s="4"/>
      <c r="Y22" s="1"/>
      <c r="Z22" s="1"/>
      <c r="AA22" s="1"/>
      <c r="AB22" s="1"/>
      <c r="AC22" s="1"/>
    </row>
    <row x14ac:dyDescent="0.25" r="23" customHeight="1" ht="18.75">
      <c r="A23" s="1" t="s">
        <v>1025</v>
      </c>
      <c r="B23" s="14">
        <v>1.3625</v>
      </c>
      <c r="C23" s="5" t="s">
        <v>1236</v>
      </c>
      <c r="D23" s="15" t="s">
        <v>1026</v>
      </c>
      <c r="E23" s="15" t="s">
        <v>1218</v>
      </c>
      <c r="F23" s="15" t="s">
        <v>1027</v>
      </c>
      <c r="G23" s="15" t="s">
        <v>1028</v>
      </c>
      <c r="H23" s="15" t="s">
        <v>1029</v>
      </c>
      <c r="I23" s="15" t="s">
        <v>1030</v>
      </c>
      <c r="J23" s="15" t="s">
        <v>1031</v>
      </c>
      <c r="K23" s="15" t="s">
        <v>1032</v>
      </c>
      <c r="L23" s="15" t="s">
        <v>1033</v>
      </c>
      <c r="M23" s="31"/>
      <c r="N23" s="31"/>
      <c r="O23" s="31"/>
      <c r="P23" s="31"/>
      <c r="Q23" s="31"/>
      <c r="R23" s="31"/>
      <c r="S23" s="31"/>
      <c r="T23" s="31"/>
      <c r="U23" s="4"/>
      <c r="V23" s="4"/>
      <c r="W23" s="4"/>
      <c r="X23" s="4"/>
      <c r="Y23" s="1"/>
      <c r="Z23" s="1"/>
      <c r="AA23" s="1"/>
      <c r="AB23" s="1"/>
      <c r="AC23" s="1"/>
    </row>
    <row x14ac:dyDescent="0.25" r="24" customHeight="1" ht="18.75">
      <c r="A24" s="1" t="s">
        <v>1034</v>
      </c>
      <c r="B24" s="14">
        <v>1.1791666666666667</v>
      </c>
      <c r="C24" s="5" t="s">
        <v>1237</v>
      </c>
      <c r="D24" s="15" t="s">
        <v>1035</v>
      </c>
      <c r="E24" s="15" t="s">
        <v>1036</v>
      </c>
      <c r="F24" s="15" t="s">
        <v>1037</v>
      </c>
      <c r="G24" s="15" t="s">
        <v>1038</v>
      </c>
      <c r="H24" s="15" t="s">
        <v>1039</v>
      </c>
      <c r="I24" s="15" t="s">
        <v>1040</v>
      </c>
      <c r="J24" s="15" t="s">
        <v>1041</v>
      </c>
      <c r="K24" s="15" t="s">
        <v>1042</v>
      </c>
      <c r="L24" s="15" t="s">
        <v>1043</v>
      </c>
      <c r="M24" s="15" t="s">
        <v>1044</v>
      </c>
      <c r="N24" s="15" t="s">
        <v>1045</v>
      </c>
      <c r="O24" s="15" t="s">
        <v>1046</v>
      </c>
      <c r="P24" s="15" t="s">
        <v>1047</v>
      </c>
      <c r="Q24" s="31"/>
      <c r="R24" s="31"/>
      <c r="S24" s="31"/>
      <c r="T24" s="31"/>
      <c r="U24" s="4"/>
      <c r="V24" s="4"/>
      <c r="W24" s="4"/>
      <c r="X24" s="4"/>
      <c r="Y24" s="1"/>
      <c r="Z24" s="1"/>
      <c r="AA24" s="1"/>
      <c r="AB24" s="1"/>
      <c r="AC24" s="1"/>
    </row>
    <row x14ac:dyDescent="0.25" r="25" customHeight="1" ht="18.75">
      <c r="A25" s="1" t="s">
        <v>1048</v>
      </c>
      <c r="B25" s="14">
        <v>1.4493055555555556</v>
      </c>
      <c r="C25" s="5" t="s">
        <v>1238</v>
      </c>
      <c r="D25" s="15" t="s">
        <v>1049</v>
      </c>
      <c r="E25" s="15" t="s">
        <v>1050</v>
      </c>
      <c r="F25" s="15" t="s">
        <v>1051</v>
      </c>
      <c r="G25" s="15" t="s">
        <v>1007</v>
      </c>
      <c r="H25" s="15" t="s">
        <v>1052</v>
      </c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4"/>
      <c r="V25" s="4"/>
      <c r="W25" s="4"/>
      <c r="X25" s="4"/>
      <c r="Y25" s="1"/>
      <c r="Z25" s="1"/>
      <c r="AA25" s="1"/>
      <c r="AB25" s="1"/>
      <c r="AC25" s="1"/>
    </row>
    <row x14ac:dyDescent="0.25" r="26" customHeight="1" ht="18.75">
      <c r="A26" s="1" t="s">
        <v>1053</v>
      </c>
      <c r="B26" s="14">
        <v>1.29375</v>
      </c>
      <c r="C26" s="5" t="s">
        <v>1239</v>
      </c>
      <c r="D26" s="15" t="s">
        <v>1054</v>
      </c>
      <c r="E26" s="15" t="s">
        <v>1055</v>
      </c>
      <c r="F26" s="15" t="s">
        <v>1056</v>
      </c>
      <c r="G26" s="15" t="s">
        <v>1057</v>
      </c>
      <c r="H26" s="15" t="s">
        <v>1058</v>
      </c>
      <c r="I26" s="15" t="s">
        <v>1059</v>
      </c>
      <c r="J26" s="15" t="s">
        <v>1060</v>
      </c>
      <c r="K26" s="15" t="s">
        <v>1061</v>
      </c>
      <c r="L26" s="15" t="s">
        <v>1062</v>
      </c>
      <c r="M26" s="15" t="s">
        <v>1063</v>
      </c>
      <c r="N26" s="15" t="s">
        <v>1064</v>
      </c>
      <c r="O26" s="15" t="s">
        <v>1065</v>
      </c>
      <c r="P26" s="31"/>
      <c r="Q26" s="31"/>
      <c r="R26" s="31"/>
      <c r="S26" s="31"/>
      <c r="T26" s="31"/>
      <c r="U26" s="4"/>
      <c r="V26" s="4"/>
      <c r="W26" s="4"/>
      <c r="X26" s="4"/>
      <c r="Y26" s="1"/>
      <c r="Z26" s="1"/>
      <c r="AA26" s="1"/>
      <c r="AB26" s="1"/>
      <c r="AC26" s="1"/>
    </row>
    <row x14ac:dyDescent="0.25" r="27" customHeight="1" ht="18.75">
      <c r="A27" s="1" t="s">
        <v>1066</v>
      </c>
      <c r="B27" s="14">
        <v>1.2625</v>
      </c>
      <c r="C27" s="5" t="s">
        <v>1240</v>
      </c>
      <c r="D27" s="15" t="s">
        <v>1067</v>
      </c>
      <c r="E27" s="15" t="s">
        <v>1068</v>
      </c>
      <c r="F27" s="15" t="s">
        <v>1069</v>
      </c>
      <c r="G27" s="15" t="s">
        <v>1070</v>
      </c>
      <c r="H27" s="15" t="s">
        <v>1071</v>
      </c>
      <c r="I27" s="15" t="s">
        <v>1072</v>
      </c>
      <c r="J27" s="15" t="s">
        <v>1073</v>
      </c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4"/>
      <c r="V27" s="4"/>
      <c r="W27" s="4"/>
      <c r="X27" s="4"/>
      <c r="Y27" s="1"/>
      <c r="Z27" s="1"/>
      <c r="AA27" s="1"/>
      <c r="AB27" s="1"/>
      <c r="AC27" s="1"/>
    </row>
    <row x14ac:dyDescent="0.25" r="28" customHeight="1" ht="18.75">
      <c r="A28" s="1" t="s">
        <v>1074</v>
      </c>
      <c r="B28" s="14">
        <v>1.7340277777777777</v>
      </c>
      <c r="C28" s="5" t="s">
        <v>1241</v>
      </c>
      <c r="D28" s="15" t="s">
        <v>1075</v>
      </c>
      <c r="E28" s="15" t="s">
        <v>1076</v>
      </c>
      <c r="F28" s="15" t="s">
        <v>1077</v>
      </c>
      <c r="G28" s="15" t="s">
        <v>1078</v>
      </c>
      <c r="H28" s="15" t="s">
        <v>1079</v>
      </c>
      <c r="I28" s="15" t="s">
        <v>1080</v>
      </c>
      <c r="J28" s="15" t="s">
        <v>1081</v>
      </c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4"/>
      <c r="V28" s="4"/>
      <c r="W28" s="4"/>
      <c r="X28" s="4"/>
      <c r="Y28" s="1"/>
      <c r="Z28" s="1"/>
      <c r="AA28" s="1"/>
      <c r="AB28" s="1"/>
      <c r="AC28" s="1"/>
    </row>
    <row x14ac:dyDescent="0.25" r="29" customHeight="1" ht="18.75">
      <c r="A29" s="1" t="s">
        <v>1082</v>
      </c>
      <c r="B29" s="14">
        <v>1.1006944444444444</v>
      </c>
      <c r="C29" s="5" t="s">
        <v>1242</v>
      </c>
      <c r="D29" s="15" t="s">
        <v>1083</v>
      </c>
      <c r="E29" s="15" t="s">
        <v>1084</v>
      </c>
      <c r="F29" s="15" t="s">
        <v>1085</v>
      </c>
      <c r="G29" s="15" t="s">
        <v>1086</v>
      </c>
      <c r="H29" s="15" t="s">
        <v>1087</v>
      </c>
      <c r="I29" s="15" t="s">
        <v>1088</v>
      </c>
      <c r="J29" s="15" t="s">
        <v>1089</v>
      </c>
      <c r="K29" s="15" t="s">
        <v>1090</v>
      </c>
      <c r="L29" s="15" t="s">
        <v>1091</v>
      </c>
      <c r="M29" s="15" t="s">
        <v>1092</v>
      </c>
      <c r="N29" s="15" t="s">
        <v>1093</v>
      </c>
      <c r="O29" s="15" t="s">
        <v>1094</v>
      </c>
      <c r="P29" s="31"/>
      <c r="Q29" s="31"/>
      <c r="R29" s="31"/>
      <c r="S29" s="31"/>
      <c r="T29" s="31"/>
      <c r="U29" s="4"/>
      <c r="V29" s="4"/>
      <c r="W29" s="4"/>
      <c r="X29" s="4"/>
      <c r="Y29" s="1"/>
      <c r="Z29" s="1"/>
      <c r="AA29" s="1"/>
      <c r="AB29" s="1"/>
      <c r="AC29" s="1"/>
    </row>
    <row x14ac:dyDescent="0.25" r="30" customHeight="1" ht="18.75">
      <c r="A30" s="1" t="s">
        <v>1095</v>
      </c>
      <c r="B30" s="14">
        <v>1.9333333333333333</v>
      </c>
      <c r="C30" s="5" t="s">
        <v>1243</v>
      </c>
      <c r="D30" s="15" t="s">
        <v>1096</v>
      </c>
      <c r="E30" s="15" t="s">
        <v>1097</v>
      </c>
      <c r="F30" s="15" t="s">
        <v>1097</v>
      </c>
      <c r="G30" s="15" t="s">
        <v>1098</v>
      </c>
      <c r="H30" s="15" t="s">
        <v>1099</v>
      </c>
      <c r="I30" s="15" t="s">
        <v>1100</v>
      </c>
      <c r="J30" s="15" t="s">
        <v>1101</v>
      </c>
      <c r="K30" s="15" t="s">
        <v>1102</v>
      </c>
      <c r="L30" s="15" t="s">
        <v>1103</v>
      </c>
      <c r="M30" s="31"/>
      <c r="N30" s="31"/>
      <c r="O30" s="31"/>
      <c r="P30" s="31"/>
      <c r="Q30" s="31"/>
      <c r="R30" s="31"/>
      <c r="S30" s="31"/>
      <c r="T30" s="31"/>
      <c r="U30" s="4"/>
      <c r="V30" s="4"/>
      <c r="W30" s="4"/>
      <c r="X30" s="4"/>
      <c r="Y30" s="1"/>
      <c r="Z30" s="1"/>
      <c r="AA30" s="1"/>
      <c r="AB30" s="1"/>
      <c r="AC30" s="1"/>
    </row>
    <row x14ac:dyDescent="0.25" r="31" customHeight="1" ht="18.75">
      <c r="A31" s="1" t="s">
        <v>1104</v>
      </c>
      <c r="B31" s="14">
        <v>1.2458333333333333</v>
      </c>
      <c r="C31" s="5" t="s">
        <v>1244</v>
      </c>
      <c r="D31" s="15" t="s">
        <v>1105</v>
      </c>
      <c r="E31" s="15" t="s">
        <v>1106</v>
      </c>
      <c r="F31" s="15" t="s">
        <v>1107</v>
      </c>
      <c r="G31" s="15" t="s">
        <v>1108</v>
      </c>
      <c r="H31" s="15" t="s">
        <v>1109</v>
      </c>
      <c r="I31" s="15" t="s">
        <v>1110</v>
      </c>
      <c r="J31" s="15" t="s">
        <v>1111</v>
      </c>
      <c r="K31" s="15" t="s">
        <v>1112</v>
      </c>
      <c r="L31" s="31"/>
      <c r="M31" s="31"/>
      <c r="N31" s="31"/>
      <c r="O31" s="31"/>
      <c r="P31" s="31"/>
      <c r="Q31" s="31"/>
      <c r="R31" s="31"/>
      <c r="S31" s="31"/>
      <c r="T31" s="31"/>
      <c r="U31" s="4"/>
      <c r="V31" s="4"/>
      <c r="W31" s="4"/>
      <c r="X31" s="4"/>
      <c r="Y31" s="1"/>
      <c r="Z31" s="1"/>
      <c r="AA31" s="1"/>
      <c r="AB31" s="1"/>
      <c r="AC31" s="1"/>
    </row>
    <row x14ac:dyDescent="0.25" r="32" customHeight="1" ht="18.75">
      <c r="A32" s="1" t="s">
        <v>1113</v>
      </c>
      <c r="B32" s="14">
        <v>1.5347222222222223</v>
      </c>
      <c r="C32" s="5" t="s">
        <v>1245</v>
      </c>
      <c r="D32" s="15" t="s">
        <v>1114</v>
      </c>
      <c r="E32" s="15" t="s">
        <v>1115</v>
      </c>
      <c r="F32" s="15" t="s">
        <v>1116</v>
      </c>
      <c r="G32" s="15" t="s">
        <v>1117</v>
      </c>
      <c r="H32" s="15" t="s">
        <v>1118</v>
      </c>
      <c r="I32" s="15" t="s">
        <v>1119</v>
      </c>
      <c r="J32" s="15" t="s">
        <v>1120</v>
      </c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4"/>
      <c r="V32" s="4"/>
      <c r="W32" s="4"/>
      <c r="X32" s="4"/>
      <c r="Y32" s="1"/>
      <c r="Z32" s="1"/>
      <c r="AA32" s="1"/>
      <c r="AB32" s="1"/>
      <c r="AC32" s="1"/>
    </row>
    <row x14ac:dyDescent="0.25" r="33" customHeight="1" ht="18.75">
      <c r="A33" s="1" t="s">
        <v>1121</v>
      </c>
      <c r="B33" s="14">
        <v>1.7361111111111112</v>
      </c>
      <c r="C33" s="5" t="s">
        <v>1246</v>
      </c>
      <c r="D33" s="15" t="s">
        <v>1122</v>
      </c>
      <c r="E33" s="15" t="s">
        <v>1123</v>
      </c>
      <c r="F33" s="15" t="s">
        <v>1124</v>
      </c>
      <c r="G33" s="15" t="s">
        <v>1125</v>
      </c>
      <c r="H33" s="15" t="s">
        <v>1126</v>
      </c>
      <c r="I33" s="15" t="s">
        <v>1127</v>
      </c>
      <c r="J33" s="15" t="s">
        <v>1128</v>
      </c>
      <c r="K33" s="15" t="s">
        <v>1129</v>
      </c>
      <c r="L33" s="15" t="s">
        <v>1130</v>
      </c>
      <c r="M33" s="15" t="s">
        <v>1131</v>
      </c>
      <c r="N33" s="31"/>
      <c r="O33" s="31"/>
      <c r="P33" s="31"/>
      <c r="Q33" s="31"/>
      <c r="R33" s="31"/>
      <c r="S33" s="31"/>
      <c r="T33" s="31"/>
      <c r="U33" s="4"/>
      <c r="V33" s="4"/>
      <c r="W33" s="4"/>
      <c r="X33" s="4"/>
      <c r="Y33" s="1"/>
      <c r="Z33" s="1"/>
      <c r="AA33" s="1"/>
      <c r="AB33" s="1"/>
      <c r="AC33" s="1"/>
    </row>
    <row x14ac:dyDescent="0.25" r="34" customHeight="1" ht="18.75">
      <c r="A34" s="1" t="s">
        <v>1132</v>
      </c>
      <c r="B34" s="14">
        <v>1.4791666666666667</v>
      </c>
      <c r="C34" s="5" t="s">
        <v>696</v>
      </c>
      <c r="D34" s="15" t="s">
        <v>1133</v>
      </c>
      <c r="E34" s="15" t="s">
        <v>1134</v>
      </c>
      <c r="F34" s="15" t="s">
        <v>322</v>
      </c>
      <c r="G34" s="15" t="s">
        <v>323</v>
      </c>
      <c r="H34" s="15" t="s">
        <v>1135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4"/>
      <c r="V34" s="4"/>
      <c r="W34" s="4"/>
      <c r="X34" s="4"/>
      <c r="Y34" s="1"/>
      <c r="Z34" s="1"/>
      <c r="AA34" s="1"/>
      <c r="AB34" s="1"/>
      <c r="AC34" s="1"/>
    </row>
    <row x14ac:dyDescent="0.25" r="35" customHeight="1" ht="18.75">
      <c r="A35" s="1" t="s">
        <v>1136</v>
      </c>
      <c r="B35" s="14">
        <v>1.9513888888888888</v>
      </c>
      <c r="C35" s="5" t="s">
        <v>1247</v>
      </c>
      <c r="D35" s="15" t="s">
        <v>1137</v>
      </c>
      <c r="E35" s="15" t="s">
        <v>1125</v>
      </c>
      <c r="F35" s="15" t="s">
        <v>1138</v>
      </c>
      <c r="G35" s="15" t="s">
        <v>1126</v>
      </c>
      <c r="H35" s="15" t="s">
        <v>1127</v>
      </c>
      <c r="I35" s="15" t="s">
        <v>1129</v>
      </c>
      <c r="J35" s="15" t="s">
        <v>1130</v>
      </c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4"/>
      <c r="V35" s="4"/>
      <c r="W35" s="4"/>
      <c r="X35" s="4"/>
      <c r="Y35" s="1"/>
      <c r="Z35" s="1"/>
      <c r="AA35" s="1"/>
      <c r="AB35" s="1"/>
      <c r="AC35" s="1"/>
    </row>
    <row x14ac:dyDescent="0.25" r="36" customHeight="1" ht="18.75">
      <c r="A36" s="1" t="s">
        <v>1139</v>
      </c>
      <c r="B36" s="14">
        <v>1.8458333333333332</v>
      </c>
      <c r="C36" s="15" t="s">
        <v>712</v>
      </c>
      <c r="D36" s="15" t="s">
        <v>1140</v>
      </c>
      <c r="E36" s="15" t="s">
        <v>1219</v>
      </c>
      <c r="F36" s="15" t="s">
        <v>1141</v>
      </c>
      <c r="G36" s="15" t="s">
        <v>1142</v>
      </c>
      <c r="H36" s="15" t="s">
        <v>340</v>
      </c>
      <c r="I36" s="15" t="s">
        <v>341</v>
      </c>
      <c r="J36" s="15" t="s">
        <v>342</v>
      </c>
      <c r="K36" s="15" t="s">
        <v>343</v>
      </c>
      <c r="L36" s="31"/>
      <c r="M36" s="31"/>
      <c r="N36" s="31"/>
      <c r="O36" s="31"/>
      <c r="P36" s="31"/>
      <c r="Q36" s="31"/>
      <c r="R36" s="31"/>
      <c r="S36" s="31"/>
      <c r="T36" s="31"/>
      <c r="U36" s="4"/>
      <c r="V36" s="4"/>
      <c r="W36" s="4"/>
      <c r="X36" s="4"/>
      <c r="Y36" s="1"/>
      <c r="Z36" s="1"/>
      <c r="AA36" s="1"/>
      <c r="AB36" s="1"/>
      <c r="AC36" s="1"/>
    </row>
    <row x14ac:dyDescent="0.25" r="37" customHeight="1" ht="18.75">
      <c r="A37" s="1" t="s">
        <v>1143</v>
      </c>
      <c r="B37" s="14">
        <v>1.4548611111111112</v>
      </c>
      <c r="C37" s="15" t="s">
        <v>1248</v>
      </c>
      <c r="D37" s="15" t="s">
        <v>1144</v>
      </c>
      <c r="E37" s="15" t="s">
        <v>1145</v>
      </c>
      <c r="F37" s="15" t="s">
        <v>1146</v>
      </c>
      <c r="G37" s="15" t="s">
        <v>1147</v>
      </c>
      <c r="H37" s="15" t="s">
        <v>1148</v>
      </c>
      <c r="I37" s="15" t="s">
        <v>1149</v>
      </c>
      <c r="J37" s="15" t="s">
        <v>1150</v>
      </c>
      <c r="K37" s="15" t="s">
        <v>1151</v>
      </c>
      <c r="L37" s="31"/>
      <c r="M37" s="31"/>
      <c r="N37" s="31"/>
      <c r="O37" s="31"/>
      <c r="P37" s="31"/>
      <c r="Q37" s="31"/>
      <c r="R37" s="31"/>
      <c r="S37" s="31"/>
      <c r="T37" s="31"/>
      <c r="U37" s="4"/>
      <c r="V37" s="4"/>
      <c r="W37" s="4"/>
      <c r="X37" s="4"/>
      <c r="Y37" s="1"/>
      <c r="Z37" s="1"/>
      <c r="AA37" s="1"/>
      <c r="AB37" s="1"/>
      <c r="AC37" s="1"/>
    </row>
    <row x14ac:dyDescent="0.25" r="38" customHeight="1" ht="18.75">
      <c r="A38" s="1" t="s">
        <v>1152</v>
      </c>
      <c r="B38" s="14">
        <v>1.8361111111111112</v>
      </c>
      <c r="C38" s="15" t="s">
        <v>1249</v>
      </c>
      <c r="D38" s="15" t="s">
        <v>1153</v>
      </c>
      <c r="E38" s="15" t="s">
        <v>1154</v>
      </c>
      <c r="F38" s="15" t="s">
        <v>1155</v>
      </c>
      <c r="G38" s="15" t="s">
        <v>1156</v>
      </c>
      <c r="H38" s="15" t="s">
        <v>1157</v>
      </c>
      <c r="I38" s="15" t="s">
        <v>1158</v>
      </c>
      <c r="J38" s="15" t="s">
        <v>1159</v>
      </c>
      <c r="K38" s="15" t="s">
        <v>1160</v>
      </c>
      <c r="L38" s="15" t="s">
        <v>1161</v>
      </c>
      <c r="M38" s="31"/>
      <c r="N38" s="31"/>
      <c r="O38" s="31"/>
      <c r="P38" s="31"/>
      <c r="Q38" s="31"/>
      <c r="R38" s="31"/>
      <c r="S38" s="31"/>
      <c r="T38" s="31"/>
      <c r="U38" s="4"/>
      <c r="V38" s="4"/>
      <c r="W38" s="4"/>
      <c r="X38" s="4"/>
      <c r="Y38" s="1"/>
      <c r="Z38" s="1"/>
      <c r="AA38" s="1"/>
      <c r="AB38" s="1"/>
      <c r="AC38" s="1"/>
    </row>
    <row x14ac:dyDescent="0.25" r="39" customHeight="1" ht="18.75">
      <c r="A39" s="1" t="s">
        <v>1162</v>
      </c>
      <c r="B39" s="14">
        <v>1.5597222222222222</v>
      </c>
      <c r="C39" s="15" t="s">
        <v>606</v>
      </c>
      <c r="D39" s="15" t="s">
        <v>1163</v>
      </c>
      <c r="E39" s="15" t="s">
        <v>1164</v>
      </c>
      <c r="F39" s="15" t="s">
        <v>1165</v>
      </c>
      <c r="G39" s="15" t="s">
        <v>1166</v>
      </c>
      <c r="H39" s="15" t="s">
        <v>202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4"/>
      <c r="V39" s="4"/>
      <c r="W39" s="4"/>
      <c r="X39" s="4"/>
      <c r="Y39" s="1"/>
      <c r="Z39" s="1"/>
      <c r="AA39" s="1"/>
      <c r="AB39" s="1"/>
      <c r="AC39" s="1"/>
    </row>
    <row x14ac:dyDescent="0.25" r="40" customHeight="1" ht="18.75">
      <c r="A40" s="1" t="s">
        <v>1167</v>
      </c>
      <c r="B40" s="14">
        <v>1.7743055555555556</v>
      </c>
      <c r="C40" s="15" t="s">
        <v>601</v>
      </c>
      <c r="D40" s="15" t="s">
        <v>1168</v>
      </c>
      <c r="E40" s="15" t="s">
        <v>1169</v>
      </c>
      <c r="F40" s="15" t="s">
        <v>1170</v>
      </c>
      <c r="G40" s="15" t="s">
        <v>993</v>
      </c>
      <c r="H40" s="15" t="s">
        <v>994</v>
      </c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4"/>
      <c r="V40" s="4"/>
      <c r="W40" s="4"/>
      <c r="X40" s="4"/>
      <c r="Y40" s="1"/>
      <c r="Z40" s="1"/>
      <c r="AA40" s="1"/>
      <c r="AB40" s="1"/>
      <c r="AC40" s="1"/>
    </row>
    <row x14ac:dyDescent="0.25" r="41" customHeight="1" ht="18.75">
      <c r="A41" s="1" t="s">
        <v>1171</v>
      </c>
      <c r="B41" s="14">
        <v>1.875</v>
      </c>
      <c r="C41" s="15" t="s">
        <v>791</v>
      </c>
      <c r="D41" s="15" t="s">
        <v>1172</v>
      </c>
      <c r="E41" s="15" t="s">
        <v>1173</v>
      </c>
      <c r="F41" s="15" t="s">
        <v>1174</v>
      </c>
      <c r="G41" s="15" t="s">
        <v>1175</v>
      </c>
      <c r="H41" s="15" t="s">
        <v>1176</v>
      </c>
      <c r="I41" s="15" t="s">
        <v>1177</v>
      </c>
      <c r="J41" s="15" t="s">
        <v>1178</v>
      </c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4"/>
      <c r="V41" s="4"/>
      <c r="W41" s="4"/>
      <c r="X41" s="4"/>
      <c r="Y41" s="1"/>
      <c r="Z41" s="1"/>
      <c r="AA41" s="1"/>
      <c r="AB41" s="1"/>
      <c r="AC41" s="1"/>
    </row>
    <row x14ac:dyDescent="0.25" r="42" customHeight="1" ht="18.75">
      <c r="A42" s="1" t="s">
        <v>1179</v>
      </c>
      <c r="B42" s="14">
        <v>1.6666666666666665</v>
      </c>
      <c r="C42" s="15" t="s">
        <v>1250</v>
      </c>
      <c r="D42" s="15" t="s">
        <v>1180</v>
      </c>
      <c r="E42" s="15" t="s">
        <v>1181</v>
      </c>
      <c r="F42" s="15" t="s">
        <v>1182</v>
      </c>
      <c r="G42" s="15" t="s">
        <v>1183</v>
      </c>
      <c r="H42" s="15" t="s">
        <v>1184</v>
      </c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4"/>
      <c r="V42" s="4"/>
      <c r="W42" s="4"/>
      <c r="X42" s="4"/>
      <c r="Y42" s="1"/>
      <c r="Z42" s="1"/>
      <c r="AA42" s="1"/>
      <c r="AB42" s="1"/>
      <c r="AC42" s="1"/>
    </row>
    <row x14ac:dyDescent="0.25" r="43" customHeight="1" ht="18.75">
      <c r="A43" s="1" t="s">
        <v>1185</v>
      </c>
      <c r="B43" s="14">
        <v>1.6173611111111112</v>
      </c>
      <c r="C43" s="15" t="s">
        <v>1251</v>
      </c>
      <c r="D43" s="15" t="s">
        <v>1186</v>
      </c>
      <c r="E43" s="15" t="s">
        <v>1187</v>
      </c>
      <c r="F43" s="15" t="s">
        <v>1188</v>
      </c>
      <c r="G43" s="15" t="s">
        <v>1189</v>
      </c>
      <c r="H43" s="15" t="s">
        <v>1190</v>
      </c>
      <c r="I43" s="15" t="s">
        <v>1191</v>
      </c>
      <c r="J43" s="15" t="s">
        <v>1192</v>
      </c>
      <c r="K43" s="15" t="s">
        <v>1193</v>
      </c>
      <c r="L43" s="31"/>
      <c r="M43" s="31"/>
      <c r="N43" s="31"/>
      <c r="O43" s="31"/>
      <c r="P43" s="31"/>
      <c r="Q43" s="31"/>
      <c r="R43" s="31"/>
      <c r="S43" s="31"/>
      <c r="T43" s="31"/>
      <c r="U43" s="4"/>
      <c r="V43" s="4"/>
      <c r="W43" s="4"/>
      <c r="X43" s="4"/>
      <c r="Y43" s="1"/>
      <c r="Z43" s="1"/>
      <c r="AA43" s="1"/>
      <c r="AB43" s="1"/>
      <c r="AC43" s="1"/>
    </row>
    <row x14ac:dyDescent="0.25" r="44" customHeight="1" ht="18.75">
      <c r="A44" s="1" t="s">
        <v>1194</v>
      </c>
      <c r="B44" s="14">
        <v>1.4305555555555556</v>
      </c>
      <c r="C44" s="15" t="s">
        <v>1252</v>
      </c>
      <c r="D44" s="15" t="s">
        <v>1195</v>
      </c>
      <c r="E44" s="15" t="s">
        <v>1196</v>
      </c>
      <c r="F44" s="15" t="s">
        <v>874</v>
      </c>
      <c r="G44" s="15" t="s">
        <v>875</v>
      </c>
      <c r="H44" s="15" t="s">
        <v>876</v>
      </c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4"/>
      <c r="V44" s="4"/>
      <c r="W44" s="4"/>
      <c r="X44" s="4"/>
      <c r="Y44" s="1"/>
      <c r="Z44" s="1"/>
      <c r="AA44" s="1"/>
      <c r="AB44" s="1"/>
      <c r="AC44" s="1"/>
    </row>
    <row x14ac:dyDescent="0.25" r="45" customHeight="1" ht="18.75">
      <c r="A45" s="1" t="s">
        <v>1197</v>
      </c>
      <c r="B45" s="14">
        <v>1.5368055555555555</v>
      </c>
      <c r="C45" s="15" t="s">
        <v>1253</v>
      </c>
      <c r="D45" s="15" t="s">
        <v>1198</v>
      </c>
      <c r="E45" s="15" t="s">
        <v>1199</v>
      </c>
      <c r="F45" s="15" t="s">
        <v>1200</v>
      </c>
      <c r="G45" s="15" t="s">
        <v>1201</v>
      </c>
      <c r="H45" s="15" t="s">
        <v>1202</v>
      </c>
      <c r="I45" s="15" t="s">
        <v>1203</v>
      </c>
      <c r="J45" s="15" t="s">
        <v>1204</v>
      </c>
      <c r="K45" s="15" t="s">
        <v>1205</v>
      </c>
      <c r="L45" s="15" t="s">
        <v>1206</v>
      </c>
      <c r="M45" s="15" t="s">
        <v>1207</v>
      </c>
      <c r="N45" s="15" t="s">
        <v>1208</v>
      </c>
      <c r="O45" s="15" t="s">
        <v>1209</v>
      </c>
      <c r="P45" s="31"/>
      <c r="Q45" s="31"/>
      <c r="R45" s="31"/>
      <c r="S45" s="31"/>
      <c r="T45" s="31"/>
      <c r="U45" s="4"/>
      <c r="V45" s="4"/>
      <c r="W45" s="4"/>
      <c r="X45" s="4"/>
      <c r="Y45" s="1"/>
      <c r="Z45" s="1"/>
      <c r="AA45" s="1"/>
      <c r="AB45" s="1"/>
      <c r="AC45" s="1"/>
    </row>
    <row x14ac:dyDescent="0.25" r="46" customHeight="1" ht="18.75">
      <c r="A46" s="1" t="s">
        <v>1210</v>
      </c>
      <c r="B46" s="14">
        <v>1.3340277777777778</v>
      </c>
      <c r="C46" s="5" t="s">
        <v>1254</v>
      </c>
      <c r="D46" s="15" t="s">
        <v>1211</v>
      </c>
      <c r="E46" s="15" t="s">
        <v>1212</v>
      </c>
      <c r="F46" s="15" t="s">
        <v>1220</v>
      </c>
      <c r="G46" s="15" t="s">
        <v>1213</v>
      </c>
      <c r="H46" s="15" t="s">
        <v>1214</v>
      </c>
      <c r="I46" s="15" t="s">
        <v>1215</v>
      </c>
      <c r="J46" s="15" t="s">
        <v>1216</v>
      </c>
      <c r="K46" s="15" t="s">
        <v>1217</v>
      </c>
      <c r="L46" s="31"/>
      <c r="M46" s="31"/>
      <c r="N46" s="31"/>
      <c r="O46" s="31"/>
      <c r="P46" s="31"/>
      <c r="Q46" s="31"/>
      <c r="R46" s="31"/>
      <c r="S46" s="31"/>
      <c r="T46" s="31"/>
      <c r="U46" s="4"/>
      <c r="V46" s="4"/>
      <c r="W46" s="4"/>
      <c r="X46" s="4"/>
      <c r="Y46" s="1"/>
      <c r="Z46" s="1"/>
      <c r="AA46" s="1"/>
      <c r="AB46" s="1"/>
      <c r="AC46" s="1"/>
    </row>
    <row x14ac:dyDescent="0.25" r="47" customHeight="1" ht="18.75">
      <c r="A47" s="1"/>
      <c r="B47" s="5"/>
      <c r="C47" s="5"/>
      <c r="D47" s="4"/>
      <c r="E47" s="5"/>
      <c r="F47" s="5"/>
      <c r="G47" s="5"/>
      <c r="H47" s="5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1"/>
      <c r="Z47" s="1"/>
      <c r="AA47" s="1"/>
      <c r="AB47" s="1"/>
      <c r="AC47" s="1"/>
    </row>
    <row x14ac:dyDescent="0.25" r="48" customHeight="1" ht="18.75">
      <c r="A48" s="1"/>
      <c r="B48" s="5"/>
      <c r="C48" s="5"/>
      <c r="D48" s="4"/>
      <c r="E48" s="5"/>
      <c r="F48" s="5"/>
      <c r="G48" s="5"/>
      <c r="H48" s="5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1"/>
      <c r="Z48" s="1"/>
      <c r="AA48" s="1"/>
      <c r="AB48" s="1"/>
      <c r="AC48" s="1"/>
    </row>
    <row x14ac:dyDescent="0.25" r="49" customHeight="1" ht="18.75">
      <c r="A49" s="1"/>
      <c r="B49" s="5"/>
      <c r="C49" s="5"/>
      <c r="D49" s="4"/>
      <c r="E49" s="5"/>
      <c r="F49" s="5"/>
      <c r="G49" s="5"/>
      <c r="H49" s="5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1"/>
      <c r="Z49" s="1"/>
      <c r="AA49" s="1"/>
      <c r="AB49" s="1"/>
      <c r="AC49" s="1"/>
    </row>
    <row x14ac:dyDescent="0.25" r="50" customHeight="1" ht="18.75">
      <c r="A50" s="1"/>
      <c r="B50" s="5"/>
      <c r="C50" s="5"/>
      <c r="D50" s="4"/>
      <c r="E50" s="5"/>
      <c r="F50" s="5"/>
      <c r="G50" s="5"/>
      <c r="H50" s="5"/>
      <c r="I50" s="5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1"/>
      <c r="Z50" s="1"/>
      <c r="AA50" s="1"/>
      <c r="AB50" s="1"/>
      <c r="AC50" s="1"/>
    </row>
    <row x14ac:dyDescent="0.25" r="51" customHeight="1" ht="18.75">
      <c r="A51" s="1" t="s">
        <v>65</v>
      </c>
      <c r="B51" s="5" t="s">
        <v>66</v>
      </c>
      <c r="C51" s="5" t="s">
        <v>67</v>
      </c>
      <c r="D51" s="4"/>
      <c r="E51" s="5"/>
      <c r="F51" s="5"/>
      <c r="G51" s="5"/>
      <c r="H51" s="5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"/>
      <c r="Z51" s="1"/>
      <c r="AA51" s="1"/>
      <c r="AB51" s="1"/>
      <c r="AC51" s="14"/>
    </row>
    <row x14ac:dyDescent="0.25" r="52" customHeight="1" ht="18.75">
      <c r="A52" s="1" t="s">
        <v>1222</v>
      </c>
      <c r="B52" s="14">
        <v>1.5069444444444444</v>
      </c>
      <c r="C52" s="3">
        <v>0.0535</v>
      </c>
      <c r="D52" s="4"/>
      <c r="E52" s="5">
        <f>TEXT(A52,"yyyy/mm/dd") &amp; " " &amp; TEXT(B52,"hh:mm:ss")</f>
      </c>
      <c r="F52" s="5"/>
      <c r="G52" s="5"/>
      <c r="H52" s="5"/>
      <c r="I52" s="5" t="s">
        <v>1222</v>
      </c>
      <c r="J52" s="4" t="s">
        <v>1222</v>
      </c>
      <c r="K52" s="4" t="s">
        <v>1255</v>
      </c>
      <c r="L52" s="15" t="s">
        <v>1256</v>
      </c>
      <c r="M52" s="4" t="s">
        <v>1256</v>
      </c>
      <c r="N52" s="4" t="s">
        <v>1257</v>
      </c>
      <c r="O52" s="4" t="s">
        <v>1258</v>
      </c>
      <c r="P52" s="20" t="s">
        <v>769</v>
      </c>
      <c r="Q52" s="4"/>
      <c r="R52" s="4"/>
      <c r="S52" s="4"/>
      <c r="T52" s="14"/>
      <c r="U52" s="4"/>
      <c r="V52" s="14"/>
      <c r="W52" s="4"/>
      <c r="X52" s="14"/>
      <c r="Y52" s="14"/>
      <c r="Z52" s="1"/>
      <c r="AA52" s="1"/>
      <c r="AB52" s="1"/>
      <c r="AC52" s="14"/>
    </row>
    <row x14ac:dyDescent="0.25" r="53" customHeight="1" ht="18.75">
      <c r="A53" s="1" t="s">
        <v>1222</v>
      </c>
      <c r="B53" s="14">
        <v>1.7006944444444443</v>
      </c>
      <c r="C53" s="3">
        <v>0.0577</v>
      </c>
      <c r="D53" s="4"/>
      <c r="E53" s="5">
        <f>TEXT(A53,"yyyy/mm/dd") &amp; " " &amp; TEXT(B53,"hh:mm:ss")</f>
      </c>
      <c r="F53" s="5"/>
      <c r="G53" s="5"/>
      <c r="H53" s="5"/>
      <c r="I53" s="14">
        <v>1.5069444444444444</v>
      </c>
      <c r="J53" s="14">
        <v>1.7006944444444443</v>
      </c>
      <c r="K53" s="14">
        <v>1.0319444444444446</v>
      </c>
      <c r="L53" s="14">
        <v>1.00625</v>
      </c>
      <c r="M53" s="14">
        <v>1.6618055555555555</v>
      </c>
      <c r="N53" s="14">
        <v>1.0069444444444444</v>
      </c>
      <c r="O53" s="14">
        <v>1.011111111111111</v>
      </c>
      <c r="P53" s="24">
        <v>1.2381944444444444</v>
      </c>
      <c r="Q53" s="4"/>
      <c r="R53" s="4"/>
      <c r="S53" s="14"/>
      <c r="T53" s="4"/>
      <c r="U53" s="14"/>
      <c r="V53" s="4"/>
      <c r="W53" s="14"/>
      <c r="X53" s="16"/>
      <c r="Y53" s="1"/>
      <c r="Z53" s="1"/>
      <c r="AA53" s="1"/>
      <c r="AB53" s="1"/>
      <c r="AC53" s="14"/>
    </row>
    <row x14ac:dyDescent="0.25" r="54" customHeight="1" ht="18.75">
      <c r="A54" s="1" t="s">
        <v>1255</v>
      </c>
      <c r="B54" s="14">
        <v>1.0319444444444446</v>
      </c>
      <c r="C54" s="3">
        <v>0.0438</v>
      </c>
      <c r="D54" s="4"/>
      <c r="E54" s="5">
        <f>TEXT(A54,"yyyy/mm/dd") &amp; " " &amp; TEXT(B54,"hh:mm:ss")</f>
      </c>
      <c r="F54" s="5"/>
      <c r="G54" s="5"/>
      <c r="H54" s="5"/>
      <c r="I54" s="39">
        <v>0.0535</v>
      </c>
      <c r="J54" s="3">
        <v>0.0577</v>
      </c>
      <c r="K54" s="3">
        <v>0.0438</v>
      </c>
      <c r="L54" s="3">
        <v>0.0342</v>
      </c>
      <c r="M54" s="3">
        <v>0.0315</v>
      </c>
      <c r="N54" s="3">
        <v>0.024399999999999998</v>
      </c>
      <c r="O54" s="3">
        <v>0.019</v>
      </c>
      <c r="P54" s="13">
        <v>0.0128</v>
      </c>
      <c r="Q54" s="4"/>
      <c r="R54" s="4"/>
      <c r="S54" s="4"/>
      <c r="T54" s="4"/>
      <c r="U54" s="4"/>
      <c r="V54" s="4"/>
      <c r="W54" s="4"/>
      <c r="X54" s="4"/>
      <c r="Y54" s="1"/>
      <c r="Z54" s="1"/>
      <c r="AA54" s="1"/>
      <c r="AB54" s="16"/>
      <c r="AC54" s="14"/>
    </row>
    <row x14ac:dyDescent="0.25" r="55" customHeight="1" ht="18.75">
      <c r="A55" s="28" t="s">
        <v>1256</v>
      </c>
      <c r="B55" s="14">
        <v>1.00625</v>
      </c>
      <c r="C55" s="3">
        <v>0.0342</v>
      </c>
      <c r="D55" s="4"/>
      <c r="E55" s="5">
        <f>TEXT(A55,"yyyy/mm/dd") &amp; " " &amp; TEXT(B55,"hh:mm:ss")</f>
      </c>
      <c r="F55" s="5"/>
      <c r="G55" s="5"/>
      <c r="H55" s="5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"/>
      <c r="Z55" s="1"/>
      <c r="AA55" s="1"/>
      <c r="AB55" s="1"/>
      <c r="AC55" s="14"/>
    </row>
    <row x14ac:dyDescent="0.25" r="56" customHeight="1" ht="18.75">
      <c r="A56" s="1" t="s">
        <v>1256</v>
      </c>
      <c r="B56" s="14">
        <v>1.6618055555555555</v>
      </c>
      <c r="C56" s="3">
        <v>0.0315</v>
      </c>
      <c r="D56" s="4"/>
      <c r="E56" s="5">
        <f>TEXT(A56,"yyyy/mm/dd") &amp; " " &amp; TEXT(B56,"hh:mm:ss")</f>
      </c>
      <c r="F56" s="5"/>
      <c r="G56" s="5"/>
      <c r="H56" s="5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1"/>
      <c r="Z56" s="1"/>
      <c r="AA56" s="1"/>
      <c r="AB56" s="1"/>
      <c r="AC56" s="14"/>
    </row>
    <row x14ac:dyDescent="0.25" r="57" customHeight="1" ht="18.75">
      <c r="A57" s="1" t="s">
        <v>1257</v>
      </c>
      <c r="B57" s="14">
        <v>1.0069444444444444</v>
      </c>
      <c r="C57" s="3">
        <v>0.024399999999999998</v>
      </c>
      <c r="D57" s="4"/>
      <c r="E57" s="5">
        <f>TEXT(A57,"yyyy/mm/dd") &amp; " " &amp; TEXT(B57,"hh:mm:ss")</f>
      </c>
      <c r="F57" s="5"/>
      <c r="G57" s="5"/>
      <c r="H57" s="5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1"/>
      <c r="Z57" s="1"/>
      <c r="AA57" s="1"/>
      <c r="AB57" s="1"/>
      <c r="AC57" s="14"/>
    </row>
    <row x14ac:dyDescent="0.25" r="58" customHeight="1" ht="18.75">
      <c r="A58" s="1" t="s">
        <v>1258</v>
      </c>
      <c r="B58" s="14">
        <v>1.011111111111111</v>
      </c>
      <c r="C58" s="3">
        <v>0.019</v>
      </c>
      <c r="D58" s="4"/>
      <c r="E58" s="5">
        <f>TEXT(A58,"yyyy/mm/dd") &amp; " " &amp; TEXT(B58,"hh:mm:ss")</f>
      </c>
      <c r="F58" s="5"/>
      <c r="G58" s="5"/>
      <c r="H58" s="5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1"/>
      <c r="Z58" s="1"/>
      <c r="AA58" s="1"/>
      <c r="AB58" s="1"/>
      <c r="AC58" s="14"/>
    </row>
    <row x14ac:dyDescent="0.25" r="59" customHeight="1" ht="18.75">
      <c r="A59" s="40" t="s">
        <v>769</v>
      </c>
      <c r="B59" s="41">
        <v>1.2381944444444444</v>
      </c>
      <c r="C59" s="42">
        <v>0.0128</v>
      </c>
      <c r="D59" s="4"/>
      <c r="E59" s="43">
        <f>TEXT(A59,"yyyy/mm/dd") &amp; " " &amp; TEXT(B59,"hh:mm:ss")</f>
      </c>
      <c r="F59" s="5"/>
      <c r="G59" s="5"/>
      <c r="H59" s="5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1"/>
      <c r="Z59" s="1"/>
      <c r="AA59" s="1"/>
      <c r="AB59" s="40"/>
      <c r="AC59" s="41"/>
    </row>
    <row x14ac:dyDescent="0.25" r="60" customHeight="1" ht="18.75">
      <c r="A60" s="1" t="s">
        <v>1223</v>
      </c>
      <c r="B60" s="14">
        <v>1.9340277777777777</v>
      </c>
      <c r="C60" s="3">
        <v>0.0181</v>
      </c>
      <c r="D60" s="4"/>
      <c r="E60" s="5">
        <f>TEXT(A60,"yyyy/mm/dd") &amp; " " &amp; TEXT(B60,"hh:mm:ss")</f>
      </c>
      <c r="F60" s="5"/>
      <c r="G60" s="5"/>
      <c r="H60" s="5"/>
      <c r="I60" s="5" t="s">
        <v>1223</v>
      </c>
      <c r="J60" s="4" t="s">
        <v>1259</v>
      </c>
      <c r="K60" s="4" t="s">
        <v>1260</v>
      </c>
      <c r="L60" s="4" t="s">
        <v>1261</v>
      </c>
      <c r="M60" s="4" t="s">
        <v>1261</v>
      </c>
      <c r="N60" s="4" t="s">
        <v>1262</v>
      </c>
      <c r="O60" s="20" t="s">
        <v>1263</v>
      </c>
      <c r="P60" s="4"/>
      <c r="Q60" s="4"/>
      <c r="R60" s="4"/>
      <c r="S60" s="4"/>
      <c r="T60" s="4"/>
      <c r="U60" s="4"/>
      <c r="V60" s="4"/>
      <c r="W60" s="4"/>
      <c r="X60" s="4"/>
      <c r="Y60" s="1"/>
      <c r="Z60" s="1"/>
      <c r="AA60" s="1"/>
      <c r="AB60" s="1"/>
      <c r="AC60" s="14"/>
    </row>
    <row x14ac:dyDescent="0.25" r="61" customHeight="1" ht="18.75">
      <c r="A61" s="1" t="s">
        <v>1259</v>
      </c>
      <c r="B61" s="14">
        <v>1.0104166666666667</v>
      </c>
      <c r="C61" s="3">
        <v>0.012199999999999999</v>
      </c>
      <c r="D61" s="4"/>
      <c r="E61" s="5">
        <f>TEXT(A61,"yyyy/mm/dd") &amp; " " &amp; TEXT(B61,"hh:mm:ss")</f>
      </c>
      <c r="F61" s="5"/>
      <c r="G61" s="5"/>
      <c r="H61" s="5"/>
      <c r="I61" s="14">
        <v>1.9340277777777777</v>
      </c>
      <c r="J61" s="14">
        <v>1.0104166666666667</v>
      </c>
      <c r="K61" s="14">
        <v>1.00625</v>
      </c>
      <c r="L61" s="14">
        <v>1.0125</v>
      </c>
      <c r="M61" s="14">
        <v>1.7201388888888889</v>
      </c>
      <c r="N61" s="14">
        <v>1.0138888888888888</v>
      </c>
      <c r="O61" s="24">
        <v>1.0013888888888889</v>
      </c>
      <c r="P61" s="4"/>
      <c r="Q61" s="4"/>
      <c r="R61" s="4"/>
      <c r="S61" s="4"/>
      <c r="T61" s="4"/>
      <c r="U61" s="4"/>
      <c r="V61" s="4"/>
      <c r="W61" s="4"/>
      <c r="X61" s="4"/>
      <c r="Y61" s="1"/>
      <c r="Z61" s="1"/>
      <c r="AA61" s="1"/>
      <c r="AB61" s="1"/>
      <c r="AC61" s="14"/>
    </row>
    <row x14ac:dyDescent="0.25" r="62" customHeight="1" ht="18.75">
      <c r="A62" s="1" t="s">
        <v>1260</v>
      </c>
      <c r="B62" s="14">
        <v>1.00625</v>
      </c>
      <c r="C62" s="3">
        <v>0.0081</v>
      </c>
      <c r="D62" s="4"/>
      <c r="E62" s="5">
        <f>TEXT(A62,"yyyy/mm/dd") &amp; " " &amp; TEXT(B62,"hh:mm:ss")</f>
      </c>
      <c r="F62" s="5"/>
      <c r="G62" s="5"/>
      <c r="H62" s="5"/>
      <c r="I62" s="39">
        <v>0.0181</v>
      </c>
      <c r="J62" s="3">
        <v>0.012199999999999999</v>
      </c>
      <c r="K62" s="3">
        <v>0.0081</v>
      </c>
      <c r="L62" s="3">
        <v>0.0057</v>
      </c>
      <c r="M62" s="3">
        <v>0.0126</v>
      </c>
      <c r="N62" s="3">
        <v>0.0076</v>
      </c>
      <c r="O62" s="13">
        <v>0.0077</v>
      </c>
      <c r="P62" s="4"/>
      <c r="Q62" s="4"/>
      <c r="R62" s="4"/>
      <c r="S62" s="4"/>
      <c r="T62" s="4"/>
      <c r="U62" s="4"/>
      <c r="V62" s="4"/>
      <c r="W62" s="4"/>
      <c r="X62" s="4"/>
      <c r="Y62" s="1"/>
      <c r="Z62" s="1"/>
      <c r="AA62" s="1"/>
      <c r="AB62" s="1"/>
      <c r="AC62" s="14"/>
    </row>
    <row x14ac:dyDescent="0.25" r="63" customHeight="1" ht="18.75">
      <c r="A63" s="1" t="s">
        <v>1261</v>
      </c>
      <c r="B63" s="14">
        <v>1.0125</v>
      </c>
      <c r="C63" s="3">
        <v>0.0057</v>
      </c>
      <c r="D63" s="4"/>
      <c r="E63" s="5">
        <f>TEXT(A63,"yyyy/mm/dd") &amp; " " &amp; TEXT(B63,"hh:mm:ss")</f>
      </c>
      <c r="F63" s="5"/>
      <c r="G63" s="5"/>
      <c r="H63" s="5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1"/>
      <c r="Z63" s="1"/>
      <c r="AA63" s="1"/>
      <c r="AB63" s="1"/>
      <c r="AC63" s="14"/>
    </row>
    <row x14ac:dyDescent="0.25" r="64" customHeight="1" ht="18.75">
      <c r="A64" s="1" t="s">
        <v>1261</v>
      </c>
      <c r="B64" s="14">
        <v>1.7201388888888889</v>
      </c>
      <c r="C64" s="3">
        <v>0.0126</v>
      </c>
      <c r="D64" s="4"/>
      <c r="E64" s="5">
        <f>TEXT(A64,"yyyy/mm/dd") &amp; " " &amp; TEXT(B64,"hh:mm:ss")</f>
      </c>
      <c r="F64" s="5"/>
      <c r="G64" s="5"/>
      <c r="H64" s="5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1"/>
      <c r="Z64" s="1"/>
      <c r="AA64" s="1"/>
      <c r="AB64" s="1"/>
      <c r="AC64" s="14"/>
    </row>
    <row x14ac:dyDescent="0.25" r="65" customHeight="1" ht="18.75">
      <c r="A65" s="1" t="s">
        <v>1262</v>
      </c>
      <c r="B65" s="14">
        <v>1.0138888888888888</v>
      </c>
      <c r="C65" s="3">
        <v>0.0076</v>
      </c>
      <c r="D65" s="4"/>
      <c r="E65" s="5">
        <f>TEXT(A65,"yyyy/mm/dd") &amp; " " &amp; TEXT(B65,"hh:mm:ss")</f>
      </c>
      <c r="F65" s="5"/>
      <c r="G65" s="5"/>
      <c r="H65" s="5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1"/>
      <c r="Z65" s="1"/>
      <c r="AA65" s="1"/>
      <c r="AB65" s="1"/>
      <c r="AC65" s="14"/>
    </row>
    <row x14ac:dyDescent="0.25" r="66" customHeight="1" ht="18.75">
      <c r="A66" s="40" t="s">
        <v>1263</v>
      </c>
      <c r="B66" s="41">
        <v>1.0013888888888889</v>
      </c>
      <c r="C66" s="42">
        <v>0.0077</v>
      </c>
      <c r="D66" s="4"/>
      <c r="E66" s="43">
        <f>TEXT(A66,"yyyy/mm/dd") &amp; " " &amp; TEXT(B66,"hh:mm:ss")</f>
      </c>
      <c r="F66" s="5"/>
      <c r="G66" s="5"/>
      <c r="H66" s="5"/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1"/>
      <c r="Z66" s="1"/>
      <c r="AA66" s="1"/>
      <c r="AB66" s="40"/>
      <c r="AC66" s="41"/>
    </row>
    <row x14ac:dyDescent="0.25" r="67" customHeight="1" ht="18.75">
      <c r="A67" s="1" t="s">
        <v>1224</v>
      </c>
      <c r="B67" s="14">
        <v>1.682638888888889</v>
      </c>
      <c r="C67" s="3">
        <v>0.158</v>
      </c>
      <c r="D67" s="4"/>
      <c r="E67" s="5">
        <f>TEXT(A67,"yyyy/mm/dd") &amp; " " &amp; TEXT(B67,"hh:mm:ss")</f>
      </c>
      <c r="F67" s="5"/>
      <c r="G67" s="5"/>
      <c r="H67" s="5"/>
      <c r="I67" s="5" t="s">
        <v>1224</v>
      </c>
      <c r="J67" s="4" t="s">
        <v>1264</v>
      </c>
      <c r="K67" s="4" t="s">
        <v>1264</v>
      </c>
      <c r="L67" s="4" t="s">
        <v>1265</v>
      </c>
      <c r="M67" s="4" t="s">
        <v>1266</v>
      </c>
      <c r="N67" s="20" t="s">
        <v>1267</v>
      </c>
      <c r="O67" s="4"/>
      <c r="P67" s="4"/>
      <c r="Q67" s="4"/>
      <c r="R67" s="4"/>
      <c r="S67" s="4"/>
      <c r="T67" s="4"/>
      <c r="U67" s="4"/>
      <c r="V67" s="4"/>
      <c r="W67" s="4"/>
      <c r="X67" s="4"/>
      <c r="Y67" s="1"/>
      <c r="Z67" s="1"/>
      <c r="AA67" s="1"/>
      <c r="AB67" s="1"/>
      <c r="AC67" s="14"/>
    </row>
    <row x14ac:dyDescent="0.25" r="68" customHeight="1" ht="18.75">
      <c r="A68" s="1" t="s">
        <v>1264</v>
      </c>
      <c r="B68" s="14">
        <v>1.0013888888888889</v>
      </c>
      <c r="C68" s="3">
        <v>0.144</v>
      </c>
      <c r="D68" s="4"/>
      <c r="E68" s="5">
        <f>TEXT(A68,"yyyy/mm/dd") &amp; " " &amp; TEXT(B68,"hh:mm:ss")</f>
      </c>
      <c r="F68" s="5"/>
      <c r="G68" s="5"/>
      <c r="H68" s="5"/>
      <c r="I68" s="14">
        <v>1.682638888888889</v>
      </c>
      <c r="J68" s="14">
        <v>1.0013888888888889</v>
      </c>
      <c r="K68" s="14">
        <v>1.7291666666666665</v>
      </c>
      <c r="L68" s="14">
        <v>1.0083333333333333</v>
      </c>
      <c r="M68" s="14">
        <v>1.0125</v>
      </c>
      <c r="N68" s="24">
        <v>1.2381944444444444</v>
      </c>
      <c r="O68" s="4"/>
      <c r="P68" s="4"/>
      <c r="Q68" s="4"/>
      <c r="R68" s="4"/>
      <c r="S68" s="4"/>
      <c r="T68" s="4"/>
      <c r="U68" s="4"/>
      <c r="V68" s="4"/>
      <c r="W68" s="4"/>
      <c r="X68" s="4"/>
      <c r="Y68" s="1"/>
      <c r="Z68" s="1"/>
      <c r="AA68" s="1"/>
      <c r="AB68" s="1"/>
      <c r="AC68" s="14"/>
    </row>
    <row x14ac:dyDescent="0.25" r="69" customHeight="1" ht="18.75">
      <c r="A69" s="1" t="s">
        <v>1264</v>
      </c>
      <c r="B69" s="14">
        <v>1.7291666666666665</v>
      </c>
      <c r="C69" s="3">
        <v>0.11</v>
      </c>
      <c r="D69" s="4"/>
      <c r="E69" s="5">
        <f>TEXT(A69,"yyyy/mm/dd") &amp; " " &amp; TEXT(B69,"hh:mm:ss")</f>
      </c>
      <c r="F69" s="5"/>
      <c r="G69" s="5"/>
      <c r="H69" s="5"/>
      <c r="I69" s="39">
        <v>0.158</v>
      </c>
      <c r="J69" s="3">
        <v>0.144</v>
      </c>
      <c r="K69" s="3">
        <v>0.11</v>
      </c>
      <c r="L69" s="3">
        <v>0.127</v>
      </c>
      <c r="M69" s="3">
        <v>0.157</v>
      </c>
      <c r="N69" s="13">
        <v>0.153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1"/>
      <c r="Z69" s="1"/>
      <c r="AA69" s="1"/>
      <c r="AB69" s="1"/>
      <c r="AC69" s="14"/>
    </row>
    <row x14ac:dyDescent="0.25" r="70" customHeight="1" ht="18.75">
      <c r="A70" s="1" t="s">
        <v>1265</v>
      </c>
      <c r="B70" s="14">
        <v>1.0083333333333333</v>
      </c>
      <c r="C70" s="3">
        <v>0.127</v>
      </c>
      <c r="D70" s="4"/>
      <c r="E70" s="5">
        <f>TEXT(A70,"yyyy/mm/dd") &amp; " " &amp; TEXT(B70,"hh:mm:ss")</f>
      </c>
      <c r="F70" s="5"/>
      <c r="G70" s="5"/>
      <c r="H70" s="5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1"/>
      <c r="Z70" s="1"/>
      <c r="AA70" s="1"/>
      <c r="AB70" s="1"/>
      <c r="AC70" s="14"/>
    </row>
    <row x14ac:dyDescent="0.25" r="71" customHeight="1" ht="18.75">
      <c r="A71" s="1" t="s">
        <v>1266</v>
      </c>
      <c r="B71" s="14">
        <v>1.0125</v>
      </c>
      <c r="C71" s="3">
        <v>0.157</v>
      </c>
      <c r="D71" s="4"/>
      <c r="E71" s="5">
        <f>TEXT(A71,"yyyy/mm/dd") &amp; " " &amp; TEXT(B71,"hh:mm:ss")</f>
      </c>
      <c r="F71" s="5"/>
      <c r="G71" s="5"/>
      <c r="H71" s="5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1"/>
      <c r="Z71" s="1"/>
      <c r="AA71" s="1"/>
      <c r="AB71" s="1"/>
      <c r="AC71" s="14"/>
    </row>
    <row x14ac:dyDescent="0.25" r="72" customHeight="1" ht="18.75">
      <c r="A72" s="40" t="s">
        <v>1267</v>
      </c>
      <c r="B72" s="41">
        <v>1.2381944444444444</v>
      </c>
      <c r="C72" s="42">
        <v>0.153</v>
      </c>
      <c r="D72" s="4"/>
      <c r="E72" s="43">
        <f>TEXT(A72,"yyyy/mm/dd") &amp; " " &amp; TEXT(B72,"hh:mm:ss")</f>
      </c>
      <c r="F72" s="5"/>
      <c r="G72" s="5"/>
      <c r="H72" s="5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1"/>
      <c r="Z72" s="1"/>
      <c r="AA72" s="1"/>
      <c r="AB72" s="40"/>
      <c r="AC72" s="41"/>
    </row>
    <row x14ac:dyDescent="0.25" r="73" customHeight="1" ht="18.75">
      <c r="A73" s="1" t="s">
        <v>1268</v>
      </c>
      <c r="B73" s="14">
        <v>1.713888888888889</v>
      </c>
      <c r="C73" s="3">
        <v>0.055</v>
      </c>
      <c r="D73" s="4"/>
      <c r="E73" s="5">
        <f>TEXT(A73,"yyyy/mm/dd") &amp; " " &amp; TEXT(B73,"hh:mm:ss")</f>
      </c>
      <c r="F73" s="5"/>
      <c r="G73" s="5"/>
      <c r="H73" s="5"/>
      <c r="I73" s="5" t="s">
        <v>1268</v>
      </c>
      <c r="J73" s="4" t="s">
        <v>1269</v>
      </c>
      <c r="K73" s="4" t="s">
        <v>1269</v>
      </c>
      <c r="L73" s="4" t="s">
        <v>1270</v>
      </c>
      <c r="M73" s="4" t="s">
        <v>1271</v>
      </c>
      <c r="N73" s="20" t="s">
        <v>1272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1"/>
      <c r="Z73" s="1"/>
      <c r="AA73" s="1"/>
      <c r="AB73" s="1"/>
      <c r="AC73" s="14"/>
    </row>
    <row x14ac:dyDescent="0.25" r="74" customHeight="1" ht="18.75">
      <c r="A74" s="1" t="s">
        <v>1269</v>
      </c>
      <c r="B74" s="14">
        <v>1.011111111111111</v>
      </c>
      <c r="C74" s="3">
        <v>0.049</v>
      </c>
      <c r="D74" s="4"/>
      <c r="E74" s="5">
        <f>TEXT(A74,"yyyy/mm/dd") &amp; " " &amp; TEXT(B74,"hh:mm:ss")</f>
      </c>
      <c r="F74" s="5"/>
      <c r="G74" s="5"/>
      <c r="H74" s="5"/>
      <c r="I74" s="14">
        <v>1.713888888888889</v>
      </c>
      <c r="J74" s="14">
        <v>1.011111111111111</v>
      </c>
      <c r="K74" s="14">
        <v>1.6993055555555556</v>
      </c>
      <c r="L74" s="14">
        <v>1.0090277777777779</v>
      </c>
      <c r="M74" s="14">
        <v>1.007638888888889</v>
      </c>
      <c r="N74" s="24">
        <v>1.0020833333333334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1"/>
      <c r="Z74" s="1"/>
      <c r="AA74" s="1"/>
      <c r="AB74" s="1"/>
      <c r="AC74" s="14"/>
    </row>
    <row x14ac:dyDescent="0.25" r="75" customHeight="1" ht="18.75">
      <c r="A75" s="1" t="s">
        <v>1269</v>
      </c>
      <c r="B75" s="14">
        <v>1.6993055555555556</v>
      </c>
      <c r="C75" s="3">
        <v>0.104</v>
      </c>
      <c r="D75" s="4"/>
      <c r="E75" s="5">
        <f>TEXT(A75,"yyyy/mm/dd") &amp; " " &amp; TEXT(B75,"hh:mm:ss")</f>
      </c>
      <c r="F75" s="5"/>
      <c r="G75" s="5"/>
      <c r="H75" s="5"/>
      <c r="I75" s="39">
        <v>0.055</v>
      </c>
      <c r="J75" s="3">
        <v>0.049</v>
      </c>
      <c r="K75" s="3">
        <v>0.104</v>
      </c>
      <c r="L75" s="3">
        <v>0.249</v>
      </c>
      <c r="M75" s="3">
        <v>0.173</v>
      </c>
      <c r="N75" s="13">
        <v>0.134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1"/>
      <c r="Z75" s="1"/>
      <c r="AA75" s="1"/>
      <c r="AB75" s="1"/>
      <c r="AC75" s="14"/>
    </row>
    <row x14ac:dyDescent="0.25" r="76" customHeight="1" ht="18.75">
      <c r="A76" s="1" t="s">
        <v>1270</v>
      </c>
      <c r="B76" s="14">
        <v>1.0090277777777779</v>
      </c>
      <c r="C76" s="3">
        <v>0.249</v>
      </c>
      <c r="D76" s="4"/>
      <c r="E76" s="5">
        <f>TEXT(A76,"yyyy/mm/dd") &amp; " " &amp; TEXT(B76,"hh:mm:ss")</f>
      </c>
      <c r="F76" s="5"/>
      <c r="G76" s="5"/>
      <c r="H76" s="5"/>
      <c r="I76" s="5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1"/>
      <c r="Z76" s="1"/>
      <c r="AA76" s="1"/>
      <c r="AB76" s="1"/>
      <c r="AC76" s="14"/>
    </row>
    <row x14ac:dyDescent="0.25" r="77" customHeight="1" ht="18.75">
      <c r="A77" s="1" t="s">
        <v>1271</v>
      </c>
      <c r="B77" s="14">
        <v>1.007638888888889</v>
      </c>
      <c r="C77" s="3">
        <v>0.173</v>
      </c>
      <c r="D77" s="4"/>
      <c r="E77" s="5">
        <f>TEXT(A77,"yyyy/mm/dd") &amp; " " &amp; TEXT(B77,"hh:mm:ss")</f>
      </c>
      <c r="F77" s="5"/>
      <c r="G77" s="5"/>
      <c r="H77" s="5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1"/>
      <c r="Z77" s="1"/>
      <c r="AA77" s="1"/>
      <c r="AB77" s="1"/>
      <c r="AC77" s="14"/>
    </row>
    <row x14ac:dyDescent="0.25" r="78" customHeight="1" ht="18.75">
      <c r="A78" s="40" t="s">
        <v>1272</v>
      </c>
      <c r="B78" s="41">
        <v>1.0020833333333334</v>
      </c>
      <c r="C78" s="42">
        <v>0.134</v>
      </c>
      <c r="D78" s="4"/>
      <c r="E78" s="43">
        <f>TEXT(A78,"yyyy/mm/dd") &amp; " " &amp; TEXT(B78,"hh:mm:ss")</f>
      </c>
      <c r="F78" s="5"/>
      <c r="G78" s="5"/>
      <c r="H78" s="5"/>
      <c r="I78" s="5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1"/>
      <c r="Z78" s="1"/>
      <c r="AA78" s="1"/>
      <c r="AB78" s="40"/>
      <c r="AC78" s="41"/>
    </row>
    <row x14ac:dyDescent="0.25" r="79" customHeight="1" ht="18.75">
      <c r="A79" s="1" t="s">
        <v>345</v>
      </c>
      <c r="B79" s="14">
        <v>1.9805555555555556</v>
      </c>
      <c r="C79" s="3">
        <v>0.08</v>
      </c>
      <c r="D79" s="4"/>
      <c r="E79" s="5">
        <f>TEXT(A79,"yyyy/mm/dd") &amp; " " &amp; TEXT(B79,"hh:mm:ss")</f>
      </c>
      <c r="F79" s="5"/>
      <c r="G79" s="5"/>
      <c r="H79" s="5"/>
      <c r="I79" s="5" t="s">
        <v>345</v>
      </c>
      <c r="J79" s="4" t="s">
        <v>369</v>
      </c>
      <c r="K79" s="4" t="s">
        <v>380</v>
      </c>
      <c r="L79" s="4" t="s">
        <v>380</v>
      </c>
      <c r="M79" s="4" t="s">
        <v>1273</v>
      </c>
      <c r="N79" s="20" t="s">
        <v>1274</v>
      </c>
      <c r="O79" s="4"/>
      <c r="P79" s="4"/>
      <c r="Q79" s="4"/>
      <c r="R79" s="4"/>
      <c r="S79" s="4"/>
      <c r="T79" s="4"/>
      <c r="U79" s="4"/>
      <c r="V79" s="4"/>
      <c r="W79" s="4"/>
      <c r="X79" s="4"/>
      <c r="Y79" s="1"/>
      <c r="Z79" s="1"/>
      <c r="AA79" s="1"/>
      <c r="AB79" s="1"/>
      <c r="AC79" s="14"/>
    </row>
    <row x14ac:dyDescent="0.25" r="80" customHeight="1" ht="18.75">
      <c r="A80" s="1" t="s">
        <v>369</v>
      </c>
      <c r="B80" s="14">
        <v>1.0125</v>
      </c>
      <c r="C80" s="3">
        <v>0.126</v>
      </c>
      <c r="D80" s="4"/>
      <c r="E80" s="5">
        <f>TEXT(A80,"yyyy/mm/dd") &amp; " " &amp; TEXT(B80,"hh:mm:ss")</f>
      </c>
      <c r="F80" s="5"/>
      <c r="G80" s="5"/>
      <c r="H80" s="5"/>
      <c r="I80" s="14">
        <v>1.9805555555555556</v>
      </c>
      <c r="J80" s="14">
        <v>1.0125</v>
      </c>
      <c r="K80" s="14">
        <v>1.0159722222222223</v>
      </c>
      <c r="L80" s="14">
        <v>1.6972222222222222</v>
      </c>
      <c r="M80" s="14">
        <v>1.0229166666666667</v>
      </c>
      <c r="N80" s="24">
        <v>1.00625</v>
      </c>
      <c r="O80" s="4"/>
      <c r="P80" s="4"/>
      <c r="Q80" s="4"/>
      <c r="R80" s="4"/>
      <c r="S80" s="4"/>
      <c r="T80" s="4"/>
      <c r="U80" s="4"/>
      <c r="V80" s="4"/>
      <c r="W80" s="4"/>
      <c r="X80" s="4"/>
      <c r="Y80" s="1"/>
      <c r="Z80" s="1"/>
      <c r="AA80" s="1"/>
      <c r="AB80" s="1"/>
      <c r="AC80" s="14"/>
    </row>
    <row x14ac:dyDescent="0.25" r="81" customHeight="1" ht="18.75">
      <c r="A81" s="1" t="s">
        <v>380</v>
      </c>
      <c r="B81" s="14">
        <v>1.0159722222222223</v>
      </c>
      <c r="C81" s="3">
        <v>0.135</v>
      </c>
      <c r="D81" s="4"/>
      <c r="E81" s="5">
        <f>TEXT(A81,"yyyy/mm/dd") &amp; " " &amp; TEXT(B81,"hh:mm:ss")</f>
      </c>
      <c r="F81" s="5"/>
      <c r="G81" s="5"/>
      <c r="H81" s="5"/>
      <c r="I81" s="39">
        <v>0.08</v>
      </c>
      <c r="J81" s="3">
        <v>0.126</v>
      </c>
      <c r="K81" s="3">
        <v>0.135</v>
      </c>
      <c r="L81" s="3">
        <v>0.128</v>
      </c>
      <c r="M81" s="3">
        <v>0.12</v>
      </c>
      <c r="N81" s="13">
        <v>0.13</v>
      </c>
      <c r="O81" s="4"/>
      <c r="P81" s="4"/>
      <c r="Q81" s="4"/>
      <c r="R81" s="4"/>
      <c r="S81" s="4"/>
      <c r="T81" s="4"/>
      <c r="U81" s="4"/>
      <c r="V81" s="4"/>
      <c r="W81" s="4"/>
      <c r="X81" s="4"/>
      <c r="Y81" s="1"/>
      <c r="Z81" s="1"/>
      <c r="AA81" s="1"/>
      <c r="AB81" s="1"/>
      <c r="AC81" s="14"/>
    </row>
    <row x14ac:dyDescent="0.25" r="82" customHeight="1" ht="18.75">
      <c r="A82" s="1" t="s">
        <v>380</v>
      </c>
      <c r="B82" s="14">
        <v>1.6972222222222222</v>
      </c>
      <c r="C82" s="3">
        <v>0.128</v>
      </c>
      <c r="D82" s="4"/>
      <c r="E82" s="5">
        <f>TEXT(A82,"yyyy/mm/dd") &amp; " " &amp; TEXT(B82,"hh:mm:ss")</f>
      </c>
      <c r="F82" s="5"/>
      <c r="G82" s="5"/>
      <c r="H82" s="5"/>
      <c r="I82" s="5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1"/>
      <c r="Z82" s="1"/>
      <c r="AA82" s="1"/>
      <c r="AB82" s="1"/>
      <c r="AC82" s="14"/>
    </row>
    <row x14ac:dyDescent="0.25" r="83" customHeight="1" ht="18.75">
      <c r="A83" s="1" t="s">
        <v>1273</v>
      </c>
      <c r="B83" s="14">
        <v>1.0229166666666667</v>
      </c>
      <c r="C83" s="3">
        <v>0.12</v>
      </c>
      <c r="D83" s="4"/>
      <c r="E83" s="5">
        <f>TEXT(A83,"yyyy/mm/dd") &amp; " " &amp; TEXT(B83,"hh:mm:ss")</f>
      </c>
      <c r="F83" s="5"/>
      <c r="G83" s="5"/>
      <c r="H83" s="5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1"/>
      <c r="Z83" s="1"/>
      <c r="AA83" s="1"/>
      <c r="AB83" s="1"/>
      <c r="AC83" s="14"/>
    </row>
    <row x14ac:dyDescent="0.25" r="84" customHeight="1" ht="18.75">
      <c r="A84" s="40" t="s">
        <v>1274</v>
      </c>
      <c r="B84" s="41">
        <v>1.00625</v>
      </c>
      <c r="C84" s="42">
        <v>0.13</v>
      </c>
      <c r="D84" s="4"/>
      <c r="E84" s="43">
        <f>TEXT(A84,"yyyy/mm/dd") &amp; " " &amp; TEXT(B84,"hh:mm:ss")</f>
      </c>
      <c r="F84" s="5"/>
      <c r="G84" s="5"/>
      <c r="H84" s="5"/>
      <c r="I84" s="5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1"/>
      <c r="Z84" s="1"/>
      <c r="AA84" s="1"/>
      <c r="AB84" s="40"/>
      <c r="AC84" s="41"/>
    </row>
    <row x14ac:dyDescent="0.25" r="85" customHeight="1" ht="18.75">
      <c r="A85" s="1" t="s">
        <v>1226</v>
      </c>
      <c r="B85" s="14">
        <v>1.93125</v>
      </c>
      <c r="C85" s="3">
        <v>0.3323</v>
      </c>
      <c r="D85" s="4"/>
      <c r="E85" s="5">
        <f>TEXT(A85,"yyyy/mm/dd") &amp; " " &amp; TEXT(B85,"hh:mm:ss")</f>
      </c>
      <c r="F85" s="5"/>
      <c r="G85" s="5"/>
      <c r="H85" s="5"/>
      <c r="I85" s="5" t="s">
        <v>1226</v>
      </c>
      <c r="J85" s="4" t="s">
        <v>1275</v>
      </c>
      <c r="K85" s="4" t="s">
        <v>1275</v>
      </c>
      <c r="L85" s="4" t="s">
        <v>1276</v>
      </c>
      <c r="M85" s="4" t="s">
        <v>796</v>
      </c>
      <c r="N85" s="20" t="s">
        <v>797</v>
      </c>
      <c r="O85" s="4"/>
      <c r="P85" s="4"/>
      <c r="Q85" s="4"/>
      <c r="R85" s="4"/>
      <c r="S85" s="4"/>
      <c r="T85" s="4"/>
      <c r="U85" s="4"/>
      <c r="V85" s="4"/>
      <c r="W85" s="4"/>
      <c r="X85" s="4"/>
      <c r="Y85" s="1"/>
      <c r="Z85" s="1"/>
      <c r="AA85" s="1"/>
      <c r="AB85" s="1"/>
      <c r="AC85" s="14"/>
    </row>
    <row x14ac:dyDescent="0.25" r="86" customHeight="1" ht="18.75">
      <c r="A86" s="1" t="s">
        <v>1275</v>
      </c>
      <c r="B86" s="14">
        <v>1.0083333333333333</v>
      </c>
      <c r="C86" s="3">
        <v>1.23</v>
      </c>
      <c r="D86" s="4"/>
      <c r="E86" s="5">
        <f>TEXT(A86,"yyyy/mm/dd") &amp; " " &amp; TEXT(B86,"hh:mm:ss")</f>
      </c>
      <c r="F86" s="5"/>
      <c r="G86" s="5"/>
      <c r="H86" s="5"/>
      <c r="I86" s="14">
        <v>1.93125</v>
      </c>
      <c r="J86" s="14">
        <v>1.0083333333333333</v>
      </c>
      <c r="K86" s="14">
        <v>1.7430555555555556</v>
      </c>
      <c r="L86" s="14">
        <v>1.0034722222222223</v>
      </c>
      <c r="M86" s="14">
        <v>1.0298611111111111</v>
      </c>
      <c r="N86" s="24">
        <v>1.0034722222222223</v>
      </c>
      <c r="O86" s="4"/>
      <c r="P86" s="4"/>
      <c r="Q86" s="4"/>
      <c r="R86" s="4"/>
      <c r="S86" s="4"/>
      <c r="T86" s="4"/>
      <c r="U86" s="4"/>
      <c r="V86" s="4"/>
      <c r="W86" s="4"/>
      <c r="X86" s="4"/>
      <c r="Y86" s="1"/>
      <c r="Z86" s="1"/>
      <c r="AA86" s="1"/>
      <c r="AB86" s="1"/>
      <c r="AC86" s="14"/>
    </row>
    <row x14ac:dyDescent="0.25" r="87" customHeight="1" ht="18.75">
      <c r="A87" s="1" t="s">
        <v>1275</v>
      </c>
      <c r="B87" s="14">
        <v>1.7430555555555556</v>
      </c>
      <c r="C87" s="3">
        <v>1.033</v>
      </c>
      <c r="D87" s="4"/>
      <c r="E87" s="5">
        <f>TEXT(A87,"yyyy/mm/dd") &amp; " " &amp; TEXT(B87,"hh:mm:ss")</f>
      </c>
      <c r="F87" s="5"/>
      <c r="G87" s="5"/>
      <c r="H87" s="5"/>
      <c r="I87" s="39">
        <v>0.3323</v>
      </c>
      <c r="J87" s="3">
        <v>1.23</v>
      </c>
      <c r="K87" s="3">
        <v>1.033</v>
      </c>
      <c r="L87" s="3">
        <v>0.5411</v>
      </c>
      <c r="M87" s="3">
        <v>0.6142000000000001</v>
      </c>
      <c r="N87" s="13">
        <v>0.6804</v>
      </c>
      <c r="O87" s="4"/>
      <c r="P87" s="4"/>
      <c r="Q87" s="4"/>
      <c r="R87" s="4"/>
      <c r="S87" s="4"/>
      <c r="T87" s="4"/>
      <c r="U87" s="4"/>
      <c r="V87" s="4"/>
      <c r="W87" s="4"/>
      <c r="X87" s="4"/>
      <c r="Y87" s="1"/>
      <c r="Z87" s="1"/>
      <c r="AA87" s="1"/>
      <c r="AB87" s="1"/>
      <c r="AC87" s="14"/>
    </row>
    <row x14ac:dyDescent="0.25" r="88" customHeight="1" ht="18.75">
      <c r="A88" s="1" t="s">
        <v>1276</v>
      </c>
      <c r="B88" s="14">
        <v>1.0034722222222223</v>
      </c>
      <c r="C88" s="3">
        <v>0.5411</v>
      </c>
      <c r="D88" s="4"/>
      <c r="E88" s="5">
        <f>TEXT(A88,"yyyy/mm/dd") &amp; " " &amp; TEXT(B88,"hh:mm:ss")</f>
      </c>
      <c r="F88" s="5"/>
      <c r="G88" s="5"/>
      <c r="H88" s="5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1"/>
      <c r="Z88" s="1"/>
      <c r="AA88" s="1"/>
      <c r="AB88" s="1"/>
      <c r="AC88" s="14"/>
    </row>
    <row x14ac:dyDescent="0.25" r="89" customHeight="1" ht="18.75">
      <c r="A89" s="1" t="s">
        <v>796</v>
      </c>
      <c r="B89" s="14">
        <v>1.0298611111111111</v>
      </c>
      <c r="C89" s="3">
        <v>0.6142000000000001</v>
      </c>
      <c r="D89" s="4"/>
      <c r="E89" s="5">
        <f>TEXT(A89,"yyyy/mm/dd") &amp; " " &amp; TEXT(B89,"hh:mm:ss")</f>
      </c>
      <c r="F89" s="5"/>
      <c r="G89" s="5"/>
      <c r="H89" s="5"/>
      <c r="I89" s="5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1"/>
      <c r="Z89" s="1"/>
      <c r="AA89" s="1"/>
      <c r="AB89" s="1"/>
      <c r="AC89" s="14"/>
    </row>
    <row x14ac:dyDescent="0.25" r="90" customHeight="1" ht="18.75">
      <c r="A90" s="40" t="s">
        <v>797</v>
      </c>
      <c r="B90" s="41">
        <v>1.0034722222222223</v>
      </c>
      <c r="C90" s="42">
        <v>0.6804</v>
      </c>
      <c r="D90" s="4"/>
      <c r="E90" s="43">
        <f>TEXT(A90,"yyyy/mm/dd") &amp; " " &amp; TEXT(B90,"hh:mm:ss")</f>
      </c>
      <c r="F90" s="5"/>
      <c r="G90" s="5"/>
      <c r="H90" s="5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1"/>
      <c r="Z90" s="1"/>
      <c r="AA90" s="1"/>
      <c r="AB90" s="40"/>
      <c r="AC90" s="41"/>
    </row>
    <row x14ac:dyDescent="0.25" r="91" customHeight="1" ht="18.75">
      <c r="A91" s="1" t="s">
        <v>1277</v>
      </c>
      <c r="B91" s="14">
        <v>1.4805555555555556</v>
      </c>
      <c r="C91" s="3">
        <v>1.64</v>
      </c>
      <c r="D91" s="4"/>
      <c r="E91" s="5">
        <f>TEXT(A91,"yyyy/mm/dd") &amp; " " &amp; TEXT(B91,"hh:mm:ss")</f>
      </c>
      <c r="F91" s="5"/>
      <c r="G91" s="5"/>
      <c r="H91" s="5"/>
      <c r="I91" s="5" t="s">
        <v>1277</v>
      </c>
      <c r="J91" s="4" t="s">
        <v>1277</v>
      </c>
      <c r="K91" s="4" t="s">
        <v>1277</v>
      </c>
      <c r="L91" s="4" t="s">
        <v>1278</v>
      </c>
      <c r="M91" s="4" t="s">
        <v>1279</v>
      </c>
      <c r="N91" s="4" t="s">
        <v>1279</v>
      </c>
      <c r="O91" s="4" t="s">
        <v>1280</v>
      </c>
      <c r="P91" s="4" t="s">
        <v>1281</v>
      </c>
      <c r="Q91" s="4" t="s">
        <v>1225</v>
      </c>
      <c r="R91" s="4"/>
      <c r="S91" s="4"/>
      <c r="T91" s="4"/>
      <c r="U91" s="4"/>
      <c r="V91" s="4"/>
      <c r="W91" s="4"/>
      <c r="X91" s="4"/>
      <c r="Y91" s="1"/>
      <c r="Z91" s="1"/>
      <c r="AA91" s="1"/>
      <c r="AB91" s="1"/>
      <c r="AC91" s="14"/>
    </row>
    <row x14ac:dyDescent="0.25" r="92" customHeight="1" ht="18.75">
      <c r="A92" s="1" t="s">
        <v>1277</v>
      </c>
      <c r="B92" s="14">
        <v>1.6694444444444443</v>
      </c>
      <c r="C92" s="3">
        <v>1.9</v>
      </c>
      <c r="D92" s="4"/>
      <c r="E92" s="5">
        <f>TEXT(A92,"yyyy/mm/dd") &amp; " " &amp; TEXT(B92,"hh:mm:ss")</f>
      </c>
      <c r="F92" s="5"/>
      <c r="G92" s="5"/>
      <c r="H92" s="5"/>
      <c r="I92" s="14">
        <v>1.4805555555555556</v>
      </c>
      <c r="J92" s="14">
        <v>1.6694444444444443</v>
      </c>
      <c r="K92" s="14">
        <v>1.879861111111111</v>
      </c>
      <c r="L92" s="14">
        <v>1.0083333333333333</v>
      </c>
      <c r="M92" s="14">
        <v>1.00625</v>
      </c>
      <c r="N92" s="14">
        <v>1.6909722222222223</v>
      </c>
      <c r="O92" s="14">
        <v>1.0180555555555555</v>
      </c>
      <c r="P92" s="14">
        <v>1.0069444444444444</v>
      </c>
      <c r="Q92" s="14">
        <v>1.0138888888888888</v>
      </c>
      <c r="R92" s="4" t="s">
        <v>1282</v>
      </c>
      <c r="S92" s="4" t="s">
        <v>1283</v>
      </c>
      <c r="T92" s="4" t="s">
        <v>1268</v>
      </c>
      <c r="U92" s="4" t="s">
        <v>1269</v>
      </c>
      <c r="V92" s="4" t="s">
        <v>1270</v>
      </c>
      <c r="W92" s="4" t="s">
        <v>1271</v>
      </c>
      <c r="X92" s="20" t="s">
        <v>1272</v>
      </c>
      <c r="Y92" s="1"/>
      <c r="Z92" s="1"/>
      <c r="AA92" s="1"/>
      <c r="AB92" s="1"/>
      <c r="AC92" s="14"/>
    </row>
    <row x14ac:dyDescent="0.25" r="93" customHeight="1" ht="18.75">
      <c r="A93" s="1" t="s">
        <v>1277</v>
      </c>
      <c r="B93" s="14">
        <v>1.879861111111111</v>
      </c>
      <c r="C93" s="3">
        <v>2.39</v>
      </c>
      <c r="D93" s="4"/>
      <c r="E93" s="5">
        <f>TEXT(A93,"yyyy/mm/dd") &amp; " " &amp; TEXT(B93,"hh:mm:ss")</f>
      </c>
      <c r="F93" s="5"/>
      <c r="G93" s="5"/>
      <c r="H93" s="5"/>
      <c r="I93" s="39">
        <v>1.64</v>
      </c>
      <c r="J93" s="3">
        <v>1.9</v>
      </c>
      <c r="K93" s="3">
        <v>2.39</v>
      </c>
      <c r="L93" s="3">
        <v>2.62</v>
      </c>
      <c r="M93" s="3">
        <v>1.63</v>
      </c>
      <c r="N93" s="3">
        <v>1.16</v>
      </c>
      <c r="O93" s="3">
        <v>1.1</v>
      </c>
      <c r="P93" s="3">
        <v>0.796</v>
      </c>
      <c r="Q93" s="3">
        <v>0.407</v>
      </c>
      <c r="R93" s="14">
        <v>1.0034722222222223</v>
      </c>
      <c r="S93" s="14">
        <v>1.0291666666666666</v>
      </c>
      <c r="T93" s="14">
        <v>1.0034722222222223</v>
      </c>
      <c r="U93" s="14">
        <v>1.011111111111111</v>
      </c>
      <c r="V93" s="14">
        <v>1.0090277777777779</v>
      </c>
      <c r="W93" s="14">
        <v>1.007638888888889</v>
      </c>
      <c r="X93" s="24">
        <v>1.0020833333333334</v>
      </c>
      <c r="Y93" s="1"/>
      <c r="Z93" s="1"/>
      <c r="AA93" s="1"/>
      <c r="AB93" s="1"/>
      <c r="AC93" s="14"/>
    </row>
    <row x14ac:dyDescent="0.25" r="94" customHeight="1" ht="18.75">
      <c r="A94" s="1" t="s">
        <v>1278</v>
      </c>
      <c r="B94" s="14">
        <v>1.0083333333333333</v>
      </c>
      <c r="C94" s="3">
        <v>2.62</v>
      </c>
      <c r="D94" s="4"/>
      <c r="E94" s="5">
        <f>TEXT(A94,"yyyy/mm/dd") &amp; " " &amp; TEXT(B94,"hh:mm:ss")</f>
      </c>
      <c r="F94" s="5"/>
      <c r="G94" s="5"/>
      <c r="H94" s="5"/>
      <c r="I94" s="5"/>
      <c r="J94" s="4"/>
      <c r="K94" s="4"/>
      <c r="L94" s="4"/>
      <c r="M94" s="4"/>
      <c r="N94" s="4"/>
      <c r="O94" s="4"/>
      <c r="P94" s="4"/>
      <c r="Q94" s="4"/>
      <c r="R94" s="3">
        <v>0.271</v>
      </c>
      <c r="S94" s="3">
        <v>0.183</v>
      </c>
      <c r="T94" s="3">
        <v>0.132</v>
      </c>
      <c r="U94" s="3">
        <v>0.099</v>
      </c>
      <c r="V94" s="3">
        <v>0.069</v>
      </c>
      <c r="W94" s="3">
        <v>0.054</v>
      </c>
      <c r="X94" s="13">
        <v>0.042</v>
      </c>
      <c r="Y94" s="1"/>
      <c r="Z94" s="1"/>
      <c r="AA94" s="1"/>
      <c r="AB94" s="1"/>
      <c r="AC94" s="14"/>
    </row>
    <row x14ac:dyDescent="0.25" r="95" customHeight="1" ht="18.75">
      <c r="A95" s="1" t="s">
        <v>1279</v>
      </c>
      <c r="B95" s="14">
        <v>1.00625</v>
      </c>
      <c r="C95" s="3">
        <v>1.63</v>
      </c>
      <c r="D95" s="4"/>
      <c r="E95" s="5">
        <f>TEXT(A95,"yyyy/mm/dd") &amp; " " &amp; TEXT(B95,"hh:mm:ss")</f>
      </c>
      <c r="F95" s="5"/>
      <c r="G95" s="5"/>
      <c r="H95" s="5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1"/>
      <c r="Z95" s="1"/>
      <c r="AA95" s="1"/>
      <c r="AB95" s="1"/>
      <c r="AC95" s="14"/>
    </row>
    <row x14ac:dyDescent="0.25" r="96" customHeight="1" ht="18.75">
      <c r="A96" s="1" t="s">
        <v>1279</v>
      </c>
      <c r="B96" s="14">
        <v>1.6909722222222223</v>
      </c>
      <c r="C96" s="3">
        <v>1.16</v>
      </c>
      <c r="D96" s="4"/>
      <c r="E96" s="5">
        <f>TEXT(A96,"yyyy/mm/dd") &amp; " " &amp; TEXT(B96,"hh:mm:ss")</f>
      </c>
      <c r="F96" s="5"/>
      <c r="G96" s="5"/>
      <c r="H96" s="5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1"/>
      <c r="Z96" s="1"/>
      <c r="AA96" s="1"/>
      <c r="AB96" s="1"/>
      <c r="AC96" s="14"/>
    </row>
    <row x14ac:dyDescent="0.25" r="97" customHeight="1" ht="18.75">
      <c r="A97" s="1" t="s">
        <v>1280</v>
      </c>
      <c r="B97" s="14">
        <v>1.0180555555555555</v>
      </c>
      <c r="C97" s="3">
        <v>1.1</v>
      </c>
      <c r="D97" s="4"/>
      <c r="E97" s="5">
        <f>TEXT(A97,"yyyy/mm/dd") &amp; " " &amp; TEXT(B97,"hh:mm:ss")</f>
      </c>
      <c r="F97" s="5"/>
      <c r="G97" s="5"/>
      <c r="H97" s="5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1"/>
      <c r="Z97" s="1"/>
      <c r="AA97" s="1"/>
      <c r="AB97" s="1"/>
      <c r="AC97" s="14"/>
    </row>
    <row x14ac:dyDescent="0.25" r="98" customHeight="1" ht="18.75">
      <c r="A98" s="1" t="s">
        <v>1281</v>
      </c>
      <c r="B98" s="14">
        <v>1.0069444444444444</v>
      </c>
      <c r="C98" s="3">
        <v>0.796</v>
      </c>
      <c r="D98" s="4"/>
      <c r="E98" s="5">
        <f>TEXT(A98,"yyyy/mm/dd") &amp; " " &amp; TEXT(B98,"hh:mm:ss")</f>
      </c>
      <c r="F98" s="5"/>
      <c r="G98" s="5"/>
      <c r="H98" s="5"/>
      <c r="I98" s="5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1"/>
      <c r="Z98" s="1"/>
      <c r="AA98" s="1"/>
      <c r="AB98" s="1"/>
      <c r="AC98" s="14"/>
    </row>
    <row x14ac:dyDescent="0.25" r="99" customHeight="1" ht="18.75">
      <c r="A99" s="1" t="s">
        <v>1225</v>
      </c>
      <c r="B99" s="14">
        <v>1.0138888888888888</v>
      </c>
      <c r="C99" s="3">
        <v>0.407</v>
      </c>
      <c r="D99" s="4"/>
      <c r="E99" s="5">
        <f>TEXT(A99,"yyyy/mm/dd") &amp; " " &amp; TEXT(B99,"hh:mm:ss")</f>
      </c>
      <c r="F99" s="5"/>
      <c r="G99" s="5"/>
      <c r="H99" s="5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1"/>
      <c r="Z99" s="1"/>
      <c r="AA99" s="1"/>
      <c r="AB99" s="1"/>
      <c r="AC99" s="14"/>
    </row>
    <row x14ac:dyDescent="0.25" r="100" customHeight="1" ht="18.75">
      <c r="A100" s="1" t="s">
        <v>1282</v>
      </c>
      <c r="B100" s="14">
        <v>1.0034722222222223</v>
      </c>
      <c r="C100" s="3">
        <v>0.271</v>
      </c>
      <c r="D100" s="4"/>
      <c r="E100" s="5">
        <f>TEXT(A100,"yyyy/mm/dd") &amp; " " &amp; TEXT(B100,"hh:mm:ss")</f>
      </c>
      <c r="F100" s="5"/>
      <c r="G100" s="5"/>
      <c r="H100" s="5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1"/>
      <c r="Z100" s="1"/>
      <c r="AA100" s="1"/>
      <c r="AB100" s="1"/>
      <c r="AC100" s="14"/>
    </row>
    <row x14ac:dyDescent="0.25" r="101" customHeight="1" ht="18.75">
      <c r="A101" s="1" t="s">
        <v>1283</v>
      </c>
      <c r="B101" s="14">
        <v>1.0291666666666666</v>
      </c>
      <c r="C101" s="3">
        <v>0.183</v>
      </c>
      <c r="D101" s="4"/>
      <c r="E101" s="5">
        <f>TEXT(A101,"yyyy/mm/dd") &amp; " " &amp; TEXT(B101,"hh:mm:ss")</f>
      </c>
      <c r="F101" s="5"/>
      <c r="G101" s="5"/>
      <c r="H101" s="5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1"/>
      <c r="Z101" s="1"/>
      <c r="AA101" s="1"/>
      <c r="AB101" s="1"/>
      <c r="AC101" s="14"/>
    </row>
    <row x14ac:dyDescent="0.25" r="102" customHeight="1" ht="18.75">
      <c r="A102" s="1" t="s">
        <v>1268</v>
      </c>
      <c r="B102" s="14">
        <v>1.0034722222222223</v>
      </c>
      <c r="C102" s="3">
        <v>0.132</v>
      </c>
      <c r="D102" s="4"/>
      <c r="E102" s="5">
        <f>TEXT(A102,"yyyy/mm/dd") &amp; " " &amp; TEXT(B102,"hh:mm:ss")</f>
      </c>
      <c r="F102" s="5"/>
      <c r="G102" s="5"/>
      <c r="H102" s="5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1"/>
      <c r="Z102" s="1"/>
      <c r="AA102" s="1"/>
      <c r="AB102" s="1"/>
      <c r="AC102" s="14"/>
    </row>
    <row x14ac:dyDescent="0.25" r="103" customHeight="1" ht="18.75">
      <c r="A103" s="1" t="s">
        <v>1269</v>
      </c>
      <c r="B103" s="14">
        <v>1.011111111111111</v>
      </c>
      <c r="C103" s="3">
        <v>0.099</v>
      </c>
      <c r="D103" s="4"/>
      <c r="E103" s="5">
        <f>TEXT(A103,"yyyy/mm/dd") &amp; " " &amp; TEXT(B103,"hh:mm:ss")</f>
      </c>
      <c r="F103" s="5"/>
      <c r="G103" s="5"/>
      <c r="H103" s="5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1"/>
      <c r="Z103" s="1"/>
      <c r="AA103" s="1"/>
      <c r="AB103" s="1"/>
      <c r="AC103" s="14"/>
    </row>
    <row x14ac:dyDescent="0.25" r="104" customHeight="1" ht="18.75">
      <c r="A104" s="1" t="s">
        <v>1270</v>
      </c>
      <c r="B104" s="14">
        <v>1.0090277777777779</v>
      </c>
      <c r="C104" s="3">
        <v>0.069</v>
      </c>
      <c r="D104" s="4"/>
      <c r="E104" s="5">
        <f>TEXT(A104,"yyyy/mm/dd") &amp; " " &amp; TEXT(B104,"hh:mm:ss")</f>
      </c>
      <c r="F104" s="5"/>
      <c r="G104" s="5"/>
      <c r="H104" s="5"/>
      <c r="I104" s="5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1"/>
      <c r="Z104" s="1"/>
      <c r="AA104" s="1"/>
      <c r="AB104" s="1"/>
      <c r="AC104" s="14"/>
    </row>
    <row x14ac:dyDescent="0.25" r="105" customHeight="1" ht="18.75">
      <c r="A105" s="1" t="s">
        <v>1271</v>
      </c>
      <c r="B105" s="14">
        <v>1.007638888888889</v>
      </c>
      <c r="C105" s="3">
        <v>0.054</v>
      </c>
      <c r="D105" s="4"/>
      <c r="E105" s="5">
        <f>TEXT(A105,"yyyy/mm/dd") &amp; " " &amp; TEXT(B105,"hh:mm:ss")</f>
      </c>
      <c r="F105" s="5"/>
      <c r="G105" s="5"/>
      <c r="H105" s="5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1"/>
      <c r="Z105" s="1"/>
      <c r="AA105" s="1"/>
      <c r="AB105" s="1"/>
      <c r="AC105" s="14"/>
    </row>
    <row x14ac:dyDescent="0.25" r="106" customHeight="1" ht="18.75">
      <c r="A106" s="40" t="s">
        <v>1272</v>
      </c>
      <c r="B106" s="41">
        <v>1.0020833333333334</v>
      </c>
      <c r="C106" s="42">
        <v>0.042</v>
      </c>
      <c r="D106" s="4"/>
      <c r="E106" s="43">
        <f>TEXT(A106,"yyyy/mm/dd") &amp; " " &amp; TEXT(B106,"hh:mm:ss")</f>
      </c>
      <c r="F106" s="5"/>
      <c r="G106" s="5"/>
      <c r="H106" s="5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1"/>
      <c r="Z106" s="1"/>
      <c r="AA106" s="1"/>
      <c r="AB106" s="40"/>
      <c r="AC106" s="41"/>
    </row>
    <row x14ac:dyDescent="0.25" r="107" customHeight="1" ht="18.75">
      <c r="A107" s="1" t="s">
        <v>824</v>
      </c>
      <c r="B107" s="14">
        <v>1.4666666666666668</v>
      </c>
      <c r="C107" s="3">
        <v>0.974</v>
      </c>
      <c r="D107" s="4"/>
      <c r="E107" s="5">
        <f>TEXT(A107,"yyyy/mm/dd") &amp; " " &amp; TEXT(B107,"hh:mm:ss")</f>
      </c>
      <c r="F107" s="5"/>
      <c r="G107" s="5"/>
      <c r="H107" s="5"/>
      <c r="I107" s="5" t="s">
        <v>824</v>
      </c>
      <c r="J107" s="4" t="s">
        <v>824</v>
      </c>
      <c r="K107" s="4" t="s">
        <v>825</v>
      </c>
      <c r="L107" s="4" t="s">
        <v>826</v>
      </c>
      <c r="M107" s="4" t="s">
        <v>827</v>
      </c>
      <c r="N107" s="4" t="s">
        <v>828</v>
      </c>
      <c r="O107" s="4" t="s">
        <v>828</v>
      </c>
      <c r="P107" s="4" t="s">
        <v>1284</v>
      </c>
      <c r="Q107" s="20" t="s">
        <v>1285</v>
      </c>
      <c r="R107" s="4"/>
      <c r="S107" s="4"/>
      <c r="T107" s="4"/>
      <c r="U107" s="4"/>
      <c r="V107" s="4"/>
      <c r="W107" s="4"/>
      <c r="X107" s="4"/>
      <c r="Y107" s="1"/>
      <c r="Z107" s="1"/>
      <c r="AA107" s="1"/>
      <c r="AB107" s="1"/>
      <c r="AC107" s="14"/>
    </row>
    <row x14ac:dyDescent="0.25" r="108" customHeight="1" ht="18.75">
      <c r="A108" s="1" t="s">
        <v>824</v>
      </c>
      <c r="B108" s="14">
        <v>1.9006944444444445</v>
      </c>
      <c r="C108" s="3">
        <v>1.08</v>
      </c>
      <c r="D108" s="4"/>
      <c r="E108" s="5">
        <f>TEXT(A108,"yyyy/mm/dd") &amp; " " &amp; TEXT(B108,"hh:mm:ss")</f>
      </c>
      <c r="F108" s="5"/>
      <c r="G108" s="5"/>
      <c r="H108" s="5"/>
      <c r="I108" s="14">
        <v>1.4666666666666668</v>
      </c>
      <c r="J108" s="14">
        <v>1.9006944444444445</v>
      </c>
      <c r="K108" s="14">
        <v>1.0229166666666667</v>
      </c>
      <c r="L108" s="14">
        <v>1.0027777777777778</v>
      </c>
      <c r="M108" s="14">
        <v>1.2375</v>
      </c>
      <c r="N108" s="14">
        <v>1.0090277777777779</v>
      </c>
      <c r="O108" s="14">
        <v>1.6444444444444444</v>
      </c>
      <c r="P108" s="14">
        <v>1.0027777777777778</v>
      </c>
      <c r="Q108" s="24">
        <v>1.0055555555555555</v>
      </c>
      <c r="R108" s="4"/>
      <c r="S108" s="4"/>
      <c r="T108" s="4"/>
      <c r="U108" s="4"/>
      <c r="V108" s="4"/>
      <c r="W108" s="4"/>
      <c r="X108" s="4"/>
      <c r="Y108" s="1"/>
      <c r="Z108" s="1"/>
      <c r="AA108" s="1"/>
      <c r="AB108" s="1"/>
      <c r="AC108" s="14"/>
    </row>
    <row x14ac:dyDescent="0.25" r="109" customHeight="1" ht="18.75">
      <c r="A109" s="1" t="s">
        <v>825</v>
      </c>
      <c r="B109" s="14">
        <v>1.0229166666666667</v>
      </c>
      <c r="C109" s="3">
        <v>0.643</v>
      </c>
      <c r="D109" s="4"/>
      <c r="E109" s="5">
        <f>TEXT(A109,"yyyy/mm/dd") &amp; " " &amp; TEXT(B109,"hh:mm:ss")</f>
      </c>
      <c r="F109" s="5"/>
      <c r="G109" s="5"/>
      <c r="H109" s="5"/>
      <c r="I109" s="39">
        <v>0.974</v>
      </c>
      <c r="J109" s="3">
        <v>1.08</v>
      </c>
      <c r="K109" s="3">
        <v>0.643</v>
      </c>
      <c r="L109" s="3">
        <v>0.781</v>
      </c>
      <c r="M109" s="3">
        <v>0.905</v>
      </c>
      <c r="N109" s="3">
        <v>0.748</v>
      </c>
      <c r="O109" s="3">
        <v>0.65</v>
      </c>
      <c r="P109" s="3">
        <v>0.46</v>
      </c>
      <c r="Q109" s="13">
        <v>0.295</v>
      </c>
      <c r="R109" s="4"/>
      <c r="S109" s="4"/>
      <c r="T109" s="4"/>
      <c r="U109" s="4"/>
      <c r="V109" s="4"/>
      <c r="W109" s="4"/>
      <c r="X109" s="4"/>
      <c r="Y109" s="1"/>
      <c r="Z109" s="1"/>
      <c r="AA109" s="1"/>
      <c r="AB109" s="1"/>
      <c r="AC109" s="14"/>
    </row>
    <row x14ac:dyDescent="0.25" r="110" customHeight="1" ht="18.75">
      <c r="A110" s="1" t="s">
        <v>826</v>
      </c>
      <c r="B110" s="14">
        <v>1.0027777777777778</v>
      </c>
      <c r="C110" s="3">
        <v>0.781</v>
      </c>
      <c r="D110" s="4"/>
      <c r="E110" s="5">
        <f>TEXT(A110,"yyyy/mm/dd") &amp; " " &amp; TEXT(B110,"hh:mm:ss")</f>
      </c>
      <c r="F110" s="5"/>
      <c r="G110" s="5"/>
      <c r="H110" s="5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1"/>
      <c r="Z110" s="1"/>
      <c r="AA110" s="1"/>
      <c r="AB110" s="1"/>
      <c r="AC110" s="14"/>
    </row>
    <row x14ac:dyDescent="0.25" r="111" customHeight="1" ht="18.75">
      <c r="A111" s="1" t="s">
        <v>827</v>
      </c>
      <c r="B111" s="14">
        <v>1.2375</v>
      </c>
      <c r="C111" s="3">
        <v>0.905</v>
      </c>
      <c r="D111" s="4"/>
      <c r="E111" s="5">
        <f>TEXT(A111,"yyyy/mm/dd") &amp; " " &amp; TEXT(B111,"hh:mm:ss")</f>
      </c>
      <c r="F111" s="5"/>
      <c r="G111" s="5"/>
      <c r="H111" s="5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1"/>
      <c r="Z111" s="1"/>
      <c r="AA111" s="1"/>
      <c r="AB111" s="1"/>
      <c r="AC111" s="14"/>
    </row>
    <row x14ac:dyDescent="0.25" r="112" customHeight="1" ht="18.75">
      <c r="A112" s="1" t="s">
        <v>828</v>
      </c>
      <c r="B112" s="14">
        <v>1.0090277777777779</v>
      </c>
      <c r="C112" s="3">
        <v>0.748</v>
      </c>
      <c r="D112" s="4"/>
      <c r="E112" s="5">
        <f>TEXT(A112,"yyyy/mm/dd") &amp; " " &amp; TEXT(B112,"hh:mm:ss")</f>
      </c>
      <c r="F112" s="5"/>
      <c r="G112" s="5"/>
      <c r="H112" s="5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1"/>
      <c r="Z112" s="1"/>
      <c r="AA112" s="1"/>
      <c r="AB112" s="1"/>
      <c r="AC112" s="14"/>
    </row>
    <row x14ac:dyDescent="0.25" r="113" customHeight="1" ht="18.75">
      <c r="A113" s="1" t="s">
        <v>828</v>
      </c>
      <c r="B113" s="14">
        <v>1.6444444444444444</v>
      </c>
      <c r="C113" s="3">
        <v>0.65</v>
      </c>
      <c r="D113" s="4"/>
      <c r="E113" s="5">
        <f>TEXT(A113,"yyyy/mm/dd") &amp; " " &amp; TEXT(B113,"hh:mm:ss")</f>
      </c>
      <c r="F113" s="5"/>
      <c r="G113" s="5"/>
      <c r="H113" s="5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1"/>
      <c r="Z113" s="1"/>
      <c r="AA113" s="1"/>
      <c r="AB113" s="1"/>
      <c r="AC113" s="14"/>
    </row>
    <row x14ac:dyDescent="0.25" r="114" customHeight="1" ht="18.75">
      <c r="A114" s="1" t="s">
        <v>1284</v>
      </c>
      <c r="B114" s="14">
        <v>1.0027777777777778</v>
      </c>
      <c r="C114" s="3">
        <v>0.46</v>
      </c>
      <c r="D114" s="4"/>
      <c r="E114" s="5">
        <f>TEXT(A114,"yyyy/mm/dd") &amp; " " &amp; TEXT(B114,"hh:mm:ss")</f>
      </c>
      <c r="F114" s="5"/>
      <c r="G114" s="5"/>
      <c r="H114" s="5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1"/>
      <c r="Z114" s="1"/>
      <c r="AA114" s="1"/>
      <c r="AB114" s="1"/>
      <c r="AC114" s="14"/>
    </row>
    <row x14ac:dyDescent="0.25" r="115" customHeight="1" ht="18.75">
      <c r="A115" s="40" t="s">
        <v>1285</v>
      </c>
      <c r="B115" s="41">
        <v>1.0055555555555555</v>
      </c>
      <c r="C115" s="42">
        <v>0.295</v>
      </c>
      <c r="D115" s="4"/>
      <c r="E115" s="43">
        <f>TEXT(A115,"yyyy/mm/dd") &amp; " " &amp; TEXT(B115,"hh:mm:ss")</f>
      </c>
      <c r="F115" s="5"/>
      <c r="G115" s="5"/>
      <c r="H115" s="5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1"/>
      <c r="Z115" s="1"/>
      <c r="AA115" s="1"/>
      <c r="AB115" s="40"/>
      <c r="AC115" s="41"/>
    </row>
    <row x14ac:dyDescent="0.25" r="116" customHeight="1" ht="18.75">
      <c r="A116" s="1" t="s">
        <v>1228</v>
      </c>
      <c r="B116" s="14">
        <v>1.1395833333333334</v>
      </c>
      <c r="C116" s="3">
        <v>0.059</v>
      </c>
      <c r="D116" s="4"/>
      <c r="E116" s="5">
        <f>TEXT(A116,"yyyy/mm/dd") &amp; " " &amp; TEXT(B116,"hh:mm:ss")</f>
      </c>
      <c r="F116" s="5"/>
      <c r="G116" s="5"/>
      <c r="H116" s="5"/>
      <c r="I116" s="5" t="s">
        <v>1228</v>
      </c>
      <c r="J116" s="4" t="s">
        <v>1228</v>
      </c>
      <c r="K116" s="4" t="s">
        <v>1228</v>
      </c>
      <c r="L116" s="4" t="s">
        <v>1286</v>
      </c>
      <c r="M116" s="4" t="s">
        <v>1287</v>
      </c>
      <c r="N116" s="4" t="s">
        <v>1288</v>
      </c>
      <c r="O116" s="4" t="s">
        <v>1289</v>
      </c>
      <c r="P116" s="20" t="s">
        <v>1290</v>
      </c>
      <c r="Q116" s="4"/>
      <c r="R116" s="4"/>
      <c r="S116" s="4"/>
      <c r="T116" s="4"/>
      <c r="U116" s="4"/>
      <c r="V116" s="4"/>
      <c r="W116" s="4"/>
      <c r="X116" s="4"/>
      <c r="Y116" s="1"/>
      <c r="Z116" s="1"/>
      <c r="AA116" s="1"/>
      <c r="AB116" s="1"/>
      <c r="AC116" s="14"/>
    </row>
    <row x14ac:dyDescent="0.25" r="117" customHeight="1" ht="18.75">
      <c r="A117" s="1" t="s">
        <v>1228</v>
      </c>
      <c r="B117" s="14">
        <v>1.1395833333333334</v>
      </c>
      <c r="C117" s="3">
        <v>0.067</v>
      </c>
      <c r="D117" s="4"/>
      <c r="E117" s="5">
        <f>TEXT(A117,"yyyy/mm/dd") &amp; " " &amp; TEXT(B117,"hh:mm:ss")</f>
      </c>
      <c r="F117" s="5"/>
      <c r="G117" s="5"/>
      <c r="H117" s="5"/>
      <c r="I117" s="14">
        <v>1.1395833333333334</v>
      </c>
      <c r="J117" s="14">
        <v>1.1395833333333334</v>
      </c>
      <c r="K117" s="25">
        <v>1.9131944444444444</v>
      </c>
      <c r="L117" s="14">
        <v>1.0048611111111112</v>
      </c>
      <c r="M117" s="14">
        <v>1.2430555555555556</v>
      </c>
      <c r="N117" s="14">
        <v>1.0118055555555556</v>
      </c>
      <c r="O117" s="14">
        <v>1.0020833333333334</v>
      </c>
      <c r="P117" s="24">
        <v>1.0034722222222223</v>
      </c>
      <c r="Q117" s="4"/>
      <c r="R117" s="4"/>
      <c r="S117" s="4"/>
      <c r="T117" s="4"/>
      <c r="U117" s="4"/>
      <c r="V117" s="4"/>
      <c r="W117" s="4"/>
      <c r="X117" s="4"/>
      <c r="Y117" s="1"/>
      <c r="Z117" s="1"/>
      <c r="AA117" s="1"/>
      <c r="AB117" s="1"/>
      <c r="AC117" s="25"/>
    </row>
    <row x14ac:dyDescent="0.25" r="118" customHeight="1" ht="18.75">
      <c r="A118" s="1" t="s">
        <v>1228</v>
      </c>
      <c r="B118" s="25">
        <v>1.9131944444444444</v>
      </c>
      <c r="C118" s="3">
        <v>0.078</v>
      </c>
      <c r="D118" s="4"/>
      <c r="E118" s="5">
        <f>TEXT(A118,"yyyy/mm/dd") &amp; " " &amp; TEXT(B118,"hh:mm:ss")</f>
      </c>
      <c r="F118" s="5"/>
      <c r="G118" s="5"/>
      <c r="H118" s="5"/>
      <c r="I118" s="39">
        <v>0.059</v>
      </c>
      <c r="J118" s="3">
        <v>0.067</v>
      </c>
      <c r="K118" s="3">
        <v>0.078</v>
      </c>
      <c r="L118" s="3">
        <v>0.106</v>
      </c>
      <c r="M118" s="3">
        <v>0.076</v>
      </c>
      <c r="N118" s="3">
        <v>0.064</v>
      </c>
      <c r="O118" s="3">
        <v>0.052</v>
      </c>
      <c r="P118" s="13">
        <v>0.019</v>
      </c>
      <c r="Q118" s="4"/>
      <c r="R118" s="4"/>
      <c r="S118" s="4"/>
      <c r="T118" s="4"/>
      <c r="U118" s="4"/>
      <c r="V118" s="4"/>
      <c r="W118" s="4"/>
      <c r="X118" s="4"/>
      <c r="Y118" s="1"/>
      <c r="Z118" s="1"/>
      <c r="AA118" s="1"/>
      <c r="AB118" s="1"/>
      <c r="AC118" s="14"/>
    </row>
    <row x14ac:dyDescent="0.25" r="119" customHeight="1" ht="18.75">
      <c r="A119" s="1" t="s">
        <v>1286</v>
      </c>
      <c r="B119" s="14">
        <v>1.0048611111111112</v>
      </c>
      <c r="C119" s="3">
        <v>0.106</v>
      </c>
      <c r="D119" s="4"/>
      <c r="E119" s="5">
        <f>TEXT(A119,"yyyy/mm/dd") &amp; " " &amp; TEXT(B119,"hh:mm:ss")</f>
      </c>
      <c r="F119" s="5"/>
      <c r="G119" s="5"/>
      <c r="H119" s="5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1"/>
      <c r="Z119" s="1"/>
      <c r="AA119" s="1"/>
      <c r="AB119" s="1"/>
      <c r="AC119" s="14"/>
    </row>
    <row x14ac:dyDescent="0.25" r="120" customHeight="1" ht="18.75">
      <c r="A120" s="1" t="s">
        <v>1287</v>
      </c>
      <c r="B120" s="14">
        <v>1.2430555555555556</v>
      </c>
      <c r="C120" s="3">
        <v>0.076</v>
      </c>
      <c r="D120" s="4"/>
      <c r="E120" s="5">
        <f>TEXT(A120,"yyyy/mm/dd") &amp; " " &amp; TEXT(B120,"hh:mm:ss")</f>
      </c>
      <c r="F120" s="5"/>
      <c r="G120" s="5"/>
      <c r="H120" s="5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1"/>
      <c r="Z120" s="1"/>
      <c r="AA120" s="1"/>
      <c r="AB120" s="1"/>
      <c r="AC120" s="14"/>
    </row>
    <row x14ac:dyDescent="0.25" r="121" customHeight="1" ht="18.75">
      <c r="A121" s="1" t="s">
        <v>1288</v>
      </c>
      <c r="B121" s="14">
        <v>1.0118055555555556</v>
      </c>
      <c r="C121" s="3">
        <v>0.064</v>
      </c>
      <c r="D121" s="4"/>
      <c r="E121" s="5">
        <f>TEXT(A121,"yyyy/mm/dd") &amp; " " &amp; TEXT(B121,"hh:mm:ss")</f>
      </c>
      <c r="F121" s="5"/>
      <c r="G121" s="5"/>
      <c r="H121" s="5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1"/>
      <c r="Z121" s="1"/>
      <c r="AA121" s="1"/>
      <c r="AB121" s="1"/>
      <c r="AC121" s="14"/>
    </row>
    <row x14ac:dyDescent="0.25" r="122" customHeight="1" ht="18.75">
      <c r="A122" s="1" t="s">
        <v>1289</v>
      </c>
      <c r="B122" s="14">
        <v>1.0020833333333334</v>
      </c>
      <c r="C122" s="3">
        <v>0.052</v>
      </c>
      <c r="D122" s="4"/>
      <c r="E122" s="5">
        <f>TEXT(A122,"yyyy/mm/dd") &amp; " " &amp; TEXT(B122,"hh:mm:ss")</f>
      </c>
      <c r="F122" s="5"/>
      <c r="G122" s="5"/>
      <c r="H122" s="5"/>
      <c r="I122" s="5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1"/>
      <c r="Z122" s="1"/>
      <c r="AA122" s="1"/>
      <c r="AB122" s="1"/>
      <c r="AC122" s="14"/>
    </row>
    <row x14ac:dyDescent="0.25" r="123" customHeight="1" ht="18.75">
      <c r="A123" s="40" t="s">
        <v>1290</v>
      </c>
      <c r="B123" s="41">
        <v>1.0034722222222223</v>
      </c>
      <c r="C123" s="42">
        <v>0.019</v>
      </c>
      <c r="D123" s="4"/>
      <c r="E123" s="43">
        <f>TEXT(A123,"yyyy/mm/dd") &amp; " " &amp; TEXT(B123,"hh:mm:ss")</f>
      </c>
      <c r="F123" s="5"/>
      <c r="G123" s="5"/>
      <c r="H123" s="5"/>
      <c r="I123" s="5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1"/>
      <c r="Z123" s="1"/>
      <c r="AA123" s="1"/>
      <c r="AB123" s="40"/>
      <c r="AC123" s="41"/>
    </row>
    <row x14ac:dyDescent="0.25" r="124" customHeight="1" ht="18.75">
      <c r="A124" s="1" t="s">
        <v>1229</v>
      </c>
      <c r="B124" s="14">
        <v>1.9826388888888888</v>
      </c>
      <c r="C124" s="3">
        <v>0.734</v>
      </c>
      <c r="D124" s="4"/>
      <c r="E124" s="5">
        <f>TEXT(A124,"yyyy/mm/dd") &amp; " " &amp; TEXT(B124,"hh:mm:ss")</f>
      </c>
      <c r="F124" s="5"/>
      <c r="G124" s="5"/>
      <c r="H124" s="5"/>
      <c r="I124" s="5" t="s">
        <v>1229</v>
      </c>
      <c r="J124" s="4" t="s">
        <v>1291</v>
      </c>
      <c r="K124" s="4" t="s">
        <v>1291</v>
      </c>
      <c r="L124" s="4" t="s">
        <v>1292</v>
      </c>
      <c r="M124" s="4" t="s">
        <v>1234</v>
      </c>
      <c r="N124" s="4" t="s">
        <v>1293</v>
      </c>
      <c r="O124" s="4" t="s">
        <v>1294</v>
      </c>
      <c r="P124" s="20" t="s">
        <v>1295</v>
      </c>
      <c r="Q124" s="4"/>
      <c r="R124" s="4"/>
      <c r="S124" s="4"/>
      <c r="T124" s="4"/>
      <c r="U124" s="4"/>
      <c r="V124" s="4"/>
      <c r="W124" s="4"/>
      <c r="X124" s="4"/>
      <c r="Y124" s="1"/>
      <c r="Z124" s="1"/>
      <c r="AA124" s="1"/>
      <c r="AB124" s="1"/>
      <c r="AC124" s="14"/>
    </row>
    <row x14ac:dyDescent="0.25" r="125" customHeight="1" ht="18.75">
      <c r="A125" s="1" t="s">
        <v>1291</v>
      </c>
      <c r="B125" s="14">
        <v>1.0180555555555555</v>
      </c>
      <c r="C125" s="3">
        <v>1.81</v>
      </c>
      <c r="D125" s="4"/>
      <c r="E125" s="5">
        <f>TEXT(A125,"yyyy/mm/dd") &amp; " " &amp; TEXT(B125,"hh:mm:ss")</f>
      </c>
      <c r="F125" s="5"/>
      <c r="G125" s="5"/>
      <c r="H125" s="5"/>
      <c r="I125" s="14">
        <v>1.9826388888888888</v>
      </c>
      <c r="J125" s="14">
        <v>1.0180555555555555</v>
      </c>
      <c r="K125" s="14">
        <v>1.6652777777777779</v>
      </c>
      <c r="L125" s="14">
        <v>1.0166666666666666</v>
      </c>
      <c r="M125" s="14">
        <v>1.0166666666666666</v>
      </c>
      <c r="N125" s="14">
        <v>1.0118055555555556</v>
      </c>
      <c r="O125" s="14">
        <v>1.0229166666666667</v>
      </c>
      <c r="P125" s="24">
        <v>1.0041666666666667</v>
      </c>
      <c r="Q125" s="4"/>
      <c r="R125" s="4"/>
      <c r="S125" s="4"/>
      <c r="T125" s="4"/>
      <c r="U125" s="4"/>
      <c r="V125" s="4"/>
      <c r="W125" s="4"/>
      <c r="X125" s="4"/>
      <c r="Y125" s="1"/>
      <c r="Z125" s="1"/>
      <c r="AA125" s="1"/>
      <c r="AB125" s="1"/>
      <c r="AC125" s="14"/>
    </row>
    <row x14ac:dyDescent="0.25" r="126" customHeight="1" ht="18.75">
      <c r="A126" s="1" t="s">
        <v>1291</v>
      </c>
      <c r="B126" s="14">
        <v>1.6652777777777779</v>
      </c>
      <c r="C126" s="3">
        <v>2.56</v>
      </c>
      <c r="D126" s="4"/>
      <c r="E126" s="5">
        <f>TEXT(A126,"yyyy/mm/dd") &amp; " " &amp; TEXT(B126,"hh:mm:ss")</f>
      </c>
      <c r="F126" s="5"/>
      <c r="G126" s="5"/>
      <c r="H126" s="5"/>
      <c r="I126" s="39">
        <v>0.734</v>
      </c>
      <c r="J126" s="3">
        <v>1.81</v>
      </c>
      <c r="K126" s="3">
        <v>2.56</v>
      </c>
      <c r="L126" s="3">
        <v>1.46</v>
      </c>
      <c r="M126" s="3">
        <v>1.35</v>
      </c>
      <c r="N126" s="3">
        <v>1.35</v>
      </c>
      <c r="O126" s="3">
        <v>1.02</v>
      </c>
      <c r="P126" s="13">
        <v>0.578</v>
      </c>
      <c r="Q126" s="4"/>
      <c r="R126" s="4"/>
      <c r="S126" s="4"/>
      <c r="T126" s="4"/>
      <c r="U126" s="4"/>
      <c r="V126" s="4"/>
      <c r="W126" s="4"/>
      <c r="X126" s="4"/>
      <c r="Y126" s="1"/>
      <c r="Z126" s="1"/>
      <c r="AA126" s="1"/>
      <c r="AB126" s="1"/>
      <c r="AC126" s="14"/>
    </row>
    <row x14ac:dyDescent="0.25" r="127" customHeight="1" ht="18.75">
      <c r="A127" s="1" t="s">
        <v>1292</v>
      </c>
      <c r="B127" s="14">
        <v>1.0166666666666666</v>
      </c>
      <c r="C127" s="3">
        <v>1.46</v>
      </c>
      <c r="D127" s="4"/>
      <c r="E127" s="5">
        <f>TEXT(A127,"yyyy/mm/dd") &amp; " " &amp; TEXT(B127,"hh:mm:ss")</f>
      </c>
      <c r="F127" s="5"/>
      <c r="G127" s="5"/>
      <c r="H127" s="5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1"/>
      <c r="Z127" s="1"/>
      <c r="AA127" s="1"/>
      <c r="AB127" s="1"/>
      <c r="AC127" s="14"/>
    </row>
    <row x14ac:dyDescent="0.25" r="128" customHeight="1" ht="18.75">
      <c r="A128" s="1" t="s">
        <v>1234</v>
      </c>
      <c r="B128" s="14">
        <v>1.0166666666666666</v>
      </c>
      <c r="C128" s="3">
        <v>1.35</v>
      </c>
      <c r="D128" s="4"/>
      <c r="E128" s="5">
        <f>TEXT(A128,"yyyy/mm/dd") &amp; " " &amp; TEXT(B128,"hh:mm:ss")</f>
      </c>
      <c r="F128" s="5"/>
      <c r="G128" s="5"/>
      <c r="H128" s="5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1"/>
      <c r="Z128" s="1"/>
      <c r="AA128" s="1"/>
      <c r="AB128" s="1"/>
      <c r="AC128" s="14"/>
    </row>
    <row x14ac:dyDescent="0.25" r="129" customHeight="1" ht="18.75">
      <c r="A129" s="1" t="s">
        <v>1293</v>
      </c>
      <c r="B129" s="14">
        <v>1.0118055555555556</v>
      </c>
      <c r="C129" s="3">
        <v>1.35</v>
      </c>
      <c r="D129" s="4"/>
      <c r="E129" s="5">
        <f>TEXT(A129,"yyyy/mm/dd") &amp; " " &amp; TEXT(B129,"hh:mm:ss")</f>
      </c>
      <c r="F129" s="5"/>
      <c r="G129" s="5"/>
      <c r="H129" s="5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1"/>
      <c r="Z129" s="1"/>
      <c r="AA129" s="1"/>
      <c r="AB129" s="1"/>
      <c r="AC129" s="14"/>
    </row>
    <row x14ac:dyDescent="0.25" r="130" customHeight="1" ht="18.75">
      <c r="A130" s="1" t="s">
        <v>1294</v>
      </c>
      <c r="B130" s="14">
        <v>1.0229166666666667</v>
      </c>
      <c r="C130" s="3">
        <v>1.02</v>
      </c>
      <c r="D130" s="4"/>
      <c r="E130" s="5">
        <f>TEXT(A130,"yyyy/mm/dd") &amp; " " &amp; TEXT(B130,"hh:mm:ss")</f>
      </c>
      <c r="F130" s="5"/>
      <c r="G130" s="5"/>
      <c r="H130" s="5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1"/>
      <c r="Z130" s="1"/>
      <c r="AA130" s="1"/>
      <c r="AB130" s="1"/>
      <c r="AC130" s="14"/>
    </row>
    <row x14ac:dyDescent="0.25" r="131" customHeight="1" ht="18.75">
      <c r="A131" s="40" t="s">
        <v>1295</v>
      </c>
      <c r="B131" s="41">
        <v>1.0041666666666667</v>
      </c>
      <c r="C131" s="42">
        <v>0.578</v>
      </c>
      <c r="D131" s="4"/>
      <c r="E131" s="43">
        <f>TEXT(A131,"yyyy/mm/dd") &amp; " " &amp; TEXT(B131,"hh:mm:ss")</f>
      </c>
      <c r="F131" s="5"/>
      <c r="G131" s="5"/>
      <c r="H131" s="5"/>
      <c r="I131" s="5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1"/>
      <c r="Z131" s="1"/>
      <c r="AA131" s="1"/>
      <c r="AB131" s="40"/>
      <c r="AC131" s="41"/>
    </row>
    <row x14ac:dyDescent="0.25" r="132" customHeight="1" ht="18.75">
      <c r="A132" s="1" t="s">
        <v>1296</v>
      </c>
      <c r="B132" s="14">
        <v>1.6833333333333333</v>
      </c>
      <c r="C132" s="3">
        <v>0.423</v>
      </c>
      <c r="D132" s="4"/>
      <c r="E132" s="5">
        <f>TEXT(A132,"yyyy/mm/dd") &amp; " " &amp; TEXT(B132,"hh:mm:ss")</f>
      </c>
      <c r="F132" s="5"/>
      <c r="G132" s="5"/>
      <c r="H132" s="5"/>
      <c r="I132" s="5" t="s">
        <v>1296</v>
      </c>
      <c r="J132" s="4" t="s">
        <v>1297</v>
      </c>
      <c r="K132" s="4" t="s">
        <v>1297</v>
      </c>
      <c r="L132" s="4" t="s">
        <v>1298</v>
      </c>
      <c r="M132" s="4" t="s">
        <v>1299</v>
      </c>
      <c r="N132" s="4" t="s">
        <v>1300</v>
      </c>
      <c r="O132" s="20" t="s">
        <v>1301</v>
      </c>
      <c r="P132" s="4"/>
      <c r="Q132" s="4"/>
      <c r="R132" s="4"/>
      <c r="S132" s="4"/>
      <c r="T132" s="4"/>
      <c r="U132" s="4"/>
      <c r="V132" s="4"/>
      <c r="W132" s="4"/>
      <c r="X132" s="4"/>
      <c r="Y132" s="1"/>
      <c r="Z132" s="1"/>
      <c r="AA132" s="1"/>
      <c r="AB132" s="1"/>
      <c r="AC132" s="14"/>
    </row>
    <row x14ac:dyDescent="0.25" r="133" customHeight="1" ht="18.75">
      <c r="A133" s="1" t="s">
        <v>1297</v>
      </c>
      <c r="B133" s="14">
        <v>1.0131944444444445</v>
      </c>
      <c r="C133" s="3">
        <v>0.476</v>
      </c>
      <c r="D133" s="4"/>
      <c r="E133" s="5">
        <f>TEXT(A133,"yyyy/mm/dd") &amp; " " &amp; TEXT(B133,"hh:mm:ss")</f>
      </c>
      <c r="F133" s="5"/>
      <c r="G133" s="5"/>
      <c r="H133" s="5"/>
      <c r="I133" s="14">
        <v>1.6833333333333333</v>
      </c>
      <c r="J133" s="14">
        <v>1.0131944444444445</v>
      </c>
      <c r="K133" s="14">
        <v>1.838888888888889</v>
      </c>
      <c r="L133" s="14">
        <v>1.0215277777777778</v>
      </c>
      <c r="M133" s="14">
        <v>1.042361111111111</v>
      </c>
      <c r="N133" s="14">
        <v>1.0027777777777778</v>
      </c>
      <c r="O133" s="24">
        <v>1.0020833333333334</v>
      </c>
      <c r="P133" s="4"/>
      <c r="Q133" s="4"/>
      <c r="R133" s="4"/>
      <c r="S133" s="4"/>
      <c r="T133" s="4"/>
      <c r="U133" s="4"/>
      <c r="V133" s="4"/>
      <c r="W133" s="4"/>
      <c r="X133" s="4"/>
      <c r="Y133" s="1"/>
      <c r="Z133" s="1"/>
      <c r="AA133" s="1"/>
      <c r="AB133" s="1"/>
      <c r="AC133" s="14"/>
    </row>
    <row x14ac:dyDescent="0.25" r="134" customHeight="1" ht="18.75">
      <c r="A134" s="1" t="s">
        <v>1297</v>
      </c>
      <c r="B134" s="14">
        <v>1.838888888888889</v>
      </c>
      <c r="C134" s="3">
        <v>0.448</v>
      </c>
      <c r="D134" s="4"/>
      <c r="E134" s="5">
        <f>TEXT(A134,"yyyy/mm/dd") &amp; " " &amp; TEXT(B134,"hh:mm:ss")</f>
      </c>
      <c r="F134" s="5"/>
      <c r="G134" s="5"/>
      <c r="H134" s="5"/>
      <c r="I134" s="39">
        <v>0.423</v>
      </c>
      <c r="J134" s="3">
        <v>0.476</v>
      </c>
      <c r="K134" s="3">
        <v>0.448</v>
      </c>
      <c r="L134" s="3">
        <v>0.463</v>
      </c>
      <c r="M134" s="3">
        <v>0.447</v>
      </c>
      <c r="N134" s="3">
        <v>0.314</v>
      </c>
      <c r="O134" s="13">
        <v>0.196</v>
      </c>
      <c r="P134" s="4"/>
      <c r="Q134" s="4"/>
      <c r="R134" s="4"/>
      <c r="S134" s="4"/>
      <c r="T134" s="4"/>
      <c r="U134" s="4"/>
      <c r="V134" s="4"/>
      <c r="W134" s="4"/>
      <c r="X134" s="4"/>
      <c r="Y134" s="1"/>
      <c r="Z134" s="1"/>
      <c r="AA134" s="1"/>
      <c r="AB134" s="1"/>
      <c r="AC134" s="14"/>
    </row>
    <row x14ac:dyDescent="0.25" r="135" customHeight="1" ht="18.75">
      <c r="A135" s="1" t="s">
        <v>1298</v>
      </c>
      <c r="B135" s="14">
        <v>1.0215277777777778</v>
      </c>
      <c r="C135" s="3">
        <v>0.463</v>
      </c>
      <c r="D135" s="4"/>
      <c r="E135" s="5">
        <f>TEXT(A135,"yyyy/mm/dd") &amp; " " &amp; TEXT(B135,"hh:mm:ss")</f>
      </c>
      <c r="F135" s="5"/>
      <c r="G135" s="5"/>
      <c r="H135" s="5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1"/>
      <c r="Z135" s="1"/>
      <c r="AA135" s="1"/>
      <c r="AB135" s="1"/>
      <c r="AC135" s="14"/>
    </row>
    <row x14ac:dyDescent="0.25" r="136" customHeight="1" ht="18.75">
      <c r="A136" s="1" t="s">
        <v>1299</v>
      </c>
      <c r="B136" s="14">
        <v>1.042361111111111</v>
      </c>
      <c r="C136" s="3">
        <v>0.447</v>
      </c>
      <c r="D136" s="4"/>
      <c r="E136" s="5">
        <f>TEXT(A136,"yyyy/mm/dd") &amp; " " &amp; TEXT(B136,"hh:mm:ss")</f>
      </c>
      <c r="F136" s="5"/>
      <c r="G136" s="5"/>
      <c r="H136" s="5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1"/>
      <c r="Z136" s="1"/>
      <c r="AA136" s="1"/>
      <c r="AB136" s="1"/>
      <c r="AC136" s="14"/>
    </row>
    <row x14ac:dyDescent="0.25" r="137" customHeight="1" ht="18.75">
      <c r="A137" s="1" t="s">
        <v>1300</v>
      </c>
      <c r="B137" s="14">
        <v>1.0027777777777778</v>
      </c>
      <c r="C137" s="3">
        <v>0.314</v>
      </c>
      <c r="D137" s="4"/>
      <c r="E137" s="5">
        <f>TEXT(A137,"yyyy/mm/dd") &amp; " " &amp; TEXT(B137,"hh:mm:ss")</f>
      </c>
      <c r="F137" s="5"/>
      <c r="G137" s="5"/>
      <c r="H137" s="5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1"/>
      <c r="Z137" s="1"/>
      <c r="AA137" s="1"/>
      <c r="AB137" s="1"/>
      <c r="AC137" s="14"/>
    </row>
    <row x14ac:dyDescent="0.25" r="138" customHeight="1" ht="18.75">
      <c r="A138" s="40" t="s">
        <v>1301</v>
      </c>
      <c r="B138" s="41">
        <v>1.0020833333333334</v>
      </c>
      <c r="C138" s="42">
        <v>0.196</v>
      </c>
      <c r="D138" s="4"/>
      <c r="E138" s="43">
        <f>TEXT(A138,"yyyy/mm/dd") &amp; " " &amp; TEXT(B138,"hh:mm:ss")</f>
      </c>
      <c r="F138" s="5"/>
      <c r="G138" s="5"/>
      <c r="H138" s="5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1"/>
      <c r="Z138" s="1"/>
      <c r="AA138" s="1"/>
      <c r="AB138" s="40"/>
      <c r="AC138" s="41"/>
    </row>
    <row x14ac:dyDescent="0.25" r="139" customHeight="1" ht="18.75">
      <c r="A139" s="1" t="s">
        <v>768</v>
      </c>
      <c r="B139" s="14">
        <v>1.6756944444444444</v>
      </c>
      <c r="C139" s="3">
        <v>0.198</v>
      </c>
      <c r="D139" s="4"/>
      <c r="E139" s="5">
        <f>TEXT(A139,"yyyy/mm/dd") &amp; " " &amp; TEXT(B139,"hh:mm:ss")</f>
      </c>
      <c r="F139" s="5"/>
      <c r="G139" s="5"/>
      <c r="H139" s="5"/>
      <c r="I139" s="5" t="s">
        <v>768</v>
      </c>
      <c r="J139" s="4" t="s">
        <v>768</v>
      </c>
      <c r="K139" s="4" t="s">
        <v>248</v>
      </c>
      <c r="L139" s="4" t="s">
        <v>284</v>
      </c>
      <c r="M139" s="4" t="s">
        <v>284</v>
      </c>
      <c r="N139" s="4" t="s">
        <v>294</v>
      </c>
      <c r="O139" s="4" t="s">
        <v>307</v>
      </c>
      <c r="P139" s="4" t="s">
        <v>307</v>
      </c>
      <c r="Q139" s="4" t="s">
        <v>318</v>
      </c>
      <c r="R139" s="4"/>
      <c r="S139" s="4"/>
      <c r="T139" s="4"/>
      <c r="U139" s="4"/>
      <c r="V139" s="4"/>
      <c r="W139" s="4"/>
      <c r="X139" s="4"/>
      <c r="Y139" s="1"/>
      <c r="Z139" s="1"/>
      <c r="AA139" s="1"/>
      <c r="AB139" s="1"/>
      <c r="AC139" s="14"/>
    </row>
    <row x14ac:dyDescent="0.25" r="140" customHeight="1" ht="18.75">
      <c r="A140" s="1" t="s">
        <v>768</v>
      </c>
      <c r="B140" s="14">
        <v>1.901388888888889</v>
      </c>
      <c r="C140" s="3">
        <v>0.198</v>
      </c>
      <c r="D140" s="4"/>
      <c r="E140" s="5">
        <f>TEXT(A140,"yyyy/mm/dd") &amp; " " &amp; TEXT(B140,"hh:mm:ss")</f>
      </c>
      <c r="F140" s="5"/>
      <c r="G140" s="5"/>
      <c r="H140" s="5"/>
      <c r="I140" s="14">
        <v>1.6756944444444444</v>
      </c>
      <c r="J140" s="14">
        <v>1.901388888888889</v>
      </c>
      <c r="K140" s="14">
        <v>1.0083333333333333</v>
      </c>
      <c r="L140" s="14">
        <v>1.0159722222222223</v>
      </c>
      <c r="M140" s="14">
        <v>1.725</v>
      </c>
      <c r="N140" s="14">
        <v>1.011111111111111</v>
      </c>
      <c r="O140" s="14">
        <v>1.0090277777777779</v>
      </c>
      <c r="P140" s="14">
        <v>1.6694444444444443</v>
      </c>
      <c r="Q140" s="14">
        <v>1.0034722222222223</v>
      </c>
      <c r="R140" s="4" t="s">
        <v>336</v>
      </c>
      <c r="S140" s="4" t="s">
        <v>345</v>
      </c>
      <c r="T140" s="4" t="s">
        <v>369</v>
      </c>
      <c r="U140" s="20" t="s">
        <v>380</v>
      </c>
      <c r="V140" s="4"/>
      <c r="W140" s="4"/>
      <c r="X140" s="4"/>
      <c r="Y140" s="1"/>
      <c r="Z140" s="1"/>
      <c r="AA140" s="1"/>
      <c r="AB140" s="1"/>
      <c r="AC140" s="14"/>
    </row>
    <row x14ac:dyDescent="0.25" r="141" customHeight="1" ht="18.75">
      <c r="A141" s="1" t="s">
        <v>248</v>
      </c>
      <c r="B141" s="14">
        <v>1.0083333333333333</v>
      </c>
      <c r="C141" s="3">
        <v>0.172</v>
      </c>
      <c r="D141" s="4"/>
      <c r="E141" s="5">
        <f>TEXT(A141,"yyyy/mm/dd") &amp; " " &amp; TEXT(B141,"hh:mm:ss")</f>
      </c>
      <c r="F141" s="5"/>
      <c r="G141" s="5"/>
      <c r="H141" s="5"/>
      <c r="I141" s="39">
        <v>0.198</v>
      </c>
      <c r="J141" s="3">
        <v>0.198</v>
      </c>
      <c r="K141" s="3">
        <v>0.172</v>
      </c>
      <c r="L141" s="3">
        <v>0.106</v>
      </c>
      <c r="M141" s="3">
        <v>0.099</v>
      </c>
      <c r="N141" s="3">
        <v>0.075</v>
      </c>
      <c r="O141" s="3">
        <v>0.048</v>
      </c>
      <c r="P141" s="3">
        <v>0.062</v>
      </c>
      <c r="Q141" s="3">
        <v>0.064</v>
      </c>
      <c r="R141" s="14">
        <v>1.0013888888888889</v>
      </c>
      <c r="S141" s="14">
        <v>1.0020833333333334</v>
      </c>
      <c r="T141" s="14">
        <v>1.0270833333333333</v>
      </c>
      <c r="U141" s="24">
        <v>1.2368055555555555</v>
      </c>
      <c r="V141" s="4"/>
      <c r="W141" s="4"/>
      <c r="X141" s="4"/>
      <c r="Y141" s="1"/>
      <c r="Z141" s="1"/>
      <c r="AA141" s="1"/>
      <c r="AB141" s="1"/>
      <c r="AC141" s="14"/>
    </row>
    <row x14ac:dyDescent="0.25" r="142" customHeight="1" ht="18.75">
      <c r="A142" s="1" t="s">
        <v>284</v>
      </c>
      <c r="B142" s="14">
        <v>1.0159722222222223</v>
      </c>
      <c r="C142" s="3">
        <v>0.106</v>
      </c>
      <c r="D142" s="4"/>
      <c r="E142" s="5">
        <f>TEXT(A142,"yyyy/mm/dd") &amp; " " &amp; TEXT(B142,"hh:mm:ss")</f>
      </c>
      <c r="F142" s="5"/>
      <c r="G142" s="5"/>
      <c r="H142" s="5"/>
      <c r="I142" s="5"/>
      <c r="J142" s="4"/>
      <c r="K142" s="4"/>
      <c r="L142" s="4"/>
      <c r="M142" s="4"/>
      <c r="N142" s="4"/>
      <c r="O142" s="4"/>
      <c r="P142" s="4"/>
      <c r="Q142" s="4"/>
      <c r="R142" s="3">
        <v>0.057</v>
      </c>
      <c r="S142" s="3">
        <v>0.047</v>
      </c>
      <c r="T142" s="3">
        <v>0.038</v>
      </c>
      <c r="U142" s="13">
        <v>0.018</v>
      </c>
      <c r="V142" s="4"/>
      <c r="W142" s="4"/>
      <c r="X142" s="4"/>
      <c r="Y142" s="1"/>
      <c r="Z142" s="1"/>
      <c r="AA142" s="1"/>
      <c r="AB142" s="1"/>
      <c r="AC142" s="14"/>
    </row>
    <row x14ac:dyDescent="0.25" r="143" customHeight="1" ht="18.75">
      <c r="A143" s="1" t="s">
        <v>284</v>
      </c>
      <c r="B143" s="14">
        <v>1.725</v>
      </c>
      <c r="C143" s="3">
        <v>0.099</v>
      </c>
      <c r="D143" s="4"/>
      <c r="E143" s="5">
        <f>TEXT(A143,"yyyy/mm/dd") &amp; " " &amp; TEXT(B143,"hh:mm:ss")</f>
      </c>
      <c r="F143" s="5"/>
      <c r="G143" s="5"/>
      <c r="H143" s="5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1"/>
      <c r="Z143" s="1"/>
      <c r="AA143" s="1"/>
      <c r="AB143" s="1"/>
      <c r="AC143" s="14"/>
    </row>
    <row x14ac:dyDescent="0.25" r="144" customHeight="1" ht="18.75">
      <c r="A144" s="1" t="s">
        <v>294</v>
      </c>
      <c r="B144" s="14">
        <v>1.011111111111111</v>
      </c>
      <c r="C144" s="3">
        <v>0.075</v>
      </c>
      <c r="D144" s="4"/>
      <c r="E144" s="5">
        <f>TEXT(A144,"yyyy/mm/dd") &amp; " " &amp; TEXT(B144,"hh:mm:ss")</f>
      </c>
      <c r="F144" s="5"/>
      <c r="G144" s="5"/>
      <c r="H144" s="5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1"/>
      <c r="Z144" s="1"/>
      <c r="AA144" s="1"/>
      <c r="AB144" s="1"/>
      <c r="AC144" s="14"/>
    </row>
    <row x14ac:dyDescent="0.25" r="145" customHeight="1" ht="18.75">
      <c r="A145" s="1" t="s">
        <v>307</v>
      </c>
      <c r="B145" s="14">
        <v>1.0090277777777779</v>
      </c>
      <c r="C145" s="3">
        <v>0.048</v>
      </c>
      <c r="D145" s="4"/>
      <c r="E145" s="5">
        <f>TEXT(A145,"yyyy/mm/dd") &amp; " " &amp; TEXT(B145,"hh:mm:ss")</f>
      </c>
      <c r="F145" s="5"/>
      <c r="G145" s="5"/>
      <c r="H145" s="5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1"/>
      <c r="Z145" s="1"/>
      <c r="AA145" s="1"/>
      <c r="AB145" s="1"/>
      <c r="AC145" s="14"/>
    </row>
    <row x14ac:dyDescent="0.25" r="146" customHeight="1" ht="18.75">
      <c r="A146" s="1" t="s">
        <v>307</v>
      </c>
      <c r="B146" s="14">
        <v>1.6694444444444443</v>
      </c>
      <c r="C146" s="3">
        <v>0.062</v>
      </c>
      <c r="D146" s="4"/>
      <c r="E146" s="5">
        <f>TEXT(A146,"yyyy/mm/dd") &amp; " " &amp; TEXT(B146,"hh:mm:ss")</f>
      </c>
      <c r="F146" s="5"/>
      <c r="G146" s="5"/>
      <c r="H146" s="5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1"/>
      <c r="Z146" s="1"/>
      <c r="AA146" s="1"/>
      <c r="AB146" s="1"/>
      <c r="AC146" s="14"/>
    </row>
    <row x14ac:dyDescent="0.25" r="147" customHeight="1" ht="18.75">
      <c r="A147" s="1" t="s">
        <v>318</v>
      </c>
      <c r="B147" s="14">
        <v>1.0034722222222223</v>
      </c>
      <c r="C147" s="3">
        <v>0.064</v>
      </c>
      <c r="D147" s="4"/>
      <c r="E147" s="5">
        <f>TEXT(A147,"yyyy/mm/dd") &amp; " " &amp; TEXT(B147,"hh:mm:ss")</f>
      </c>
      <c r="F147" s="5"/>
      <c r="G147" s="5"/>
      <c r="H147" s="5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1"/>
      <c r="Z147" s="1"/>
      <c r="AA147" s="1"/>
      <c r="AB147" s="1"/>
      <c r="AC147" s="14"/>
    </row>
    <row x14ac:dyDescent="0.25" r="148" customHeight="1" ht="18.75">
      <c r="A148" s="1" t="s">
        <v>336</v>
      </c>
      <c r="B148" s="14">
        <v>1.0013888888888889</v>
      </c>
      <c r="C148" s="3">
        <v>0.057</v>
      </c>
      <c r="D148" s="4"/>
      <c r="E148" s="5">
        <f>TEXT(A148,"yyyy/mm/dd") &amp; " " &amp; TEXT(B148,"hh:mm:ss")</f>
      </c>
      <c r="F148" s="5"/>
      <c r="G148" s="5"/>
      <c r="H148" s="5"/>
      <c r="I148" s="5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1"/>
      <c r="Z148" s="1"/>
      <c r="AA148" s="1"/>
      <c r="AB148" s="1"/>
      <c r="AC148" s="14"/>
    </row>
    <row x14ac:dyDescent="0.25" r="149" customHeight="1" ht="18.75">
      <c r="A149" s="1" t="s">
        <v>345</v>
      </c>
      <c r="B149" s="14">
        <v>1.0020833333333334</v>
      </c>
      <c r="C149" s="3">
        <v>0.047</v>
      </c>
      <c r="D149" s="4"/>
      <c r="E149" s="5">
        <f>TEXT(A149,"yyyy/mm/dd") &amp; " " &amp; TEXT(B149,"hh:mm:ss")</f>
      </c>
      <c r="F149" s="5"/>
      <c r="G149" s="5"/>
      <c r="H149" s="5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1"/>
      <c r="Z149" s="1"/>
      <c r="AA149" s="1"/>
      <c r="AB149" s="1"/>
      <c r="AC149" s="14"/>
    </row>
    <row x14ac:dyDescent="0.25" r="150" customHeight="1" ht="18.75">
      <c r="A150" s="1" t="s">
        <v>369</v>
      </c>
      <c r="B150" s="14">
        <v>1.0270833333333333</v>
      </c>
      <c r="C150" s="3">
        <v>0.038</v>
      </c>
      <c r="D150" s="4"/>
      <c r="E150" s="5">
        <f>TEXT(A150,"yyyy/mm/dd") &amp; " " &amp; TEXT(B150,"hh:mm:ss")</f>
      </c>
      <c r="F150" s="5"/>
      <c r="G150" s="5"/>
      <c r="H150" s="5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1"/>
      <c r="Z150" s="1"/>
      <c r="AA150" s="1"/>
      <c r="AB150" s="1"/>
      <c r="AC150" s="14"/>
    </row>
    <row x14ac:dyDescent="0.25" r="151" customHeight="1" ht="18.75">
      <c r="A151" s="40" t="s">
        <v>380</v>
      </c>
      <c r="B151" s="41">
        <v>1.2368055555555555</v>
      </c>
      <c r="C151" s="42">
        <v>0.018</v>
      </c>
      <c r="D151" s="4"/>
      <c r="E151" s="43">
        <f>TEXT(A151,"yyyy/mm/dd") &amp; " " &amp; TEXT(B151,"hh:mm:ss")</f>
      </c>
      <c r="F151" s="5"/>
      <c r="G151" s="5"/>
      <c r="H151" s="5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1"/>
      <c r="Z151" s="1"/>
      <c r="AA151" s="1"/>
      <c r="AB151" s="40"/>
      <c r="AC151" s="41"/>
    </row>
    <row x14ac:dyDescent="0.25" r="152" customHeight="1" ht="18.75">
      <c r="A152" s="1" t="s">
        <v>1231</v>
      </c>
      <c r="B152" s="14">
        <v>1.7465277777777777</v>
      </c>
      <c r="C152" s="3">
        <v>0.2778</v>
      </c>
      <c r="D152" s="4"/>
      <c r="E152" s="5">
        <f>TEXT(A152,"yyyy/mm/dd") &amp; " " &amp; TEXT(B152,"hh:mm:ss")</f>
      </c>
      <c r="F152" s="5"/>
      <c r="G152" s="5"/>
      <c r="H152" s="5"/>
      <c r="I152" s="5" t="s">
        <v>1231</v>
      </c>
      <c r="J152" s="4" t="s">
        <v>1302</v>
      </c>
      <c r="K152" s="4" t="s">
        <v>1302</v>
      </c>
      <c r="L152" s="4" t="s">
        <v>1303</v>
      </c>
      <c r="M152" s="4" t="s">
        <v>1304</v>
      </c>
      <c r="N152" s="4" t="s">
        <v>1305</v>
      </c>
      <c r="O152" s="4" t="s">
        <v>1305</v>
      </c>
      <c r="P152" s="4" t="s">
        <v>1306</v>
      </c>
      <c r="Q152" s="4" t="s">
        <v>1307</v>
      </c>
      <c r="R152" s="4"/>
      <c r="S152" s="4"/>
      <c r="T152" s="4"/>
      <c r="U152" s="4"/>
      <c r="V152" s="4"/>
      <c r="W152" s="4"/>
      <c r="X152" s="4"/>
      <c r="Y152" s="1"/>
      <c r="Z152" s="1"/>
      <c r="AA152" s="1"/>
      <c r="AB152" s="1"/>
      <c r="AC152" s="14"/>
    </row>
    <row x14ac:dyDescent="0.25" r="153" customHeight="1" ht="18.75">
      <c r="A153" s="1" t="s">
        <v>1302</v>
      </c>
      <c r="B153" s="14">
        <v>1.0208333333333333</v>
      </c>
      <c r="C153" s="3">
        <v>0.6214</v>
      </c>
      <c r="D153" s="4"/>
      <c r="E153" s="5">
        <f>TEXT(A153,"yyyy/mm/dd") &amp; " " &amp; TEXT(B153,"hh:mm:ss")</f>
      </c>
      <c r="F153" s="5"/>
      <c r="G153" s="5"/>
      <c r="H153" s="5"/>
      <c r="I153" s="14">
        <v>1.7465277777777777</v>
      </c>
      <c r="J153" s="14">
        <v>1.0208333333333333</v>
      </c>
      <c r="K153" s="14">
        <v>1.0243055555555556</v>
      </c>
      <c r="L153" s="14">
        <v>1.0083333333333333</v>
      </c>
      <c r="M153" s="14">
        <v>1.0069444444444444</v>
      </c>
      <c r="N153" s="14">
        <v>1.0027777777777778</v>
      </c>
      <c r="O153" s="14">
        <v>1.7743055555555556</v>
      </c>
      <c r="P153" s="14">
        <v>1.0131944444444445</v>
      </c>
      <c r="Q153" s="14">
        <v>1.007638888888889</v>
      </c>
      <c r="R153" s="20" t="s">
        <v>1308</v>
      </c>
      <c r="S153" s="4"/>
      <c r="T153" s="4"/>
      <c r="U153" s="4"/>
      <c r="V153" s="4"/>
      <c r="W153" s="4"/>
      <c r="X153" s="4"/>
      <c r="Y153" s="1"/>
      <c r="Z153" s="1"/>
      <c r="AA153" s="1"/>
      <c r="AB153" s="1"/>
      <c r="AC153" s="14"/>
    </row>
    <row x14ac:dyDescent="0.25" r="154" customHeight="1" ht="18.75">
      <c r="A154" s="1" t="s">
        <v>1302</v>
      </c>
      <c r="B154" s="14">
        <v>1.0243055555555556</v>
      </c>
      <c r="C154" s="3">
        <v>0.9873999999999999</v>
      </c>
      <c r="D154" s="4"/>
      <c r="E154" s="5">
        <f>TEXT(A154,"yyyy/mm/dd") &amp; " " &amp; TEXT(B154,"hh:mm:ss")</f>
      </c>
      <c r="F154" s="5"/>
      <c r="G154" s="5"/>
      <c r="H154" s="5"/>
      <c r="I154" s="39">
        <v>0.2778</v>
      </c>
      <c r="J154" s="3">
        <v>0.6214</v>
      </c>
      <c r="K154" s="3">
        <v>0.9873999999999999</v>
      </c>
      <c r="L154" s="3">
        <v>1.662</v>
      </c>
      <c r="M154" s="3">
        <v>1.664</v>
      </c>
      <c r="N154" s="3">
        <v>1.95</v>
      </c>
      <c r="O154" s="3">
        <v>1.793</v>
      </c>
      <c r="P154" s="3">
        <v>1.346</v>
      </c>
      <c r="Q154" s="3">
        <v>0.5494</v>
      </c>
      <c r="R154" s="24">
        <v>1.2409722222222221</v>
      </c>
      <c r="S154" s="4"/>
      <c r="T154" s="4"/>
      <c r="U154" s="4"/>
      <c r="V154" s="4"/>
      <c r="W154" s="4"/>
      <c r="X154" s="4"/>
      <c r="Y154" s="1"/>
      <c r="Z154" s="1"/>
      <c r="AA154" s="1"/>
      <c r="AB154" s="1"/>
      <c r="AC154" s="14"/>
    </row>
    <row x14ac:dyDescent="0.25" r="155" customHeight="1" ht="18.75">
      <c r="A155" s="1" t="s">
        <v>1303</v>
      </c>
      <c r="B155" s="14">
        <v>1.0083333333333333</v>
      </c>
      <c r="C155" s="3">
        <v>1.662</v>
      </c>
      <c r="D155" s="4"/>
      <c r="E155" s="5">
        <f>TEXT(A155,"yyyy/mm/dd") &amp; " " &amp; TEXT(B155,"hh:mm:ss")</f>
      </c>
      <c r="F155" s="5"/>
      <c r="G155" s="5"/>
      <c r="H155" s="5"/>
      <c r="I155" s="5"/>
      <c r="J155" s="4"/>
      <c r="K155" s="4"/>
      <c r="L155" s="4"/>
      <c r="M155" s="4"/>
      <c r="N155" s="4"/>
      <c r="O155" s="4"/>
      <c r="P155" s="4"/>
      <c r="Q155" s="4"/>
      <c r="R155" s="13">
        <v>0.2352</v>
      </c>
      <c r="S155" s="4"/>
      <c r="T155" s="4"/>
      <c r="U155" s="4"/>
      <c r="V155" s="4"/>
      <c r="W155" s="4"/>
      <c r="X155" s="4"/>
      <c r="Y155" s="1"/>
      <c r="Z155" s="1"/>
      <c r="AA155" s="1"/>
      <c r="AB155" s="1"/>
      <c r="AC155" s="14"/>
    </row>
    <row x14ac:dyDescent="0.25" r="156" customHeight="1" ht="18.75">
      <c r="A156" s="1" t="s">
        <v>1304</v>
      </c>
      <c r="B156" s="14">
        <v>1.0069444444444444</v>
      </c>
      <c r="C156" s="3">
        <v>1.664</v>
      </c>
      <c r="D156" s="4"/>
      <c r="E156" s="5">
        <f>TEXT(A156,"yyyy/mm/dd") &amp; " " &amp; TEXT(B156,"hh:mm:ss")</f>
      </c>
      <c r="F156" s="5"/>
      <c r="G156" s="5"/>
      <c r="H156" s="5"/>
      <c r="I156" s="5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1"/>
      <c r="Z156" s="1"/>
      <c r="AA156" s="1"/>
      <c r="AB156" s="1"/>
      <c r="AC156" s="14"/>
    </row>
    <row x14ac:dyDescent="0.25" r="157" customHeight="1" ht="18.75">
      <c r="A157" s="1" t="s">
        <v>1305</v>
      </c>
      <c r="B157" s="14">
        <v>1.0027777777777778</v>
      </c>
      <c r="C157" s="3">
        <v>1.95</v>
      </c>
      <c r="D157" s="4"/>
      <c r="E157" s="5">
        <f>TEXT(A157,"yyyy/mm/dd") &amp; " " &amp; TEXT(B157,"hh:mm:ss")</f>
      </c>
      <c r="F157" s="5"/>
      <c r="G157" s="5"/>
      <c r="H157" s="5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1"/>
      <c r="Z157" s="1"/>
      <c r="AA157" s="1"/>
      <c r="AB157" s="1"/>
      <c r="AC157" s="14"/>
    </row>
    <row x14ac:dyDescent="0.25" r="158" customHeight="1" ht="18.75">
      <c r="A158" s="1" t="s">
        <v>1305</v>
      </c>
      <c r="B158" s="14">
        <v>1.7743055555555556</v>
      </c>
      <c r="C158" s="3">
        <v>1.793</v>
      </c>
      <c r="D158" s="4"/>
      <c r="E158" s="5">
        <f>TEXT(A158,"yyyy/mm/dd") &amp; " " &amp; TEXT(B158,"hh:mm:ss")</f>
      </c>
      <c r="F158" s="5"/>
      <c r="G158" s="5"/>
      <c r="H158" s="5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1"/>
      <c r="Z158" s="1"/>
      <c r="AA158" s="1"/>
      <c r="AB158" s="1"/>
      <c r="AC158" s="14"/>
    </row>
    <row x14ac:dyDescent="0.25" r="159" customHeight="1" ht="18.75">
      <c r="A159" s="1" t="s">
        <v>1306</v>
      </c>
      <c r="B159" s="14">
        <v>1.0131944444444445</v>
      </c>
      <c r="C159" s="3">
        <v>1.346</v>
      </c>
      <c r="D159" s="4"/>
      <c r="E159" s="5">
        <f>TEXT(A159,"yyyy/mm/dd") &amp; " " &amp; TEXT(B159,"hh:mm:ss")</f>
      </c>
      <c r="F159" s="5"/>
      <c r="G159" s="5"/>
      <c r="H159" s="5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1"/>
      <c r="Z159" s="1"/>
      <c r="AA159" s="1"/>
      <c r="AB159" s="1"/>
      <c r="AC159" s="14"/>
    </row>
    <row x14ac:dyDescent="0.25" r="160" customHeight="1" ht="18.75">
      <c r="A160" s="1" t="s">
        <v>1307</v>
      </c>
      <c r="B160" s="14">
        <v>1.007638888888889</v>
      </c>
      <c r="C160" s="3">
        <v>0.5494</v>
      </c>
      <c r="D160" s="4"/>
      <c r="E160" s="5">
        <f>TEXT(A160,"yyyy/mm/dd") &amp; " " &amp; TEXT(B160,"hh:mm:ss")</f>
      </c>
      <c r="F160" s="5"/>
      <c r="G160" s="5"/>
      <c r="H160" s="5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1"/>
      <c r="Z160" s="1"/>
      <c r="AA160" s="1"/>
      <c r="AB160" s="1"/>
      <c r="AC160" s="14"/>
    </row>
    <row x14ac:dyDescent="0.25" r="161" customHeight="1" ht="18.75">
      <c r="A161" s="40" t="s">
        <v>1308</v>
      </c>
      <c r="B161" s="41">
        <v>1.2409722222222221</v>
      </c>
      <c r="C161" s="42">
        <v>0.2352</v>
      </c>
      <c r="D161" s="4"/>
      <c r="E161" s="43">
        <f>TEXT(A161,"yyyy/mm/dd") &amp; " " &amp; TEXT(B161,"hh:mm:ss")</f>
      </c>
      <c r="F161" s="5"/>
      <c r="G161" s="5"/>
      <c r="H161" s="5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1"/>
      <c r="Z161" s="1"/>
      <c r="AA161" s="1"/>
      <c r="AB161" s="40"/>
      <c r="AC161" s="41"/>
    </row>
    <row x14ac:dyDescent="0.25" r="162" customHeight="1" ht="18.75">
      <c r="A162" s="1" t="s">
        <v>1309</v>
      </c>
      <c r="B162" s="14">
        <v>1.1034722222222222</v>
      </c>
      <c r="C162" s="3">
        <v>0.16240000000000002</v>
      </c>
      <c r="D162" s="4"/>
      <c r="E162" s="5">
        <f>TEXT(A162,"yyyy/mm/dd") &amp; " " &amp; TEXT(B162,"hh:mm:ss")</f>
      </c>
      <c r="F162" s="5"/>
      <c r="G162" s="5"/>
      <c r="H162" s="5"/>
      <c r="I162" s="5" t="s">
        <v>1309</v>
      </c>
      <c r="J162" s="4" t="s">
        <v>1309</v>
      </c>
      <c r="K162" s="4" t="s">
        <v>1309</v>
      </c>
      <c r="L162" s="4" t="s">
        <v>1310</v>
      </c>
      <c r="M162" s="20" t="s">
        <v>1311</v>
      </c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1"/>
      <c r="Z162" s="1"/>
      <c r="AA162" s="1"/>
      <c r="AB162" s="1"/>
      <c r="AC162" s="14"/>
    </row>
    <row x14ac:dyDescent="0.25" r="163" customHeight="1" ht="18.75">
      <c r="A163" s="1" t="s">
        <v>1309</v>
      </c>
      <c r="B163" s="14">
        <v>1.1395833333333334</v>
      </c>
      <c r="C163" s="3">
        <v>0.0999</v>
      </c>
      <c r="D163" s="4"/>
      <c r="E163" s="5">
        <f>TEXT(A163,"yyyy/mm/dd") &amp; " " &amp; TEXT(B163,"hh:mm:ss")</f>
      </c>
      <c r="F163" s="5"/>
      <c r="G163" s="5"/>
      <c r="H163" s="5"/>
      <c r="I163" s="14">
        <v>1.1034722222222222</v>
      </c>
      <c r="J163" s="14">
        <v>1.1395833333333334</v>
      </c>
      <c r="K163" s="14">
        <v>1.7118055555555556</v>
      </c>
      <c r="L163" s="14">
        <v>1.0013888888888889</v>
      </c>
      <c r="M163" s="24">
        <v>1.0041666666666667</v>
      </c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1"/>
      <c r="Z163" s="1"/>
      <c r="AA163" s="1"/>
      <c r="AB163" s="1"/>
      <c r="AC163" s="14"/>
    </row>
    <row x14ac:dyDescent="0.25" r="164" customHeight="1" ht="18.75">
      <c r="A164" s="1" t="s">
        <v>1309</v>
      </c>
      <c r="B164" s="14">
        <v>1.7118055555555556</v>
      </c>
      <c r="C164" s="3">
        <v>0.046700000000000005</v>
      </c>
      <c r="D164" s="4"/>
      <c r="E164" s="5">
        <f>TEXT(A164,"yyyy/mm/dd") &amp; " " &amp; TEXT(B164,"hh:mm:ss")</f>
      </c>
      <c r="F164" s="5"/>
      <c r="G164" s="5"/>
      <c r="H164" s="5"/>
      <c r="I164" s="39">
        <v>0.16240000000000002</v>
      </c>
      <c r="J164" s="3">
        <v>0.0999</v>
      </c>
      <c r="K164" s="3">
        <v>0.046700000000000005</v>
      </c>
      <c r="L164" s="3">
        <v>0.0412</v>
      </c>
      <c r="M164" s="13">
        <v>0.0273</v>
      </c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1"/>
      <c r="Z164" s="1"/>
      <c r="AA164" s="1"/>
      <c r="AB164" s="1"/>
      <c r="AC164" s="14"/>
    </row>
    <row x14ac:dyDescent="0.25" r="165" customHeight="1" ht="18.75">
      <c r="A165" s="1" t="s">
        <v>1310</v>
      </c>
      <c r="B165" s="14">
        <v>1.0013888888888889</v>
      </c>
      <c r="C165" s="3">
        <v>0.0412</v>
      </c>
      <c r="D165" s="4"/>
      <c r="E165" s="5">
        <f>TEXT(A165,"yyyy/mm/dd") &amp; " " &amp; TEXT(B165,"hh:mm:ss")</f>
      </c>
      <c r="F165" s="5"/>
      <c r="G165" s="5"/>
      <c r="H165" s="5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1"/>
      <c r="Z165" s="1"/>
      <c r="AA165" s="1"/>
      <c r="AB165" s="1"/>
      <c r="AC165" s="14"/>
    </row>
    <row x14ac:dyDescent="0.25" r="166" customHeight="1" ht="18.75">
      <c r="A166" s="40" t="s">
        <v>1311</v>
      </c>
      <c r="B166" s="41">
        <v>1.0041666666666667</v>
      </c>
      <c r="C166" s="42">
        <v>0.0273</v>
      </c>
      <c r="D166" s="4"/>
      <c r="E166" s="43">
        <f>TEXT(A166,"yyyy/mm/dd") &amp; " " &amp; TEXT(B166,"hh:mm:ss")</f>
      </c>
      <c r="F166" s="5"/>
      <c r="G166" s="5"/>
      <c r="H166" s="5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1"/>
      <c r="Z166" s="1"/>
      <c r="AA166" s="1"/>
      <c r="AB166" s="40"/>
      <c r="AC166" s="41"/>
    </row>
    <row x14ac:dyDescent="0.25" r="167" customHeight="1" ht="18.75">
      <c r="A167" s="1" t="s">
        <v>592</v>
      </c>
      <c r="B167" s="14">
        <v>1.6958333333333333</v>
      </c>
      <c r="C167" s="3">
        <v>0.184</v>
      </c>
      <c r="D167" s="4"/>
      <c r="E167" s="5">
        <f>TEXT(A167,"yyyy/mm/dd") &amp; " " &amp; TEXT(B167,"hh:mm:ss")</f>
      </c>
      <c r="F167" s="5"/>
      <c r="G167" s="5"/>
      <c r="H167" s="5"/>
      <c r="I167" s="5" t="s">
        <v>592</v>
      </c>
      <c r="J167" s="4" t="s">
        <v>592</v>
      </c>
      <c r="K167" s="4" t="s">
        <v>593</v>
      </c>
      <c r="L167" s="4" t="s">
        <v>594</v>
      </c>
      <c r="M167" s="20" t="s">
        <v>595</v>
      </c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1"/>
      <c r="Z167" s="1"/>
      <c r="AA167" s="1"/>
      <c r="AB167" s="1"/>
      <c r="AC167" s="14"/>
    </row>
    <row x14ac:dyDescent="0.25" r="168" customHeight="1" ht="18.75">
      <c r="A168" s="1" t="s">
        <v>592</v>
      </c>
      <c r="B168" s="14">
        <v>1.8958333333333335</v>
      </c>
      <c r="C168" s="3">
        <v>0.192</v>
      </c>
      <c r="D168" s="4"/>
      <c r="E168" s="5">
        <f>TEXT(A168,"yyyy/mm/dd") &amp; " " &amp; TEXT(B168,"hh:mm:ss")</f>
      </c>
      <c r="F168" s="5"/>
      <c r="G168" s="5"/>
      <c r="H168" s="5"/>
      <c r="I168" s="14">
        <v>1.6958333333333333</v>
      </c>
      <c r="J168" s="14">
        <v>1.8958333333333335</v>
      </c>
      <c r="K168" s="14">
        <v>1.0229166666666667</v>
      </c>
      <c r="L168" s="14">
        <v>1.0104166666666667</v>
      </c>
      <c r="M168" s="24">
        <v>1.0006944444444446</v>
      </c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1"/>
      <c r="Z168" s="1"/>
      <c r="AA168" s="1"/>
      <c r="AB168" s="1"/>
      <c r="AC168" s="14"/>
    </row>
    <row x14ac:dyDescent="0.25" r="169" customHeight="1" ht="18.75">
      <c r="A169" s="1" t="s">
        <v>593</v>
      </c>
      <c r="B169" s="14">
        <v>1.0229166666666667</v>
      </c>
      <c r="C169" s="3">
        <v>0.203</v>
      </c>
      <c r="D169" s="4"/>
      <c r="E169" s="5">
        <f>TEXT(A169,"yyyy/mm/dd") &amp; " " &amp; TEXT(B169,"hh:mm:ss")</f>
      </c>
      <c r="F169" s="5"/>
      <c r="G169" s="5"/>
      <c r="H169" s="5"/>
      <c r="I169" s="39">
        <v>0.184</v>
      </c>
      <c r="J169" s="3">
        <v>0.192</v>
      </c>
      <c r="K169" s="3">
        <v>0.203</v>
      </c>
      <c r="L169" s="3">
        <v>0.218</v>
      </c>
      <c r="M169" s="13">
        <v>0.238</v>
      </c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1"/>
      <c r="Z169" s="1"/>
      <c r="AA169" s="1"/>
      <c r="AB169" s="1"/>
      <c r="AC169" s="14"/>
    </row>
    <row x14ac:dyDescent="0.25" r="170" customHeight="1" ht="18.75">
      <c r="A170" s="1" t="s">
        <v>594</v>
      </c>
      <c r="B170" s="14">
        <v>1.0104166666666667</v>
      </c>
      <c r="C170" s="3">
        <v>0.218</v>
      </c>
      <c r="D170" s="4"/>
      <c r="E170" s="5">
        <f>TEXT(A170,"yyyy/mm/dd") &amp; " " &amp; TEXT(B170,"hh:mm:ss")</f>
      </c>
      <c r="F170" s="5"/>
      <c r="G170" s="5"/>
      <c r="H170" s="5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1"/>
      <c r="Z170" s="1"/>
      <c r="AA170" s="1"/>
      <c r="AB170" s="1"/>
      <c r="AC170" s="14"/>
    </row>
    <row x14ac:dyDescent="0.25" r="171" customHeight="1" ht="18.75">
      <c r="A171" s="40" t="s">
        <v>595</v>
      </c>
      <c r="B171" s="41">
        <v>1.0006944444444446</v>
      </c>
      <c r="C171" s="42">
        <v>0.238</v>
      </c>
      <c r="D171" s="4"/>
      <c r="E171" s="43">
        <f>TEXT(A171,"yyyy/mm/dd") &amp; " " &amp; TEXT(B171,"hh:mm:ss")</f>
      </c>
      <c r="F171" s="5"/>
      <c r="G171" s="5"/>
      <c r="H171" s="5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1"/>
      <c r="Z171" s="1"/>
      <c r="AA171" s="1"/>
      <c r="AB171" s="40"/>
      <c r="AC171" s="41"/>
    </row>
    <row x14ac:dyDescent="0.25" r="172" customHeight="1" ht="18.75">
      <c r="A172" s="1" t="s">
        <v>561</v>
      </c>
      <c r="B172" s="14">
        <v>1.1402777777777777</v>
      </c>
      <c r="C172" s="3">
        <v>0.892</v>
      </c>
      <c r="D172" s="4"/>
      <c r="E172" s="5">
        <f>TEXT(A172,"yyyy/mm/dd") &amp; " " &amp; TEXT(B172,"hh:mm:ss")</f>
      </c>
      <c r="F172" s="5"/>
      <c r="G172" s="5"/>
      <c r="H172" s="5"/>
      <c r="I172" s="5" t="s">
        <v>561</v>
      </c>
      <c r="J172" s="4" t="s">
        <v>561</v>
      </c>
      <c r="K172" s="4" t="s">
        <v>561</v>
      </c>
      <c r="L172" s="4" t="s">
        <v>562</v>
      </c>
      <c r="M172" s="4" t="s">
        <v>563</v>
      </c>
      <c r="N172" s="4" t="s">
        <v>1230</v>
      </c>
      <c r="O172" s="20" t="s">
        <v>1296</v>
      </c>
      <c r="P172" s="4"/>
      <c r="Q172" s="4"/>
      <c r="R172" s="4"/>
      <c r="S172" s="4"/>
      <c r="T172" s="4"/>
      <c r="U172" s="4"/>
      <c r="V172" s="4"/>
      <c r="W172" s="4"/>
      <c r="X172" s="4"/>
      <c r="Y172" s="1"/>
      <c r="Z172" s="1"/>
      <c r="AA172" s="1"/>
      <c r="AB172" s="1"/>
      <c r="AC172" s="14"/>
    </row>
    <row x14ac:dyDescent="0.25" r="173" customHeight="1" ht="18.75">
      <c r="A173" s="1" t="s">
        <v>561</v>
      </c>
      <c r="B173" s="14">
        <v>1.1409722222222223</v>
      </c>
      <c r="C173" s="3">
        <v>0.831</v>
      </c>
      <c r="D173" s="4"/>
      <c r="E173" s="5">
        <f>TEXT(A173,"yyyy/mm/dd") &amp; " " &amp; TEXT(B173,"hh:mm:ss")</f>
      </c>
      <c r="F173" s="5"/>
      <c r="G173" s="5"/>
      <c r="H173" s="5"/>
      <c r="I173" s="14">
        <v>1.1402777777777777</v>
      </c>
      <c r="J173" s="14">
        <v>1.1409722222222223</v>
      </c>
      <c r="K173" s="14">
        <v>1.6993055555555556</v>
      </c>
      <c r="L173" s="14">
        <v>1.0131944444444445</v>
      </c>
      <c r="M173" s="14">
        <v>1.0104166666666667</v>
      </c>
      <c r="N173" s="14">
        <v>1.2319444444444445</v>
      </c>
      <c r="O173" s="24">
        <v>1.0138888888888888</v>
      </c>
      <c r="P173" s="4"/>
      <c r="Q173" s="4"/>
      <c r="R173" s="4"/>
      <c r="S173" s="4"/>
      <c r="T173" s="4"/>
      <c r="U173" s="4"/>
      <c r="V173" s="4"/>
      <c r="W173" s="4"/>
      <c r="X173" s="4"/>
      <c r="Y173" s="1"/>
      <c r="Z173" s="1"/>
      <c r="AA173" s="1"/>
      <c r="AB173" s="1"/>
      <c r="AC173" s="14"/>
    </row>
    <row x14ac:dyDescent="0.25" r="174" customHeight="1" ht="18.75">
      <c r="A174" s="1" t="s">
        <v>561</v>
      </c>
      <c r="B174" s="14">
        <v>1.6993055555555556</v>
      </c>
      <c r="C174" s="3">
        <v>0.674</v>
      </c>
      <c r="D174" s="4"/>
      <c r="E174" s="5">
        <f>TEXT(A174,"yyyy/mm/dd") &amp; " " &amp; TEXT(B174,"hh:mm:ss")</f>
      </c>
      <c r="F174" s="5"/>
      <c r="G174" s="5"/>
      <c r="H174" s="5"/>
      <c r="I174" s="39">
        <v>0.892</v>
      </c>
      <c r="J174" s="3">
        <v>0.831</v>
      </c>
      <c r="K174" s="3">
        <v>0.674</v>
      </c>
      <c r="L174" s="3">
        <v>0.639</v>
      </c>
      <c r="M174" s="3">
        <v>0.382</v>
      </c>
      <c r="N174" s="3">
        <v>0.28</v>
      </c>
      <c r="O174" s="13">
        <v>0.138</v>
      </c>
      <c r="P174" s="4"/>
      <c r="Q174" s="4"/>
      <c r="R174" s="4"/>
      <c r="S174" s="4"/>
      <c r="T174" s="4"/>
      <c r="U174" s="4"/>
      <c r="V174" s="4"/>
      <c r="W174" s="4"/>
      <c r="X174" s="4"/>
      <c r="Y174" s="1"/>
      <c r="Z174" s="1"/>
      <c r="AA174" s="1"/>
      <c r="AB174" s="1"/>
      <c r="AC174" s="14"/>
    </row>
    <row x14ac:dyDescent="0.25" r="175" customHeight="1" ht="18.75">
      <c r="A175" s="1" t="s">
        <v>562</v>
      </c>
      <c r="B175" s="14">
        <v>1.0131944444444445</v>
      </c>
      <c r="C175" s="3">
        <v>0.639</v>
      </c>
      <c r="D175" s="4"/>
      <c r="E175" s="5">
        <f>TEXT(A175,"yyyy/mm/dd") &amp; " " &amp; TEXT(B175,"hh:mm:ss")</f>
      </c>
      <c r="F175" s="5"/>
      <c r="G175" s="5"/>
      <c r="H175" s="5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1"/>
      <c r="Z175" s="1"/>
      <c r="AA175" s="1"/>
      <c r="AB175" s="1"/>
      <c r="AC175" s="14"/>
    </row>
    <row x14ac:dyDescent="0.25" r="176" customHeight="1" ht="18.75">
      <c r="A176" s="1" t="s">
        <v>563</v>
      </c>
      <c r="B176" s="14">
        <v>1.0104166666666667</v>
      </c>
      <c r="C176" s="3">
        <v>0.382</v>
      </c>
      <c r="D176" s="4"/>
      <c r="E176" s="5">
        <f>TEXT(A176,"yyyy/mm/dd") &amp; " " &amp; TEXT(B176,"hh:mm:ss")</f>
      </c>
      <c r="F176" s="5"/>
      <c r="G176" s="5"/>
      <c r="H176" s="5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1"/>
      <c r="Z176" s="1"/>
      <c r="AA176" s="1"/>
      <c r="AB176" s="1"/>
      <c r="AC176" s="14"/>
    </row>
    <row x14ac:dyDescent="0.25" r="177" customHeight="1" ht="18.75">
      <c r="A177" s="1" t="s">
        <v>1230</v>
      </c>
      <c r="B177" s="14">
        <v>1.2319444444444445</v>
      </c>
      <c r="C177" s="3">
        <v>0.28</v>
      </c>
      <c r="D177" s="4"/>
      <c r="E177" s="5">
        <f>TEXT(A177,"yyyy/mm/dd") &amp; " " &amp; TEXT(B177,"hh:mm:ss")</f>
      </c>
      <c r="F177" s="5"/>
      <c r="G177" s="5"/>
      <c r="H177" s="5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1"/>
      <c r="Z177" s="1"/>
      <c r="AA177" s="1"/>
      <c r="AB177" s="1"/>
      <c r="AC177" s="14"/>
    </row>
    <row x14ac:dyDescent="0.25" r="178" customHeight="1" ht="18.75">
      <c r="A178" s="40" t="s">
        <v>1296</v>
      </c>
      <c r="B178" s="41">
        <v>1.0138888888888888</v>
      </c>
      <c r="C178" s="42">
        <v>0.138</v>
      </c>
      <c r="D178" s="4"/>
      <c r="E178" s="43">
        <f>TEXT(A178,"yyyy/mm/dd") &amp; " " &amp; TEXT(B178,"hh:mm:ss")</f>
      </c>
      <c r="F178" s="5"/>
      <c r="G178" s="5"/>
      <c r="H178" s="5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1"/>
      <c r="Z178" s="1"/>
      <c r="AA178" s="1"/>
      <c r="AB178" s="40"/>
      <c r="AC178" s="41"/>
    </row>
    <row x14ac:dyDescent="0.25" r="179" customHeight="1" ht="18.75">
      <c r="A179" s="1" t="s">
        <v>602</v>
      </c>
      <c r="B179" s="14">
        <v>1.2930555555555556</v>
      </c>
      <c r="C179" s="3">
        <v>0.06</v>
      </c>
      <c r="D179" s="4"/>
      <c r="E179" s="5">
        <f>TEXT(A179,"yyyy/mm/dd") &amp; " " &amp; TEXT(B179,"hh:mm:ss")</f>
      </c>
      <c r="F179" s="5"/>
      <c r="G179" s="5"/>
      <c r="H179" s="5"/>
      <c r="I179" s="5" t="s">
        <v>602</v>
      </c>
      <c r="J179" s="4" t="s">
        <v>602</v>
      </c>
      <c r="K179" s="4" t="s">
        <v>602</v>
      </c>
      <c r="L179" s="4" t="s">
        <v>1239</v>
      </c>
      <c r="M179" s="20" t="s">
        <v>1312</v>
      </c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1"/>
      <c r="Z179" s="1"/>
      <c r="AA179" s="1"/>
      <c r="AB179" s="1"/>
      <c r="AC179" s="14"/>
    </row>
    <row x14ac:dyDescent="0.25" r="180" customHeight="1" ht="18.75">
      <c r="A180" s="1" t="s">
        <v>602</v>
      </c>
      <c r="B180" s="14">
        <v>1.29375</v>
      </c>
      <c r="C180" s="3">
        <v>0.058</v>
      </c>
      <c r="D180" s="4"/>
      <c r="E180" s="5">
        <f>TEXT(A180,"yyyy/mm/dd") &amp; " " &amp; TEXT(B180,"hh:mm:ss")</f>
      </c>
      <c r="F180" s="5"/>
      <c r="G180" s="5"/>
      <c r="H180" s="5"/>
      <c r="I180" s="14">
        <v>1.2930555555555556</v>
      </c>
      <c r="J180" s="14">
        <v>1.29375</v>
      </c>
      <c r="K180" s="14">
        <v>1.6576388888888889</v>
      </c>
      <c r="L180" s="14">
        <v>1.0138888888888888</v>
      </c>
      <c r="M180" s="24">
        <v>1.007638888888889</v>
      </c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1"/>
      <c r="Z180" s="1"/>
      <c r="AA180" s="1"/>
      <c r="AB180" s="1"/>
      <c r="AC180" s="14"/>
    </row>
    <row x14ac:dyDescent="0.25" r="181" customHeight="1" ht="18.75">
      <c r="A181" s="1" t="s">
        <v>602</v>
      </c>
      <c r="B181" s="14">
        <v>1.6576388888888889</v>
      </c>
      <c r="C181" s="3">
        <v>0.059</v>
      </c>
      <c r="D181" s="4"/>
      <c r="E181" s="5">
        <f>TEXT(A181,"yyyy/mm/dd") &amp; " " &amp; TEXT(B181,"hh:mm:ss")</f>
      </c>
      <c r="F181" s="5"/>
      <c r="G181" s="5"/>
      <c r="H181" s="5"/>
      <c r="I181" s="39">
        <v>0.06</v>
      </c>
      <c r="J181" s="3">
        <v>0.058</v>
      </c>
      <c r="K181" s="3">
        <v>0.059</v>
      </c>
      <c r="L181" s="3">
        <v>0.076</v>
      </c>
      <c r="M181" s="13">
        <v>0.054</v>
      </c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1"/>
      <c r="Z181" s="1"/>
      <c r="AA181" s="1"/>
      <c r="AB181" s="1"/>
      <c r="AC181" s="14"/>
    </row>
    <row x14ac:dyDescent="0.25" r="182" customHeight="1" ht="18.75">
      <c r="A182" s="1" t="s">
        <v>1239</v>
      </c>
      <c r="B182" s="14">
        <v>1.0138888888888888</v>
      </c>
      <c r="C182" s="3">
        <v>0.076</v>
      </c>
      <c r="D182" s="4"/>
      <c r="E182" s="5">
        <f>TEXT(A182,"yyyy/mm/dd") &amp; " " &amp; TEXT(B182,"hh:mm:ss")</f>
      </c>
      <c r="F182" s="5"/>
      <c r="G182" s="5"/>
      <c r="H182" s="5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1"/>
      <c r="Z182" s="1"/>
      <c r="AA182" s="1"/>
      <c r="AB182" s="1"/>
      <c r="AC182" s="14"/>
    </row>
    <row x14ac:dyDescent="0.25" r="183" customHeight="1" ht="18.75">
      <c r="A183" s="40" t="s">
        <v>1312</v>
      </c>
      <c r="B183" s="41">
        <v>1.007638888888889</v>
      </c>
      <c r="C183" s="42">
        <v>0.054</v>
      </c>
      <c r="D183" s="4"/>
      <c r="E183" s="43">
        <f>TEXT(A183,"yyyy/mm/dd") &amp; " " &amp; TEXT(B183,"hh:mm:ss")</f>
      </c>
      <c r="F183" s="5"/>
      <c r="G183" s="5"/>
      <c r="H183" s="5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1"/>
      <c r="Z183" s="1"/>
      <c r="AA183" s="1"/>
      <c r="AB183" s="40"/>
      <c r="AC183" s="41"/>
    </row>
    <row x14ac:dyDescent="0.25" r="184" customHeight="1" ht="18.75">
      <c r="A184" s="1" t="s">
        <v>1293</v>
      </c>
      <c r="B184" s="14">
        <v>1.4583333333333333</v>
      </c>
      <c r="C184" s="3">
        <v>0.39</v>
      </c>
      <c r="D184" s="4"/>
      <c r="E184" s="5">
        <f>TEXT(A184,"yyyy/mm/dd") &amp; " " &amp; TEXT(B184,"hh:mm:ss")</f>
      </c>
      <c r="F184" s="5"/>
      <c r="G184" s="5"/>
      <c r="H184" s="5"/>
      <c r="I184" s="5" t="s">
        <v>1293</v>
      </c>
      <c r="J184" s="4" t="s">
        <v>1293</v>
      </c>
      <c r="K184" s="4" t="s">
        <v>1294</v>
      </c>
      <c r="L184" s="4" t="s">
        <v>1295</v>
      </c>
      <c r="M184" s="4" t="s">
        <v>1313</v>
      </c>
      <c r="N184" s="4" t="s">
        <v>1313</v>
      </c>
      <c r="O184" s="4" t="s">
        <v>1314</v>
      </c>
      <c r="P184" s="4" t="s">
        <v>1315</v>
      </c>
      <c r="Q184" s="4" t="s">
        <v>1316</v>
      </c>
      <c r="R184" s="4"/>
      <c r="S184" s="4"/>
      <c r="T184" s="4"/>
      <c r="U184" s="4"/>
      <c r="V184" s="4"/>
      <c r="W184" s="4"/>
      <c r="X184" s="4"/>
      <c r="Y184" s="1"/>
      <c r="Z184" s="1"/>
      <c r="AA184" s="1"/>
      <c r="AB184" s="1"/>
      <c r="AC184" s="14"/>
    </row>
    <row x14ac:dyDescent="0.25" r="185" customHeight="1" ht="18.75">
      <c r="A185" s="1" t="s">
        <v>1293</v>
      </c>
      <c r="B185" s="14">
        <v>1.9125</v>
      </c>
      <c r="C185" s="3">
        <v>1.26</v>
      </c>
      <c r="D185" s="4"/>
      <c r="E185" s="5">
        <f>TEXT(A185,"yyyy/mm/dd") &amp; " " &amp; TEXT(B185,"hh:mm:ss")</f>
      </c>
      <c r="F185" s="5"/>
      <c r="G185" s="5"/>
      <c r="H185" s="5"/>
      <c r="I185" s="14">
        <v>1.4583333333333333</v>
      </c>
      <c r="J185" s="14">
        <v>1.9125</v>
      </c>
      <c r="K185" s="14">
        <v>1.0229166666666667</v>
      </c>
      <c r="L185" s="14">
        <v>1.0041666666666667</v>
      </c>
      <c r="M185" s="14">
        <v>1.0340277777777778</v>
      </c>
      <c r="N185" s="14">
        <v>1.754861111111111</v>
      </c>
      <c r="O185" s="14">
        <v>1.0090277777777779</v>
      </c>
      <c r="P185" s="14">
        <v>1.0277777777777777</v>
      </c>
      <c r="Q185" s="14">
        <v>1.0041666666666667</v>
      </c>
      <c r="R185" s="4" t="s">
        <v>1317</v>
      </c>
      <c r="S185" s="20" t="s">
        <v>1318</v>
      </c>
      <c r="T185" s="4"/>
      <c r="U185" s="4"/>
      <c r="V185" s="4"/>
      <c r="W185" s="4"/>
      <c r="X185" s="4"/>
      <c r="Y185" s="1"/>
      <c r="Z185" s="1"/>
      <c r="AA185" s="1"/>
      <c r="AB185" s="1"/>
      <c r="AC185" s="14"/>
    </row>
    <row x14ac:dyDescent="0.25" r="186" customHeight="1" ht="18.75">
      <c r="A186" s="1" t="s">
        <v>1294</v>
      </c>
      <c r="B186" s="14">
        <v>1.0229166666666667</v>
      </c>
      <c r="C186" s="3">
        <v>0.893</v>
      </c>
      <c r="D186" s="4"/>
      <c r="E186" s="5">
        <f>TEXT(A186,"yyyy/mm/dd") &amp; " " &amp; TEXT(B186,"hh:mm:ss")</f>
      </c>
      <c r="F186" s="5"/>
      <c r="G186" s="5"/>
      <c r="H186" s="5"/>
      <c r="I186" s="39">
        <v>0.39</v>
      </c>
      <c r="J186" s="3">
        <v>1.26</v>
      </c>
      <c r="K186" s="3">
        <v>0.893</v>
      </c>
      <c r="L186" s="3">
        <v>0.735</v>
      </c>
      <c r="M186" s="3">
        <v>0.666</v>
      </c>
      <c r="N186" s="3">
        <v>0.634</v>
      </c>
      <c r="O186" s="3">
        <v>0.639</v>
      </c>
      <c r="P186" s="3">
        <v>0.443</v>
      </c>
      <c r="Q186" s="3">
        <v>0.306</v>
      </c>
      <c r="R186" s="14">
        <v>1.00625</v>
      </c>
      <c r="S186" s="24">
        <v>1.0055555555555555</v>
      </c>
      <c r="T186" s="4"/>
      <c r="U186" s="4"/>
      <c r="V186" s="4"/>
      <c r="W186" s="4"/>
      <c r="X186" s="4"/>
      <c r="Y186" s="1"/>
      <c r="Z186" s="1"/>
      <c r="AA186" s="1"/>
      <c r="AB186" s="1"/>
      <c r="AC186" s="14"/>
    </row>
    <row x14ac:dyDescent="0.25" r="187" customHeight="1" ht="18.75">
      <c r="A187" s="1" t="s">
        <v>1295</v>
      </c>
      <c r="B187" s="14">
        <v>1.0041666666666667</v>
      </c>
      <c r="C187" s="3">
        <v>0.735</v>
      </c>
      <c r="D187" s="4"/>
      <c r="E187" s="5">
        <f>TEXT(A187,"yyyy/mm/dd") &amp; " " &amp; TEXT(B187,"hh:mm:ss")</f>
      </c>
      <c r="F187" s="5"/>
      <c r="G187" s="5"/>
      <c r="H187" s="5"/>
      <c r="I187" s="5"/>
      <c r="J187" s="4"/>
      <c r="K187" s="4"/>
      <c r="L187" s="4"/>
      <c r="M187" s="4"/>
      <c r="N187" s="4"/>
      <c r="O187" s="4"/>
      <c r="P187" s="4"/>
      <c r="Q187" s="4"/>
      <c r="R187" s="3">
        <v>0.227</v>
      </c>
      <c r="S187" s="13">
        <v>0.157</v>
      </c>
      <c r="T187" s="4"/>
      <c r="U187" s="4"/>
      <c r="V187" s="4"/>
      <c r="W187" s="4"/>
      <c r="X187" s="4"/>
      <c r="Y187" s="1"/>
      <c r="Z187" s="1"/>
      <c r="AA187" s="1"/>
      <c r="AB187" s="1"/>
      <c r="AC187" s="14"/>
    </row>
    <row x14ac:dyDescent="0.25" r="188" customHeight="1" ht="18.75">
      <c r="A188" s="1" t="s">
        <v>1313</v>
      </c>
      <c r="B188" s="14">
        <v>1.0340277777777778</v>
      </c>
      <c r="C188" s="3">
        <v>0.666</v>
      </c>
      <c r="D188" s="4"/>
      <c r="E188" s="5">
        <f>TEXT(A188,"yyyy/mm/dd") &amp; " " &amp; TEXT(B188,"hh:mm:ss")</f>
      </c>
      <c r="F188" s="5"/>
      <c r="G188" s="5"/>
      <c r="H188" s="5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1"/>
      <c r="Z188" s="1"/>
      <c r="AA188" s="1"/>
      <c r="AB188" s="1"/>
      <c r="AC188" s="14"/>
    </row>
    <row x14ac:dyDescent="0.25" r="189" customHeight="1" ht="18.75">
      <c r="A189" s="1" t="s">
        <v>1313</v>
      </c>
      <c r="B189" s="14">
        <v>1.754861111111111</v>
      </c>
      <c r="C189" s="3">
        <v>0.634</v>
      </c>
      <c r="D189" s="4"/>
      <c r="E189" s="5">
        <f>TEXT(A189,"yyyy/mm/dd") &amp; " " &amp; TEXT(B189,"hh:mm:ss")</f>
      </c>
      <c r="F189" s="5"/>
      <c r="G189" s="5"/>
      <c r="H189" s="5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1"/>
      <c r="Z189" s="1"/>
      <c r="AA189" s="1"/>
      <c r="AB189" s="1"/>
      <c r="AC189" s="14"/>
    </row>
    <row x14ac:dyDescent="0.25" r="190" customHeight="1" ht="18.75">
      <c r="A190" s="1" t="s">
        <v>1314</v>
      </c>
      <c r="B190" s="14">
        <v>1.0090277777777779</v>
      </c>
      <c r="C190" s="3">
        <v>0.639</v>
      </c>
      <c r="D190" s="4"/>
      <c r="E190" s="5">
        <f>TEXT(A190,"yyyy/mm/dd") &amp; " " &amp; TEXT(B190,"hh:mm:ss")</f>
      </c>
      <c r="F190" s="5"/>
      <c r="G190" s="5"/>
      <c r="H190" s="5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1"/>
      <c r="Z190" s="1"/>
      <c r="AA190" s="1"/>
      <c r="AB190" s="1"/>
      <c r="AC190" s="14"/>
    </row>
    <row x14ac:dyDescent="0.25" r="191" customHeight="1" ht="18.75">
      <c r="A191" s="1" t="s">
        <v>1315</v>
      </c>
      <c r="B191" s="14">
        <v>1.0277777777777777</v>
      </c>
      <c r="C191" s="3">
        <v>0.443</v>
      </c>
      <c r="D191" s="4"/>
      <c r="E191" s="5">
        <f>TEXT(A191,"yyyy/mm/dd") &amp; " " &amp; TEXT(B191,"hh:mm:ss")</f>
      </c>
      <c r="F191" s="5"/>
      <c r="G191" s="5"/>
      <c r="H191" s="5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1"/>
      <c r="Z191" s="1"/>
      <c r="AA191" s="1"/>
      <c r="AB191" s="1"/>
      <c r="AC191" s="14"/>
    </row>
    <row x14ac:dyDescent="0.25" r="192" customHeight="1" ht="18.75">
      <c r="A192" s="1" t="s">
        <v>1316</v>
      </c>
      <c r="B192" s="14">
        <v>1.0041666666666667</v>
      </c>
      <c r="C192" s="3">
        <v>0.306</v>
      </c>
      <c r="D192" s="4"/>
      <c r="E192" s="5">
        <f>TEXT(A192,"yyyy/mm/dd") &amp; " " &amp; TEXT(B192,"hh:mm:ss")</f>
      </c>
      <c r="F192" s="5"/>
      <c r="G192" s="5"/>
      <c r="H192" s="5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1"/>
      <c r="Z192" s="1"/>
      <c r="AA192" s="1"/>
      <c r="AB192" s="1"/>
      <c r="AC192" s="14"/>
    </row>
    <row x14ac:dyDescent="0.25" r="193" customHeight="1" ht="18.75">
      <c r="A193" s="1" t="s">
        <v>1317</v>
      </c>
      <c r="B193" s="14">
        <v>1.00625</v>
      </c>
      <c r="C193" s="3">
        <v>0.227</v>
      </c>
      <c r="D193" s="4"/>
      <c r="E193" s="5">
        <f>TEXT(A193,"yyyy/mm/dd") &amp; " " &amp; TEXT(B193,"hh:mm:ss")</f>
      </c>
      <c r="F193" s="5"/>
      <c r="G193" s="5"/>
      <c r="H193" s="5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1"/>
      <c r="Z193" s="1"/>
      <c r="AA193" s="1"/>
      <c r="AB193" s="1"/>
      <c r="AC193" s="14"/>
    </row>
    <row x14ac:dyDescent="0.25" r="194" customHeight="1" ht="18.75">
      <c r="A194" s="40" t="s">
        <v>1318</v>
      </c>
      <c r="B194" s="41">
        <v>1.0055555555555555</v>
      </c>
      <c r="C194" s="42">
        <v>0.157</v>
      </c>
      <c r="D194" s="4"/>
      <c r="E194" s="43">
        <f>TEXT(A194,"yyyy/mm/dd") &amp; " " &amp; TEXT(B194,"hh:mm:ss")</f>
      </c>
      <c r="F194" s="5"/>
      <c r="G194" s="5"/>
      <c r="H194" s="5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1"/>
      <c r="Z194" s="1"/>
      <c r="AA194" s="1"/>
      <c r="AB194" s="40"/>
      <c r="AC194" s="41"/>
    </row>
    <row x14ac:dyDescent="0.25" r="195" customHeight="1" ht="18.75">
      <c r="A195" s="1" t="s">
        <v>1319</v>
      </c>
      <c r="B195" s="14">
        <v>1.7444444444444445</v>
      </c>
      <c r="C195" s="3">
        <v>0.344</v>
      </c>
      <c r="D195" s="4"/>
      <c r="E195" s="5">
        <f>TEXT(A195,"yyyy/mm/dd") &amp; " " &amp; TEXT(B195,"hh:mm:ss")</f>
      </c>
      <c r="F195" s="5"/>
      <c r="G195" s="5"/>
      <c r="H195" s="5"/>
      <c r="I195" s="5" t="s">
        <v>1319</v>
      </c>
      <c r="J195" s="4" t="s">
        <v>1320</v>
      </c>
      <c r="K195" s="4" t="s">
        <v>1320</v>
      </c>
      <c r="L195" s="4" t="s">
        <v>1321</v>
      </c>
      <c r="M195" s="4" t="s">
        <v>1322</v>
      </c>
      <c r="N195" s="4" t="s">
        <v>1322</v>
      </c>
      <c r="O195" s="4" t="s">
        <v>1323</v>
      </c>
      <c r="P195" s="4" t="s">
        <v>1323</v>
      </c>
      <c r="Q195" s="4" t="s">
        <v>1324</v>
      </c>
      <c r="R195" s="4"/>
      <c r="S195" s="4"/>
      <c r="T195" s="4"/>
      <c r="U195" s="4"/>
      <c r="V195" s="4"/>
      <c r="W195" s="4"/>
      <c r="X195" s="4"/>
      <c r="Y195" s="1"/>
      <c r="Z195" s="1"/>
      <c r="AA195" s="1"/>
      <c r="AB195" s="1"/>
      <c r="AC195" s="14"/>
    </row>
    <row x14ac:dyDescent="0.25" r="196" customHeight="1" ht="18.75">
      <c r="A196" s="1" t="s">
        <v>1320</v>
      </c>
      <c r="B196" s="14">
        <v>1.0361111111111112</v>
      </c>
      <c r="C196" s="3">
        <v>0.305</v>
      </c>
      <c r="D196" s="4"/>
      <c r="E196" s="5">
        <f>TEXT(A196,"yyyy/mm/dd") &amp; " " &amp; TEXT(B196,"hh:mm:ss")</f>
      </c>
      <c r="F196" s="5"/>
      <c r="G196" s="5"/>
      <c r="H196" s="5"/>
      <c r="I196" s="14">
        <v>1.7444444444444445</v>
      </c>
      <c r="J196" s="14">
        <v>1.0361111111111112</v>
      </c>
      <c r="K196" s="14">
        <v>1.661111111111111</v>
      </c>
      <c r="L196" s="14">
        <v>1.0263888888888888</v>
      </c>
      <c r="M196" s="14">
        <v>1.0145833333333334</v>
      </c>
      <c r="N196" s="14">
        <v>1.7152777777777777</v>
      </c>
      <c r="O196" s="14">
        <v>1.2430555555555556</v>
      </c>
      <c r="P196" s="14">
        <v>1.4805555555555556</v>
      </c>
      <c r="Q196" s="14">
        <v>1.0013888888888889</v>
      </c>
      <c r="R196" s="4" t="s">
        <v>1325</v>
      </c>
      <c r="S196" s="20" t="s">
        <v>1326</v>
      </c>
      <c r="T196" s="4"/>
      <c r="U196" s="4"/>
      <c r="V196" s="4"/>
      <c r="W196" s="4"/>
      <c r="X196" s="4"/>
      <c r="Y196" s="1"/>
      <c r="Z196" s="1"/>
      <c r="AA196" s="1"/>
      <c r="AB196" s="1"/>
      <c r="AC196" s="14"/>
    </row>
    <row x14ac:dyDescent="0.25" r="197" customHeight="1" ht="18.75">
      <c r="A197" s="1" t="s">
        <v>1320</v>
      </c>
      <c r="B197" s="14">
        <v>1.661111111111111</v>
      </c>
      <c r="C197" s="3">
        <v>0.25</v>
      </c>
      <c r="D197" s="4"/>
      <c r="E197" s="5">
        <f>TEXT(A197,"yyyy/mm/dd") &amp; " " &amp; TEXT(B197,"hh:mm:ss")</f>
      </c>
      <c r="F197" s="5"/>
      <c r="G197" s="5"/>
      <c r="H197" s="5"/>
      <c r="I197" s="39">
        <v>0.344</v>
      </c>
      <c r="J197" s="3">
        <v>0.305</v>
      </c>
      <c r="K197" s="3">
        <v>0.25</v>
      </c>
      <c r="L197" s="3">
        <v>0.209</v>
      </c>
      <c r="M197" s="3">
        <v>0.158</v>
      </c>
      <c r="N197" s="3">
        <v>0.138</v>
      </c>
      <c r="O197" s="3">
        <v>0.008</v>
      </c>
      <c r="P197" s="3">
        <v>0.076</v>
      </c>
      <c r="Q197" s="3">
        <v>0.084</v>
      </c>
      <c r="R197" s="14">
        <v>1.0041666666666667</v>
      </c>
      <c r="S197" s="24">
        <v>1.0020833333333334</v>
      </c>
      <c r="T197" s="4"/>
      <c r="U197" s="4"/>
      <c r="V197" s="4"/>
      <c r="W197" s="4"/>
      <c r="X197" s="4"/>
      <c r="Y197" s="1"/>
      <c r="Z197" s="1"/>
      <c r="AA197" s="1"/>
      <c r="AB197" s="1"/>
      <c r="AC197" s="14"/>
    </row>
    <row x14ac:dyDescent="0.25" r="198" customHeight="1" ht="18.75">
      <c r="A198" s="1" t="s">
        <v>1321</v>
      </c>
      <c r="B198" s="14">
        <v>1.0263888888888888</v>
      </c>
      <c r="C198" s="3">
        <v>0.209</v>
      </c>
      <c r="D198" s="4"/>
      <c r="E198" s="5">
        <f>TEXT(A198,"yyyy/mm/dd") &amp; " " &amp; TEXT(B198,"hh:mm:ss")</f>
      </c>
      <c r="F198" s="5"/>
      <c r="G198" s="5"/>
      <c r="H198" s="5"/>
      <c r="I198" s="5"/>
      <c r="J198" s="4"/>
      <c r="K198" s="4"/>
      <c r="L198" s="4"/>
      <c r="M198" s="4"/>
      <c r="N198" s="4"/>
      <c r="O198" s="4"/>
      <c r="P198" s="4"/>
      <c r="Q198" s="4"/>
      <c r="R198" s="3">
        <v>0.074</v>
      </c>
      <c r="S198" s="13">
        <v>0.079</v>
      </c>
      <c r="T198" s="4"/>
      <c r="U198" s="4"/>
      <c r="V198" s="4"/>
      <c r="W198" s="4"/>
      <c r="X198" s="4"/>
      <c r="Y198" s="1"/>
      <c r="Z198" s="1"/>
      <c r="AA198" s="1"/>
      <c r="AB198" s="1"/>
      <c r="AC198" s="14"/>
    </row>
    <row x14ac:dyDescent="0.25" r="199" customHeight="1" ht="18.75">
      <c r="A199" s="1" t="s">
        <v>1322</v>
      </c>
      <c r="B199" s="14">
        <v>1.0145833333333334</v>
      </c>
      <c r="C199" s="3">
        <v>0.158</v>
      </c>
      <c r="D199" s="4"/>
      <c r="E199" s="5">
        <f>TEXT(A199,"yyyy/mm/dd") &amp; " " &amp; TEXT(B199,"hh:mm:ss")</f>
      </c>
      <c r="F199" s="5"/>
      <c r="G199" s="5"/>
      <c r="H199" s="5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1"/>
      <c r="Z199" s="1"/>
      <c r="AA199" s="1"/>
      <c r="AB199" s="1"/>
      <c r="AC199" s="14"/>
    </row>
    <row x14ac:dyDescent="0.25" r="200" customHeight="1" ht="18.75">
      <c r="A200" s="1" t="s">
        <v>1322</v>
      </c>
      <c r="B200" s="14">
        <v>1.7152777777777777</v>
      </c>
      <c r="C200" s="3">
        <v>0.138</v>
      </c>
      <c r="D200" s="4"/>
      <c r="E200" s="5">
        <f>TEXT(A200,"yyyy/mm/dd") &amp; " " &amp; TEXT(B200,"hh:mm:ss")</f>
      </c>
      <c r="F200" s="5"/>
      <c r="G200" s="5"/>
      <c r="H200" s="5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1"/>
      <c r="Z200" s="1"/>
      <c r="AA200" s="1"/>
      <c r="AB200" s="1"/>
      <c r="AC200" s="14"/>
    </row>
    <row x14ac:dyDescent="0.25" r="201" customHeight="1" ht="18.75">
      <c r="A201" s="1" t="s">
        <v>1323</v>
      </c>
      <c r="B201" s="14">
        <v>1.2430555555555556</v>
      </c>
      <c r="C201" s="3">
        <v>0.008</v>
      </c>
      <c r="D201" s="4"/>
      <c r="E201" s="5">
        <f>TEXT(A201,"yyyy/mm/dd") &amp; " " &amp; TEXT(B201,"hh:mm:ss")</f>
      </c>
      <c r="F201" s="5"/>
      <c r="G201" s="5"/>
      <c r="H201" s="5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1"/>
      <c r="Z201" s="1"/>
      <c r="AA201" s="1"/>
      <c r="AB201" s="1"/>
      <c r="AC201" s="14"/>
    </row>
    <row x14ac:dyDescent="0.25" r="202" customHeight="1" ht="18.75">
      <c r="A202" s="1" t="s">
        <v>1323</v>
      </c>
      <c r="B202" s="14">
        <v>1.4805555555555556</v>
      </c>
      <c r="C202" s="3">
        <v>0.076</v>
      </c>
      <c r="D202" s="4"/>
      <c r="E202" s="5">
        <f>TEXT(A202,"yyyy/mm/dd") &amp; " " &amp; TEXT(B202,"hh:mm:ss")</f>
      </c>
      <c r="F202" s="5"/>
      <c r="G202" s="5"/>
      <c r="H202" s="5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1"/>
      <c r="Z202" s="1"/>
      <c r="AA202" s="1"/>
      <c r="AB202" s="1"/>
      <c r="AC202" s="14"/>
    </row>
    <row x14ac:dyDescent="0.25" r="203" customHeight="1" ht="18.75">
      <c r="A203" s="1" t="s">
        <v>1324</v>
      </c>
      <c r="B203" s="14">
        <v>1.0013888888888889</v>
      </c>
      <c r="C203" s="3">
        <v>0.084</v>
      </c>
      <c r="D203" s="4"/>
      <c r="E203" s="5">
        <f>TEXT(A203,"yyyy/mm/dd") &amp; " " &amp; TEXT(B203,"hh:mm:ss")</f>
      </c>
      <c r="F203" s="5"/>
      <c r="G203" s="5"/>
      <c r="H203" s="5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1"/>
      <c r="Z203" s="1"/>
      <c r="AA203" s="1"/>
      <c r="AB203" s="1"/>
      <c r="AC203" s="14"/>
    </row>
    <row x14ac:dyDescent="0.25" r="204" customHeight="1" ht="18.75">
      <c r="A204" s="1" t="s">
        <v>1325</v>
      </c>
      <c r="B204" s="14">
        <v>1.0041666666666667</v>
      </c>
      <c r="C204" s="3">
        <v>0.074</v>
      </c>
      <c r="D204" s="4"/>
      <c r="E204" s="5">
        <f>TEXT(A204,"yyyy/mm/dd") &amp; " " &amp; TEXT(B204,"hh:mm:ss")</f>
      </c>
      <c r="F204" s="5"/>
      <c r="G204" s="5"/>
      <c r="H204" s="5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1"/>
      <c r="Z204" s="1"/>
      <c r="AA204" s="1"/>
      <c r="AB204" s="1"/>
      <c r="AC204" s="14"/>
    </row>
    <row x14ac:dyDescent="0.25" r="205" customHeight="1" ht="18.75">
      <c r="A205" s="40" t="s">
        <v>1326</v>
      </c>
      <c r="B205" s="41">
        <v>1.0020833333333334</v>
      </c>
      <c r="C205" s="42">
        <v>0.079</v>
      </c>
      <c r="D205" s="4"/>
      <c r="E205" s="43">
        <f>TEXT(A205,"yyyy/mm/dd") &amp; " " &amp; TEXT(B205,"hh:mm:ss")</f>
      </c>
      <c r="F205" s="5"/>
      <c r="G205" s="5"/>
      <c r="H205" s="5"/>
      <c r="I205" s="5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1"/>
      <c r="Z205" s="1"/>
      <c r="AA205" s="1"/>
      <c r="AB205" s="40"/>
      <c r="AC205" s="41"/>
    </row>
    <row x14ac:dyDescent="0.25" r="206" customHeight="1" ht="18.75">
      <c r="A206" s="1" t="s">
        <v>856</v>
      </c>
      <c r="B206" s="14">
        <v>1.6715277777777777</v>
      </c>
      <c r="C206" s="3">
        <v>0.13</v>
      </c>
      <c r="D206" s="4"/>
      <c r="E206" s="5">
        <f>TEXT(A206,"yyyy/mm/dd") &amp; " " &amp; TEXT(B206,"hh:mm:ss")</f>
      </c>
      <c r="F206" s="5"/>
      <c r="G206" s="5"/>
      <c r="H206" s="5"/>
      <c r="I206" s="5" t="s">
        <v>856</v>
      </c>
      <c r="J206" s="4" t="s">
        <v>856</v>
      </c>
      <c r="K206" s="4" t="s">
        <v>857</v>
      </c>
      <c r="L206" s="4" t="s">
        <v>858</v>
      </c>
      <c r="M206" s="4" t="s">
        <v>859</v>
      </c>
      <c r="N206" s="20" t="s">
        <v>860</v>
      </c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1"/>
      <c r="Z206" s="1"/>
      <c r="AA206" s="1"/>
      <c r="AB206" s="1"/>
      <c r="AC206" s="25"/>
    </row>
    <row x14ac:dyDescent="0.25" r="207" customHeight="1" ht="18.75">
      <c r="A207" s="1" t="s">
        <v>856</v>
      </c>
      <c r="B207" s="25">
        <v>1.9118055555555555</v>
      </c>
      <c r="C207" s="3">
        <v>0.217</v>
      </c>
      <c r="D207" s="4"/>
      <c r="E207" s="5">
        <f>TEXT(A207,"yyyy/mm/dd") &amp; " " &amp; TEXT(B207,"hh:mm:ss")</f>
      </c>
      <c r="F207" s="5"/>
      <c r="G207" s="5"/>
      <c r="H207" s="5"/>
      <c r="I207" s="14">
        <v>1.6715277777777777</v>
      </c>
      <c r="J207" s="25">
        <v>1.9118055555555555</v>
      </c>
      <c r="K207" s="14">
        <v>1.01875</v>
      </c>
      <c r="L207" s="14">
        <v>1.0048611111111112</v>
      </c>
      <c r="M207" s="25">
        <v>1.25</v>
      </c>
      <c r="N207" s="24">
        <v>1.0020833333333334</v>
      </c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1"/>
      <c r="Z207" s="1"/>
      <c r="AA207" s="1"/>
      <c r="AB207" s="1"/>
      <c r="AC207" s="14"/>
    </row>
    <row x14ac:dyDescent="0.25" r="208" customHeight="1" ht="18.75">
      <c r="A208" s="1" t="s">
        <v>857</v>
      </c>
      <c r="B208" s="14">
        <v>1.01875</v>
      </c>
      <c r="C208" s="3">
        <v>0.147</v>
      </c>
      <c r="D208" s="4"/>
      <c r="E208" s="5">
        <f>TEXT(A208,"yyyy/mm/dd") &amp; " " &amp; TEXT(B208,"hh:mm:ss")</f>
      </c>
      <c r="F208" s="5"/>
      <c r="G208" s="5"/>
      <c r="H208" s="5"/>
      <c r="I208" s="39">
        <v>0.13</v>
      </c>
      <c r="J208" s="3">
        <v>0.217</v>
      </c>
      <c r="K208" s="3">
        <v>0.147</v>
      </c>
      <c r="L208" s="3">
        <v>0.1</v>
      </c>
      <c r="M208" s="3">
        <v>0.095</v>
      </c>
      <c r="N208" s="13">
        <v>0.076</v>
      </c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1"/>
      <c r="Z208" s="1"/>
      <c r="AA208" s="1"/>
      <c r="AB208" s="1"/>
      <c r="AC208" s="14"/>
    </row>
    <row x14ac:dyDescent="0.25" r="209" customHeight="1" ht="18.75">
      <c r="A209" s="1" t="s">
        <v>858</v>
      </c>
      <c r="B209" s="14">
        <v>1.0048611111111112</v>
      </c>
      <c r="C209" s="3">
        <v>0.1</v>
      </c>
      <c r="D209" s="4"/>
      <c r="E209" s="5">
        <f>TEXT(A209,"yyyy/mm/dd") &amp; " " &amp; TEXT(B209,"hh:mm:ss")</f>
      </c>
      <c r="F209" s="5"/>
      <c r="G209" s="5"/>
      <c r="H209" s="5"/>
      <c r="I209" s="5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1"/>
      <c r="Z209" s="1"/>
      <c r="AA209" s="1"/>
      <c r="AB209" s="1"/>
      <c r="AC209" s="25"/>
    </row>
    <row x14ac:dyDescent="0.25" r="210" customHeight="1" ht="18.75">
      <c r="A210" s="1" t="s">
        <v>859</v>
      </c>
      <c r="B210" s="25">
        <v>1.25</v>
      </c>
      <c r="C210" s="3">
        <v>0.095</v>
      </c>
      <c r="D210" s="4"/>
      <c r="E210" s="5">
        <f>TEXT(A210,"yyyy/mm/dd") &amp; " " &amp; TEXT(B210,"hh:mm:ss")</f>
      </c>
      <c r="F210" s="5"/>
      <c r="G210" s="5"/>
      <c r="H210" s="5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1"/>
      <c r="Z210" s="1"/>
      <c r="AA210" s="1"/>
      <c r="AB210" s="1"/>
      <c r="AC210" s="14"/>
    </row>
    <row x14ac:dyDescent="0.25" r="211" customHeight="1" ht="18.75">
      <c r="A211" s="40" t="s">
        <v>860</v>
      </c>
      <c r="B211" s="41">
        <v>1.0020833333333334</v>
      </c>
      <c r="C211" s="42">
        <v>0.076</v>
      </c>
      <c r="D211" s="4"/>
      <c r="E211" s="43">
        <f>TEXT(A211,"yyyy/mm/dd") &amp; " " &amp; TEXT(B211,"hh:mm:ss")</f>
      </c>
      <c r="F211" s="5"/>
      <c r="G211" s="5"/>
      <c r="H211" s="5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1"/>
      <c r="Z211" s="1"/>
      <c r="AA211" s="1"/>
      <c r="AB211" s="40"/>
      <c r="AC211" s="41"/>
    </row>
    <row x14ac:dyDescent="0.25" r="212" customHeight="1" ht="18.75">
      <c r="A212" s="1" t="s">
        <v>761</v>
      </c>
      <c r="B212" s="14">
        <v>1.5006944444444446</v>
      </c>
      <c r="C212" s="3">
        <v>0.003</v>
      </c>
      <c r="D212" s="4"/>
      <c r="E212" s="5">
        <f>TEXT(A212,"yyyy/mm/dd") &amp; " " &amp; TEXT(B212,"hh:mm:ss")</f>
      </c>
      <c r="F212" s="5"/>
      <c r="G212" s="5"/>
      <c r="H212" s="5"/>
      <c r="I212" s="5" t="s">
        <v>761</v>
      </c>
      <c r="J212" s="4" t="s">
        <v>761</v>
      </c>
      <c r="K212" s="4" t="s">
        <v>762</v>
      </c>
      <c r="L212" s="20" t="s">
        <v>763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1"/>
      <c r="Z212" s="1"/>
      <c r="AA212" s="1"/>
      <c r="AB212" s="1"/>
      <c r="AC212" s="14"/>
    </row>
    <row x14ac:dyDescent="0.25" r="213" customHeight="1" ht="18.75">
      <c r="A213" s="1" t="s">
        <v>761</v>
      </c>
      <c r="B213" s="14">
        <v>1.8805555555555555</v>
      </c>
      <c r="C213" s="3">
        <v>0.007</v>
      </c>
      <c r="D213" s="4"/>
      <c r="E213" s="5">
        <f>TEXT(A213,"yyyy/mm/dd") &amp; " " &amp; TEXT(B213,"hh:mm:ss")</f>
      </c>
      <c r="F213" s="5"/>
      <c r="G213" s="5"/>
      <c r="H213" s="5"/>
      <c r="I213" s="14">
        <v>1.5006944444444446</v>
      </c>
      <c r="J213" s="14">
        <v>1.8805555555555555</v>
      </c>
      <c r="K213" s="14">
        <v>1.0006944444444446</v>
      </c>
      <c r="L213" s="24">
        <v>1.0055555555555555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1"/>
      <c r="Z213" s="1"/>
      <c r="AA213" s="1"/>
      <c r="AB213" s="1"/>
      <c r="AC213" s="14"/>
    </row>
    <row x14ac:dyDescent="0.25" r="214" customHeight="1" ht="18.75">
      <c r="A214" s="1" t="s">
        <v>762</v>
      </c>
      <c r="B214" s="14">
        <v>1.0006944444444446</v>
      </c>
      <c r="C214" s="3">
        <v>0.003</v>
      </c>
      <c r="D214" s="4"/>
      <c r="E214" s="5">
        <f>TEXT(A214,"yyyy/mm/dd") &amp; " " &amp; TEXT(B214,"hh:mm:ss")</f>
      </c>
      <c r="F214" s="5"/>
      <c r="G214" s="5"/>
      <c r="H214" s="5"/>
      <c r="I214" s="39">
        <v>0.003</v>
      </c>
      <c r="J214" s="3">
        <v>0.007</v>
      </c>
      <c r="K214" s="3">
        <v>0.003</v>
      </c>
      <c r="L214" s="13">
        <v>0.003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1"/>
      <c r="Z214" s="1"/>
      <c r="AA214" s="1"/>
      <c r="AB214" s="1"/>
      <c r="AC214" s="14"/>
    </row>
    <row x14ac:dyDescent="0.25" r="215" customHeight="1" ht="18.75">
      <c r="A215" s="40" t="s">
        <v>763</v>
      </c>
      <c r="B215" s="41">
        <v>1.0055555555555555</v>
      </c>
      <c r="C215" s="42">
        <v>0.003</v>
      </c>
      <c r="D215" s="4"/>
      <c r="E215" s="43">
        <f>TEXT(A215,"yyyy/mm/dd") &amp; " " &amp; TEXT(B215,"hh:mm:ss")</f>
      </c>
      <c r="F215" s="5"/>
      <c r="G215" s="5"/>
      <c r="H215" s="5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1"/>
      <c r="Z215" s="1"/>
      <c r="AA215" s="1"/>
      <c r="AB215" s="40"/>
      <c r="AC215" s="41"/>
    </row>
    <row x14ac:dyDescent="0.25" r="216" customHeight="1" ht="18.75">
      <c r="A216" s="1" t="s">
        <v>1236</v>
      </c>
      <c r="B216" s="14">
        <v>1.3645833333333333</v>
      </c>
      <c r="C216" s="3">
        <v>0.006</v>
      </c>
      <c r="D216" s="4"/>
      <c r="E216" s="5">
        <f>TEXT(A216,"yyyy/mm/dd") &amp; " " &amp; TEXT(B216,"hh:mm:ss")</f>
      </c>
      <c r="F216" s="5"/>
      <c r="G216" s="5"/>
      <c r="H216" s="5"/>
      <c r="I216" s="5" t="s">
        <v>1236</v>
      </c>
      <c r="J216" s="4" t="s">
        <v>1327</v>
      </c>
      <c r="K216" s="4" t="s">
        <v>1328</v>
      </c>
      <c r="L216" s="4" t="s">
        <v>1329</v>
      </c>
      <c r="M216" s="4" t="s">
        <v>1330</v>
      </c>
      <c r="N216" s="4" t="s">
        <v>1330</v>
      </c>
      <c r="O216" s="4" t="s">
        <v>1331</v>
      </c>
      <c r="P216" s="4" t="s">
        <v>1332</v>
      </c>
      <c r="Q216" s="20" t="s">
        <v>1333</v>
      </c>
      <c r="R216" s="4"/>
      <c r="S216" s="4"/>
      <c r="T216" s="4"/>
      <c r="U216" s="4"/>
      <c r="V216" s="4"/>
      <c r="W216" s="4"/>
      <c r="X216" s="4"/>
      <c r="Y216" s="1"/>
      <c r="Z216" s="1"/>
      <c r="AA216" s="1"/>
      <c r="AB216" s="1"/>
      <c r="AC216" s="14"/>
    </row>
    <row x14ac:dyDescent="0.25" r="217" customHeight="1" ht="18.75">
      <c r="A217" s="1" t="s">
        <v>1327</v>
      </c>
      <c r="B217" s="14">
        <v>1.0034722222222223</v>
      </c>
      <c r="C217" s="5"/>
      <c r="D217" s="4"/>
      <c r="E217" s="5">
        <f>TEXT(A217,"yyyy/mm/dd") &amp; " " &amp; TEXT(B217,"hh:mm:ss")</f>
      </c>
      <c r="F217" s="5"/>
      <c r="G217" s="5"/>
      <c r="H217" s="5"/>
      <c r="I217" s="14">
        <v>1.3645833333333333</v>
      </c>
      <c r="J217" s="14">
        <v>1.0034722222222223</v>
      </c>
      <c r="K217" s="14">
        <v>1.0034722222222223</v>
      </c>
      <c r="L217" s="14">
        <v>1.0159722222222223</v>
      </c>
      <c r="M217" s="14">
        <v>1.0055555555555555</v>
      </c>
      <c r="N217" s="14">
        <v>1.7319444444444443</v>
      </c>
      <c r="O217" s="14">
        <v>1.0041666666666667</v>
      </c>
      <c r="P217" s="14">
        <v>1.0048611111111112</v>
      </c>
      <c r="Q217" s="24">
        <v>1.0013888888888889</v>
      </c>
      <c r="R217" s="4"/>
      <c r="S217" s="4"/>
      <c r="T217" s="4"/>
      <c r="U217" s="4"/>
      <c r="V217" s="4"/>
      <c r="W217" s="4"/>
      <c r="X217" s="4"/>
      <c r="Y217" s="1"/>
      <c r="Z217" s="1"/>
      <c r="AA217" s="1"/>
      <c r="AB217" s="1"/>
      <c r="AC217" s="14"/>
    </row>
    <row x14ac:dyDescent="0.25" r="218" customHeight="1" ht="18.75">
      <c r="A218" s="1" t="s">
        <v>1328</v>
      </c>
      <c r="B218" s="14">
        <v>1.0034722222222223</v>
      </c>
      <c r="C218" s="3">
        <v>0.007</v>
      </c>
      <c r="D218" s="4"/>
      <c r="E218" s="5">
        <f>TEXT(A218,"yyyy/mm/dd") &amp; " " &amp; TEXT(B218,"hh:mm:ss")</f>
      </c>
      <c r="F218" s="5"/>
      <c r="G218" s="5"/>
      <c r="H218" s="5"/>
      <c r="I218" s="39">
        <v>0.006</v>
      </c>
      <c r="J218" s="4"/>
      <c r="K218" s="3">
        <v>0.007</v>
      </c>
      <c r="L218" s="3">
        <v>0.007</v>
      </c>
      <c r="M218" s="3">
        <v>0.008</v>
      </c>
      <c r="N218" s="3">
        <v>0.024</v>
      </c>
      <c r="O218" s="3">
        <v>0.017</v>
      </c>
      <c r="P218" s="3">
        <v>0.013</v>
      </c>
      <c r="Q218" s="13">
        <v>0.013</v>
      </c>
      <c r="R218" s="4"/>
      <c r="S218" s="4"/>
      <c r="T218" s="4"/>
      <c r="U218" s="4"/>
      <c r="V218" s="4"/>
      <c r="W218" s="4"/>
      <c r="X218" s="4"/>
      <c r="Y218" s="1"/>
      <c r="Z218" s="1"/>
      <c r="AA218" s="1"/>
      <c r="AB218" s="1"/>
      <c r="AC218" s="14"/>
    </row>
    <row x14ac:dyDescent="0.25" r="219" customHeight="1" ht="18.75">
      <c r="A219" s="1" t="s">
        <v>1329</v>
      </c>
      <c r="B219" s="14">
        <v>1.0159722222222223</v>
      </c>
      <c r="C219" s="3">
        <v>0.007</v>
      </c>
      <c r="D219" s="4"/>
      <c r="E219" s="5">
        <f>TEXT(A219,"yyyy/mm/dd") &amp; " " &amp; TEXT(B219,"hh:mm:ss")</f>
      </c>
      <c r="F219" s="5"/>
      <c r="G219" s="5"/>
      <c r="H219" s="5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1"/>
      <c r="Z219" s="1"/>
      <c r="AA219" s="1"/>
      <c r="AB219" s="1"/>
      <c r="AC219" s="14"/>
    </row>
    <row x14ac:dyDescent="0.25" r="220" customHeight="1" ht="18.75">
      <c r="A220" s="1" t="s">
        <v>1330</v>
      </c>
      <c r="B220" s="14">
        <v>1.0055555555555555</v>
      </c>
      <c r="C220" s="3">
        <v>0.008</v>
      </c>
      <c r="D220" s="4"/>
      <c r="E220" s="5">
        <f>TEXT(A220,"yyyy/mm/dd") &amp; " " &amp; TEXT(B220,"hh:mm:ss")</f>
      </c>
      <c r="F220" s="5"/>
      <c r="G220" s="5"/>
      <c r="H220" s="5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1"/>
      <c r="Z220" s="1"/>
      <c r="AA220" s="1"/>
      <c r="AB220" s="1"/>
      <c r="AC220" s="14"/>
    </row>
    <row x14ac:dyDescent="0.25" r="221" customHeight="1" ht="18.75">
      <c r="A221" s="1" t="s">
        <v>1330</v>
      </c>
      <c r="B221" s="14">
        <v>1.7319444444444443</v>
      </c>
      <c r="C221" s="3">
        <v>0.024</v>
      </c>
      <c r="D221" s="4"/>
      <c r="E221" s="5">
        <f>TEXT(A221,"yyyy/mm/dd") &amp; " " &amp; TEXT(B221,"hh:mm:ss")</f>
      </c>
      <c r="F221" s="5"/>
      <c r="G221" s="5"/>
      <c r="H221" s="5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1"/>
      <c r="Z221" s="1"/>
      <c r="AA221" s="1"/>
      <c r="AB221" s="1"/>
      <c r="AC221" s="14"/>
    </row>
    <row x14ac:dyDescent="0.25" r="222" customHeight="1" ht="18.75">
      <c r="A222" s="1" t="s">
        <v>1331</v>
      </c>
      <c r="B222" s="14">
        <v>1.0041666666666667</v>
      </c>
      <c r="C222" s="3">
        <v>0.017</v>
      </c>
      <c r="D222" s="4"/>
      <c r="E222" s="5">
        <f>TEXT(A222,"yyyy/mm/dd") &amp; " " &amp; TEXT(B222,"hh:mm:ss")</f>
      </c>
      <c r="F222" s="5"/>
      <c r="G222" s="5"/>
      <c r="H222" s="5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1"/>
      <c r="Z222" s="1"/>
      <c r="AA222" s="1"/>
      <c r="AB222" s="1"/>
      <c r="AC222" s="14"/>
    </row>
    <row x14ac:dyDescent="0.25" r="223" customHeight="1" ht="18.75">
      <c r="A223" s="1" t="s">
        <v>1332</v>
      </c>
      <c r="B223" s="14">
        <v>1.0048611111111112</v>
      </c>
      <c r="C223" s="3">
        <v>0.013</v>
      </c>
      <c r="D223" s="4"/>
      <c r="E223" s="5">
        <f>TEXT(A223,"yyyy/mm/dd") &amp; " " &amp; TEXT(B223,"hh:mm:ss")</f>
      </c>
      <c r="F223" s="5"/>
      <c r="G223" s="5"/>
      <c r="H223" s="5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1"/>
      <c r="Z223" s="1"/>
      <c r="AA223" s="1"/>
      <c r="AB223" s="1"/>
      <c r="AC223" s="14"/>
    </row>
    <row x14ac:dyDescent="0.25" r="224" customHeight="1" ht="18.75">
      <c r="A224" s="40" t="s">
        <v>1333</v>
      </c>
      <c r="B224" s="41">
        <v>1.0013888888888889</v>
      </c>
      <c r="C224" s="42">
        <v>0.013</v>
      </c>
      <c r="D224" s="4"/>
      <c r="E224" s="43">
        <f>TEXT(A224,"yyyy/mm/dd") &amp; " " &amp; TEXT(B224,"hh:mm:ss")</f>
      </c>
      <c r="F224" s="5"/>
      <c r="G224" s="5"/>
      <c r="H224" s="5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1"/>
      <c r="Z224" s="1"/>
      <c r="AA224" s="1"/>
      <c r="AB224" s="40"/>
      <c r="AC224" s="41"/>
    </row>
    <row x14ac:dyDescent="0.25" r="225" customHeight="1" ht="18.75">
      <c r="A225" s="1" t="s">
        <v>1334</v>
      </c>
      <c r="B225" s="14">
        <v>1.18125</v>
      </c>
      <c r="C225" s="3">
        <v>0.27</v>
      </c>
      <c r="D225" s="4"/>
      <c r="E225" s="5">
        <f>TEXT(A225,"yyyy/mm/dd") &amp; " " &amp; TEXT(B225,"hh:mm:ss")</f>
      </c>
      <c r="F225" s="5"/>
      <c r="G225" s="5"/>
      <c r="H225" s="5"/>
      <c r="I225" s="5" t="s">
        <v>1334</v>
      </c>
      <c r="J225" s="4" t="s">
        <v>1334</v>
      </c>
      <c r="K225" s="4" t="s">
        <v>1334</v>
      </c>
      <c r="L225" s="4" t="s">
        <v>1335</v>
      </c>
      <c r="M225" s="4" t="s">
        <v>1336</v>
      </c>
      <c r="N225" s="4" t="s">
        <v>1337</v>
      </c>
      <c r="O225" s="4" t="s">
        <v>1338</v>
      </c>
      <c r="P225" s="4" t="s">
        <v>1339</v>
      </c>
      <c r="Q225" s="4" t="s">
        <v>1340</v>
      </c>
      <c r="R225" s="4"/>
      <c r="S225" s="4"/>
      <c r="T225" s="4"/>
      <c r="U225" s="4"/>
      <c r="V225" s="4"/>
      <c r="W225" s="4"/>
      <c r="X225" s="4"/>
      <c r="Y225" s="1"/>
      <c r="Z225" s="1"/>
      <c r="AA225" s="1"/>
      <c r="AB225" s="1"/>
      <c r="AC225" s="14"/>
    </row>
    <row x14ac:dyDescent="0.25" r="226" customHeight="1" ht="18.75">
      <c r="A226" s="1" t="s">
        <v>1334</v>
      </c>
      <c r="B226" s="14">
        <v>1.1819444444444445</v>
      </c>
      <c r="C226" s="3">
        <v>0.219</v>
      </c>
      <c r="D226" s="4"/>
      <c r="E226" s="5">
        <f>TEXT(A226,"yyyy/mm/dd") &amp; " " &amp; TEXT(B226,"hh:mm:ss")</f>
      </c>
      <c r="F226" s="5"/>
      <c r="G226" s="5"/>
      <c r="H226" s="5"/>
      <c r="I226" s="14">
        <v>1.18125</v>
      </c>
      <c r="J226" s="14">
        <v>1.1819444444444445</v>
      </c>
      <c r="K226" s="14">
        <v>1.6520833333333333</v>
      </c>
      <c r="L226" s="14">
        <v>1.01875</v>
      </c>
      <c r="M226" s="14">
        <v>1.0180555555555555</v>
      </c>
      <c r="N226" s="14">
        <v>1.0083333333333333</v>
      </c>
      <c r="O226" s="14">
        <v>1.0368055555555555</v>
      </c>
      <c r="P226" s="14">
        <v>1.0319444444444446</v>
      </c>
      <c r="Q226" s="14">
        <v>1.0090277777777779</v>
      </c>
      <c r="R226" s="4" t="s">
        <v>1341</v>
      </c>
      <c r="S226" s="4" t="s">
        <v>1342</v>
      </c>
      <c r="T226" s="4" t="s">
        <v>1343</v>
      </c>
      <c r="U226" s="20" t="s">
        <v>1240</v>
      </c>
      <c r="V226" s="4"/>
      <c r="W226" s="4"/>
      <c r="X226" s="4"/>
      <c r="Y226" s="1"/>
      <c r="Z226" s="1"/>
      <c r="AA226" s="1"/>
      <c r="AB226" s="1"/>
      <c r="AC226" s="14"/>
    </row>
    <row x14ac:dyDescent="0.25" r="227" customHeight="1" ht="18.75">
      <c r="A227" s="1" t="s">
        <v>1334</v>
      </c>
      <c r="B227" s="14">
        <v>1.6520833333333333</v>
      </c>
      <c r="C227" s="3">
        <v>0.093</v>
      </c>
      <c r="D227" s="4"/>
      <c r="E227" s="5">
        <f>TEXT(A227,"yyyy/mm/dd") &amp; " " &amp; TEXT(B227,"hh:mm:ss")</f>
      </c>
      <c r="F227" s="5"/>
      <c r="G227" s="5"/>
      <c r="H227" s="5"/>
      <c r="I227" s="39">
        <v>0.27</v>
      </c>
      <c r="J227" s="3">
        <v>0.219</v>
      </c>
      <c r="K227" s="3">
        <v>0.093</v>
      </c>
      <c r="L227" s="3">
        <v>0.064</v>
      </c>
      <c r="M227" s="3">
        <v>0.053</v>
      </c>
      <c r="N227" s="3">
        <v>0.036</v>
      </c>
      <c r="O227" s="3">
        <v>0.02</v>
      </c>
      <c r="P227" s="3">
        <v>0.013</v>
      </c>
      <c r="Q227" s="3">
        <v>0.01</v>
      </c>
      <c r="R227" s="14">
        <v>1.0013888888888889</v>
      </c>
      <c r="S227" s="14">
        <v>1.0041666666666667</v>
      </c>
      <c r="T227" s="14">
        <v>1.0097222222222222</v>
      </c>
      <c r="U227" s="24">
        <v>1.0618055555555554</v>
      </c>
      <c r="V227" s="4"/>
      <c r="W227" s="4"/>
      <c r="X227" s="4"/>
      <c r="Y227" s="1"/>
      <c r="Z227" s="1"/>
      <c r="AA227" s="1"/>
      <c r="AB227" s="1"/>
      <c r="AC227" s="14"/>
    </row>
    <row x14ac:dyDescent="0.25" r="228" customHeight="1" ht="18.75">
      <c r="A228" s="1" t="s">
        <v>1335</v>
      </c>
      <c r="B228" s="14">
        <v>1.01875</v>
      </c>
      <c r="C228" s="3">
        <v>0.064</v>
      </c>
      <c r="D228" s="4"/>
      <c r="E228" s="5">
        <f>TEXT(A228,"yyyy/mm/dd") &amp; " " &amp; TEXT(B228,"hh:mm:ss")</f>
      </c>
      <c r="F228" s="5"/>
      <c r="G228" s="5"/>
      <c r="H228" s="5"/>
      <c r="I228" s="5"/>
      <c r="J228" s="4"/>
      <c r="K228" s="4"/>
      <c r="L228" s="4"/>
      <c r="M228" s="4"/>
      <c r="N228" s="4"/>
      <c r="O228" s="4"/>
      <c r="P228" s="4"/>
      <c r="Q228" s="4"/>
      <c r="R228" s="3">
        <v>0.011</v>
      </c>
      <c r="S228" s="3">
        <v>0.009</v>
      </c>
      <c r="T228" s="4"/>
      <c r="U228" s="13">
        <v>0.011</v>
      </c>
      <c r="V228" s="4"/>
      <c r="W228" s="4"/>
      <c r="X228" s="4"/>
      <c r="Y228" s="1"/>
      <c r="Z228" s="1"/>
      <c r="AA228" s="1"/>
      <c r="AB228" s="1"/>
      <c r="AC228" s="14"/>
    </row>
    <row x14ac:dyDescent="0.25" r="229" customHeight="1" ht="18.75">
      <c r="A229" s="1" t="s">
        <v>1336</v>
      </c>
      <c r="B229" s="14">
        <v>1.0180555555555555</v>
      </c>
      <c r="C229" s="3">
        <v>0.053</v>
      </c>
      <c r="D229" s="4"/>
      <c r="E229" s="5">
        <f>TEXT(A229,"yyyy/mm/dd") &amp; " " &amp; TEXT(B229,"hh:mm:ss")</f>
      </c>
      <c r="F229" s="5"/>
      <c r="G229" s="5"/>
      <c r="H229" s="5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1"/>
      <c r="Z229" s="1"/>
      <c r="AA229" s="1"/>
      <c r="AB229" s="1"/>
      <c r="AC229" s="14"/>
    </row>
    <row x14ac:dyDescent="0.25" r="230" customHeight="1" ht="18.75">
      <c r="A230" s="1" t="s">
        <v>1337</v>
      </c>
      <c r="B230" s="14">
        <v>1.0083333333333333</v>
      </c>
      <c r="C230" s="3">
        <v>0.036</v>
      </c>
      <c r="D230" s="4"/>
      <c r="E230" s="5">
        <f>TEXT(A230,"yyyy/mm/dd") &amp; " " &amp; TEXT(B230,"hh:mm:ss")</f>
      </c>
      <c r="F230" s="5"/>
      <c r="G230" s="5"/>
      <c r="H230" s="5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1"/>
      <c r="Z230" s="1"/>
      <c r="AA230" s="1"/>
      <c r="AB230" s="1"/>
      <c r="AC230" s="14"/>
    </row>
    <row x14ac:dyDescent="0.25" r="231" customHeight="1" ht="18.75">
      <c r="A231" s="1" t="s">
        <v>1338</v>
      </c>
      <c r="B231" s="14">
        <v>1.0368055555555555</v>
      </c>
      <c r="C231" s="3">
        <v>0.02</v>
      </c>
      <c r="D231" s="4"/>
      <c r="E231" s="5">
        <f>TEXT(A231,"yyyy/mm/dd") &amp; " " &amp; TEXT(B231,"hh:mm:ss")</f>
      </c>
      <c r="F231" s="5"/>
      <c r="G231" s="5"/>
      <c r="H231" s="5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1"/>
      <c r="Z231" s="1"/>
      <c r="AA231" s="1"/>
      <c r="AB231" s="1"/>
      <c r="AC231" s="14"/>
    </row>
    <row x14ac:dyDescent="0.25" r="232" customHeight="1" ht="18.75">
      <c r="A232" s="1" t="s">
        <v>1339</v>
      </c>
      <c r="B232" s="14">
        <v>1.0319444444444446</v>
      </c>
      <c r="C232" s="3">
        <v>0.013</v>
      </c>
      <c r="D232" s="4"/>
      <c r="E232" s="5">
        <f>TEXT(A232,"yyyy/mm/dd") &amp; " " &amp; TEXT(B232,"hh:mm:ss")</f>
      </c>
      <c r="F232" s="5"/>
      <c r="G232" s="5"/>
      <c r="H232" s="5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1"/>
      <c r="Z232" s="1"/>
      <c r="AA232" s="1"/>
      <c r="AB232" s="1"/>
      <c r="AC232" s="14"/>
    </row>
    <row x14ac:dyDescent="0.25" r="233" customHeight="1" ht="18.75">
      <c r="A233" s="1" t="s">
        <v>1340</v>
      </c>
      <c r="B233" s="14">
        <v>1.0090277777777779</v>
      </c>
      <c r="C233" s="3">
        <v>0.01</v>
      </c>
      <c r="D233" s="4"/>
      <c r="E233" s="5">
        <f>TEXT(A233,"yyyy/mm/dd") &amp; " " &amp; TEXT(B233,"hh:mm:ss")</f>
      </c>
      <c r="F233" s="5"/>
      <c r="G233" s="5"/>
      <c r="H233" s="5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1"/>
      <c r="Z233" s="1"/>
      <c r="AA233" s="1"/>
      <c r="AB233" s="1"/>
      <c r="AC233" s="14"/>
    </row>
    <row x14ac:dyDescent="0.25" r="234" customHeight="1" ht="18.75">
      <c r="A234" s="1" t="s">
        <v>1341</v>
      </c>
      <c r="B234" s="14">
        <v>1.0013888888888889</v>
      </c>
      <c r="C234" s="3">
        <v>0.011</v>
      </c>
      <c r="D234" s="4"/>
      <c r="E234" s="5">
        <f>TEXT(A234,"yyyy/mm/dd") &amp; " " &amp; TEXT(B234,"hh:mm:ss")</f>
      </c>
      <c r="F234" s="5"/>
      <c r="G234" s="5"/>
      <c r="H234" s="5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1"/>
      <c r="Z234" s="1"/>
      <c r="AA234" s="1"/>
      <c r="AB234" s="1"/>
      <c r="AC234" s="14"/>
    </row>
    <row x14ac:dyDescent="0.25" r="235" customHeight="1" ht="18.75">
      <c r="A235" s="1" t="s">
        <v>1342</v>
      </c>
      <c r="B235" s="14">
        <v>1.0041666666666667</v>
      </c>
      <c r="C235" s="3">
        <v>0.009</v>
      </c>
      <c r="D235" s="4"/>
      <c r="E235" s="5">
        <f>TEXT(A235,"yyyy/mm/dd") &amp; " " &amp; TEXT(B235,"hh:mm:ss")</f>
      </c>
      <c r="F235" s="5"/>
      <c r="G235" s="5"/>
      <c r="H235" s="5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1"/>
      <c r="Z235" s="1"/>
      <c r="AA235" s="1"/>
      <c r="AB235" s="1"/>
      <c r="AC235" s="14"/>
    </row>
    <row x14ac:dyDescent="0.25" r="236" customHeight="1" ht="18.75">
      <c r="A236" s="1" t="s">
        <v>1343</v>
      </c>
      <c r="B236" s="14">
        <v>1.0097222222222222</v>
      </c>
      <c r="C236" s="5"/>
      <c r="D236" s="4"/>
      <c r="E236" s="5">
        <f>TEXT(A236,"yyyy/mm/dd") &amp; " " &amp; TEXT(B236,"hh:mm:ss")</f>
      </c>
      <c r="F236" s="5"/>
      <c r="G236" s="5"/>
      <c r="H236" s="5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1"/>
      <c r="Z236" s="1"/>
      <c r="AA236" s="1"/>
      <c r="AB236" s="1"/>
      <c r="AC236" s="14"/>
    </row>
    <row x14ac:dyDescent="0.25" r="237" customHeight="1" ht="18.75">
      <c r="A237" s="40" t="s">
        <v>1240</v>
      </c>
      <c r="B237" s="41">
        <v>1.0618055555555554</v>
      </c>
      <c r="C237" s="42">
        <v>0.011</v>
      </c>
      <c r="D237" s="4"/>
      <c r="E237" s="43">
        <f>TEXT(A237,"yyyy/mm/dd") &amp; " " &amp; TEXT(B237,"hh:mm:ss")</f>
      </c>
      <c r="F237" s="5"/>
      <c r="G237" s="5"/>
      <c r="H237" s="5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1"/>
      <c r="Z237" s="1"/>
      <c r="AA237" s="1"/>
      <c r="AB237" s="40"/>
      <c r="AC237" s="41"/>
    </row>
    <row x14ac:dyDescent="0.25" r="238" customHeight="1" ht="18.75">
      <c r="A238" s="1" t="s">
        <v>1344</v>
      </c>
      <c r="B238" s="14">
        <v>1.4625</v>
      </c>
      <c r="C238" s="3">
        <v>1.38</v>
      </c>
      <c r="D238" s="4"/>
      <c r="E238" s="5">
        <f>TEXT(A238,"yyyy/mm/dd") &amp; " " &amp; TEXT(B238,"hh:mm:ss")</f>
      </c>
      <c r="F238" s="5"/>
      <c r="G238" s="5"/>
      <c r="H238" s="5"/>
      <c r="I238" s="5" t="s">
        <v>1344</v>
      </c>
      <c r="J238" s="4" t="s">
        <v>1344</v>
      </c>
      <c r="K238" s="4" t="s">
        <v>1319</v>
      </c>
      <c r="L238" s="4" t="s">
        <v>1320</v>
      </c>
      <c r="M238" s="20" t="s">
        <v>1321</v>
      </c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1"/>
      <c r="Z238" s="1"/>
      <c r="AA238" s="1"/>
      <c r="AB238" s="1"/>
      <c r="AC238" s="14"/>
    </row>
    <row x14ac:dyDescent="0.25" r="239" customHeight="1" ht="18.75">
      <c r="A239" s="1" t="s">
        <v>1344</v>
      </c>
      <c r="B239" s="14">
        <v>1.7145833333333333</v>
      </c>
      <c r="C239" s="3">
        <v>1.65</v>
      </c>
      <c r="D239" s="4"/>
      <c r="E239" s="5">
        <f>TEXT(A239,"yyyy/mm/dd") &amp; " " &amp; TEXT(B239,"hh:mm:ss")</f>
      </c>
      <c r="F239" s="5"/>
      <c r="G239" s="5"/>
      <c r="H239" s="5"/>
      <c r="I239" s="14">
        <v>1.4625</v>
      </c>
      <c r="J239" s="14">
        <v>1.7145833333333333</v>
      </c>
      <c r="K239" s="14">
        <v>1.011111111111111</v>
      </c>
      <c r="L239" s="14">
        <v>1.0361111111111112</v>
      </c>
      <c r="M239" s="24">
        <v>1.0027777777777778</v>
      </c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1"/>
      <c r="Z239" s="1"/>
      <c r="AA239" s="1"/>
      <c r="AB239" s="1"/>
      <c r="AC239" s="14"/>
    </row>
    <row x14ac:dyDescent="0.25" r="240" customHeight="1" ht="18.75">
      <c r="A240" s="1" t="s">
        <v>1319</v>
      </c>
      <c r="B240" s="14">
        <v>1.011111111111111</v>
      </c>
      <c r="C240" s="3">
        <v>1.53</v>
      </c>
      <c r="D240" s="4"/>
      <c r="E240" s="5">
        <f>TEXT(A240,"yyyy/mm/dd") &amp; " " &amp; TEXT(B240,"hh:mm:ss")</f>
      </c>
      <c r="F240" s="5"/>
      <c r="G240" s="5"/>
      <c r="H240" s="5"/>
      <c r="I240" s="39">
        <v>1.38</v>
      </c>
      <c r="J240" s="3">
        <v>1.65</v>
      </c>
      <c r="K240" s="3">
        <v>1.53</v>
      </c>
      <c r="L240" s="3">
        <v>1.66</v>
      </c>
      <c r="M240" s="13">
        <v>1.65</v>
      </c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1"/>
      <c r="Z240" s="1"/>
      <c r="AA240" s="1"/>
      <c r="AB240" s="1"/>
      <c r="AC240" s="14"/>
    </row>
    <row x14ac:dyDescent="0.25" r="241" customHeight="1" ht="18.75">
      <c r="A241" s="1" t="s">
        <v>1320</v>
      </c>
      <c r="B241" s="14">
        <v>1.0361111111111112</v>
      </c>
      <c r="C241" s="3">
        <v>1.66</v>
      </c>
      <c r="D241" s="4"/>
      <c r="E241" s="5">
        <f>TEXT(A241,"yyyy/mm/dd") &amp; " " &amp; TEXT(B241,"hh:mm:ss")</f>
      </c>
      <c r="F241" s="5"/>
      <c r="G241" s="5"/>
      <c r="H241" s="5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1"/>
      <c r="Z241" s="1"/>
      <c r="AA241" s="1"/>
      <c r="AB241" s="1"/>
      <c r="AC241" s="14"/>
    </row>
    <row x14ac:dyDescent="0.25" r="242" customHeight="1" ht="18.75">
      <c r="A242" s="40" t="s">
        <v>1321</v>
      </c>
      <c r="B242" s="41">
        <v>1.0027777777777778</v>
      </c>
      <c r="C242" s="42">
        <v>1.65</v>
      </c>
      <c r="D242" s="4"/>
      <c r="E242" s="43">
        <f>TEXT(A242,"yyyy/mm/dd") &amp; " " &amp; TEXT(B242,"hh:mm:ss")</f>
      </c>
      <c r="F242" s="5"/>
      <c r="G242" s="5"/>
      <c r="H242" s="5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1"/>
      <c r="Z242" s="1"/>
      <c r="AA242" s="1"/>
      <c r="AB242" s="40"/>
      <c r="AC242" s="41"/>
    </row>
    <row x14ac:dyDescent="0.25" r="243" customHeight="1" ht="18.75">
      <c r="A243" s="1" t="s">
        <v>1239</v>
      </c>
      <c r="B243" s="14">
        <v>1.2958333333333334</v>
      </c>
      <c r="C243" s="3">
        <v>0.009</v>
      </c>
      <c r="D243" s="4"/>
      <c r="E243" s="5">
        <f>TEXT(A243,"yyyy/mm/dd") &amp; " " &amp; TEXT(B243,"hh:mm:ss")</f>
      </c>
      <c r="F243" s="5"/>
      <c r="G243" s="5"/>
      <c r="H243" s="5"/>
      <c r="I243" s="5" t="s">
        <v>1239</v>
      </c>
      <c r="J243" s="4" t="s">
        <v>1239</v>
      </c>
      <c r="K243" s="4" t="s">
        <v>1239</v>
      </c>
      <c r="L243" s="4" t="s">
        <v>1312</v>
      </c>
      <c r="M243" s="4" t="s">
        <v>1345</v>
      </c>
      <c r="N243" s="4" t="s">
        <v>1346</v>
      </c>
      <c r="O243" s="4" t="s">
        <v>1347</v>
      </c>
      <c r="P243" s="4" t="s">
        <v>1348</v>
      </c>
      <c r="Q243" s="4" t="s">
        <v>1349</v>
      </c>
      <c r="R243" s="4"/>
      <c r="S243" s="4"/>
      <c r="T243" s="4"/>
      <c r="U243" s="4"/>
      <c r="V243" s="4"/>
      <c r="W243" s="4"/>
      <c r="X243" s="4"/>
      <c r="Y243" s="1"/>
      <c r="Z243" s="1"/>
      <c r="AA243" s="1"/>
      <c r="AB243" s="1"/>
      <c r="AC243" s="14"/>
    </row>
    <row x14ac:dyDescent="0.25" r="244" customHeight="1" ht="18.75">
      <c r="A244" s="1" t="s">
        <v>1239</v>
      </c>
      <c r="B244" s="14">
        <v>1.2972222222222223</v>
      </c>
      <c r="C244" s="3">
        <v>0.008</v>
      </c>
      <c r="D244" s="4"/>
      <c r="E244" s="5">
        <f>TEXT(A244,"yyyy/mm/dd") &amp; " " &amp; TEXT(B244,"hh:mm:ss")</f>
      </c>
      <c r="F244" s="5"/>
      <c r="G244" s="5"/>
      <c r="H244" s="5"/>
      <c r="I244" s="14">
        <v>1.2958333333333334</v>
      </c>
      <c r="J244" s="14">
        <v>1.2972222222222223</v>
      </c>
      <c r="K244" s="14">
        <v>1.738888888888889</v>
      </c>
      <c r="L244" s="14">
        <v>1.00625</v>
      </c>
      <c r="M244" s="14">
        <v>1.0034722222222223</v>
      </c>
      <c r="N244" s="14">
        <v>1.011111111111111</v>
      </c>
      <c r="O244" s="14">
        <v>1.023611111111111</v>
      </c>
      <c r="P244" s="14">
        <v>1.0194444444444444</v>
      </c>
      <c r="Q244" s="14">
        <v>1.0409722222222222</v>
      </c>
      <c r="R244" s="4" t="s">
        <v>1349</v>
      </c>
      <c r="S244" s="4" t="s">
        <v>1350</v>
      </c>
      <c r="T244" s="20" t="s">
        <v>1351</v>
      </c>
      <c r="U244" s="4"/>
      <c r="V244" s="4"/>
      <c r="W244" s="4"/>
      <c r="X244" s="4"/>
      <c r="Y244" s="1"/>
      <c r="Z244" s="1"/>
      <c r="AA244" s="1"/>
      <c r="AB244" s="1"/>
      <c r="AC244" s="14"/>
    </row>
    <row x14ac:dyDescent="0.25" r="245" customHeight="1" ht="18.75">
      <c r="A245" s="1" t="s">
        <v>1239</v>
      </c>
      <c r="B245" s="14">
        <v>1.738888888888889</v>
      </c>
      <c r="C245" s="3">
        <v>0.011</v>
      </c>
      <c r="D245" s="4"/>
      <c r="E245" s="5">
        <f>TEXT(A245,"yyyy/mm/dd") &amp; " " &amp; TEXT(B245,"hh:mm:ss")</f>
      </c>
      <c r="F245" s="5"/>
      <c r="G245" s="5"/>
      <c r="H245" s="5"/>
      <c r="I245" s="39">
        <v>0.009</v>
      </c>
      <c r="J245" s="3">
        <v>0.008</v>
      </c>
      <c r="K245" s="3">
        <v>0.011</v>
      </c>
      <c r="L245" s="3">
        <v>0.021</v>
      </c>
      <c r="M245" s="3">
        <v>0.091</v>
      </c>
      <c r="N245" s="3">
        <v>0.156</v>
      </c>
      <c r="O245" s="3">
        <v>0.108</v>
      </c>
      <c r="P245" s="3">
        <v>0.04</v>
      </c>
      <c r="Q245" s="3">
        <v>0.096</v>
      </c>
      <c r="R245" s="14">
        <v>1.0465277777777777</v>
      </c>
      <c r="S245" s="14">
        <v>1.0034722222222223</v>
      </c>
      <c r="T245" s="24">
        <v>1.0013888888888889</v>
      </c>
      <c r="U245" s="4"/>
      <c r="V245" s="4"/>
      <c r="W245" s="4"/>
      <c r="X245" s="4"/>
      <c r="Y245" s="1"/>
      <c r="Z245" s="1"/>
      <c r="AA245" s="1"/>
      <c r="AB245" s="1"/>
      <c r="AC245" s="14"/>
    </row>
    <row x14ac:dyDescent="0.25" r="246" customHeight="1" ht="18.75">
      <c r="A246" s="1" t="s">
        <v>1312</v>
      </c>
      <c r="B246" s="14">
        <v>1.00625</v>
      </c>
      <c r="C246" s="3">
        <v>0.021</v>
      </c>
      <c r="D246" s="4"/>
      <c r="E246" s="5">
        <f>TEXT(A246,"yyyy/mm/dd") &amp; " " &amp; TEXT(B246,"hh:mm:ss")</f>
      </c>
      <c r="F246" s="5"/>
      <c r="G246" s="5"/>
      <c r="H246" s="5"/>
      <c r="I246" s="5"/>
      <c r="J246" s="4"/>
      <c r="K246" s="4"/>
      <c r="L246" s="4"/>
      <c r="M246" s="4"/>
      <c r="N246" s="4"/>
      <c r="O246" s="4"/>
      <c r="P246" s="4"/>
      <c r="Q246" s="4"/>
      <c r="R246" s="3">
        <v>0.054</v>
      </c>
      <c r="S246" s="3">
        <v>0.086</v>
      </c>
      <c r="T246" s="13">
        <v>0.093</v>
      </c>
      <c r="U246" s="4"/>
      <c r="V246" s="4"/>
      <c r="W246" s="4"/>
      <c r="X246" s="4"/>
      <c r="Y246" s="1"/>
      <c r="Z246" s="1"/>
      <c r="AA246" s="1"/>
      <c r="AB246" s="1"/>
      <c r="AC246" s="14"/>
    </row>
    <row x14ac:dyDescent="0.25" r="247" customHeight="1" ht="18.75">
      <c r="A247" s="1" t="s">
        <v>1345</v>
      </c>
      <c r="B247" s="14">
        <v>1.0034722222222223</v>
      </c>
      <c r="C247" s="3">
        <v>0.091</v>
      </c>
      <c r="D247" s="4"/>
      <c r="E247" s="5">
        <f>TEXT(A247,"yyyy/mm/dd") &amp; " " &amp; TEXT(B247,"hh:mm:ss")</f>
      </c>
      <c r="F247" s="5"/>
      <c r="G247" s="5"/>
      <c r="H247" s="5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1"/>
      <c r="Z247" s="1"/>
      <c r="AA247" s="1"/>
      <c r="AB247" s="1"/>
      <c r="AC247" s="14"/>
    </row>
    <row x14ac:dyDescent="0.25" r="248" customHeight="1" ht="18.75">
      <c r="A248" s="1" t="s">
        <v>1346</v>
      </c>
      <c r="B248" s="14">
        <v>1.011111111111111</v>
      </c>
      <c r="C248" s="3">
        <v>0.156</v>
      </c>
      <c r="D248" s="4"/>
      <c r="E248" s="5">
        <f>TEXT(A248,"yyyy/mm/dd") &amp; " " &amp; TEXT(B248,"hh:mm:ss")</f>
      </c>
      <c r="F248" s="5"/>
      <c r="G248" s="5"/>
      <c r="H248" s="5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1"/>
      <c r="Z248" s="1"/>
      <c r="AA248" s="1"/>
      <c r="AB248" s="1"/>
      <c r="AC248" s="14"/>
    </row>
    <row x14ac:dyDescent="0.25" r="249" customHeight="1" ht="18.75">
      <c r="A249" s="1" t="s">
        <v>1347</v>
      </c>
      <c r="B249" s="14">
        <v>1.023611111111111</v>
      </c>
      <c r="C249" s="3">
        <v>0.108</v>
      </c>
      <c r="D249" s="4"/>
      <c r="E249" s="5">
        <f>TEXT(A249,"yyyy/mm/dd") &amp; " " &amp; TEXT(B249,"hh:mm:ss")</f>
      </c>
      <c r="F249" s="5"/>
      <c r="G249" s="5"/>
      <c r="H249" s="5"/>
      <c r="I249" s="5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1"/>
      <c r="Z249" s="1"/>
      <c r="AA249" s="1"/>
      <c r="AB249" s="1"/>
      <c r="AC249" s="14"/>
    </row>
    <row x14ac:dyDescent="0.25" r="250" customHeight="1" ht="18.75">
      <c r="A250" s="1" t="s">
        <v>1348</v>
      </c>
      <c r="B250" s="14">
        <v>1.0194444444444444</v>
      </c>
      <c r="C250" s="3">
        <v>0.04</v>
      </c>
      <c r="D250" s="4"/>
      <c r="E250" s="5">
        <f>TEXT(A250,"yyyy/mm/dd") &amp; " " &amp; TEXT(B250,"hh:mm:ss")</f>
      </c>
      <c r="F250" s="5"/>
      <c r="G250" s="5"/>
      <c r="H250" s="5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1"/>
      <c r="Z250" s="1"/>
      <c r="AA250" s="1"/>
      <c r="AB250" s="1"/>
      <c r="AC250" s="14"/>
    </row>
    <row x14ac:dyDescent="0.25" r="251" customHeight="1" ht="18.75">
      <c r="A251" s="1" t="s">
        <v>1349</v>
      </c>
      <c r="B251" s="14">
        <v>1.0409722222222222</v>
      </c>
      <c r="C251" s="3">
        <v>0.096</v>
      </c>
      <c r="D251" s="4"/>
      <c r="E251" s="5">
        <f>TEXT(A251,"yyyy/mm/dd") &amp; " " &amp; TEXT(B251,"hh:mm:ss")</f>
      </c>
      <c r="F251" s="5"/>
      <c r="G251" s="5"/>
      <c r="H251" s="5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1"/>
      <c r="Z251" s="1"/>
      <c r="AA251" s="1"/>
      <c r="AB251" s="1"/>
      <c r="AC251" s="14"/>
    </row>
    <row x14ac:dyDescent="0.25" r="252" customHeight="1" ht="18.75">
      <c r="A252" s="1" t="s">
        <v>1349</v>
      </c>
      <c r="B252" s="14">
        <v>1.0465277777777777</v>
      </c>
      <c r="C252" s="3">
        <v>0.054</v>
      </c>
      <c r="D252" s="4"/>
      <c r="E252" s="5">
        <f>TEXT(A252,"yyyy/mm/dd") &amp; " " &amp; TEXT(B252,"hh:mm:ss")</f>
      </c>
      <c r="F252" s="5"/>
      <c r="G252" s="5"/>
      <c r="H252" s="5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1"/>
      <c r="Z252" s="1"/>
      <c r="AA252" s="1"/>
      <c r="AB252" s="1"/>
      <c r="AC252" s="14"/>
    </row>
    <row x14ac:dyDescent="0.25" r="253" customHeight="1" ht="18.75">
      <c r="A253" s="1" t="s">
        <v>1350</v>
      </c>
      <c r="B253" s="14">
        <v>1.0034722222222223</v>
      </c>
      <c r="C253" s="3">
        <v>0.086</v>
      </c>
      <c r="D253" s="4"/>
      <c r="E253" s="5">
        <f>TEXT(A253,"yyyy/mm/dd") &amp; " " &amp; TEXT(B253,"hh:mm:ss")</f>
      </c>
      <c r="F253" s="5"/>
      <c r="G253" s="5"/>
      <c r="H253" s="5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1"/>
      <c r="Z253" s="1"/>
      <c r="AA253" s="1"/>
      <c r="AB253" s="1"/>
      <c r="AC253" s="14"/>
    </row>
    <row x14ac:dyDescent="0.25" r="254" customHeight="1" ht="18.75">
      <c r="A254" s="40" t="s">
        <v>1351</v>
      </c>
      <c r="B254" s="41">
        <v>1.0013888888888889</v>
      </c>
      <c r="C254" s="42">
        <v>0.093</v>
      </c>
      <c r="D254" s="4"/>
      <c r="E254" s="43">
        <f>TEXT(A254,"yyyy/mm/dd") &amp; " " &amp; TEXT(B254,"hh:mm:ss")</f>
      </c>
      <c r="F254" s="5"/>
      <c r="G254" s="5"/>
      <c r="H254" s="5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1"/>
      <c r="Z254" s="1"/>
      <c r="AA254" s="1"/>
      <c r="AB254" s="40"/>
      <c r="AC254" s="41"/>
    </row>
    <row x14ac:dyDescent="0.25" r="255" customHeight="1" ht="18.75">
      <c r="A255" s="1" t="s">
        <v>1240</v>
      </c>
      <c r="B255" s="14">
        <v>1.2659722222222223</v>
      </c>
      <c r="C255" s="3">
        <v>0.207</v>
      </c>
      <c r="D255" s="4"/>
      <c r="E255" s="5">
        <f>TEXT(A255,"yyyy/mm/dd") &amp; " " &amp; TEXT(B255,"hh:mm:ss")</f>
      </c>
      <c r="F255" s="5"/>
      <c r="G255" s="5"/>
      <c r="H255" s="5"/>
      <c r="I255" s="5" t="s">
        <v>1240</v>
      </c>
      <c r="J255" s="4" t="s">
        <v>1240</v>
      </c>
      <c r="K255" s="4" t="s">
        <v>1240</v>
      </c>
      <c r="L255" s="4" t="s">
        <v>1352</v>
      </c>
      <c r="M255" s="4" t="s">
        <v>1353</v>
      </c>
      <c r="N255" s="4" t="s">
        <v>1354</v>
      </c>
      <c r="O255" s="20" t="s">
        <v>1355</v>
      </c>
      <c r="P255" s="4"/>
      <c r="Q255" s="4"/>
      <c r="R255" s="4"/>
      <c r="S255" s="4"/>
      <c r="T255" s="4"/>
      <c r="U255" s="4"/>
      <c r="V255" s="4"/>
      <c r="W255" s="4"/>
      <c r="X255" s="4"/>
      <c r="Y255" s="1"/>
      <c r="Z255" s="1"/>
      <c r="AA255" s="1"/>
      <c r="AB255" s="1"/>
      <c r="AC255" s="14"/>
    </row>
    <row x14ac:dyDescent="0.25" r="256" customHeight="1" ht="18.75">
      <c r="A256" s="1" t="s">
        <v>1240</v>
      </c>
      <c r="B256" s="14">
        <v>1.2666666666666666</v>
      </c>
      <c r="C256" s="3">
        <v>0.206</v>
      </c>
      <c r="D256" s="4"/>
      <c r="E256" s="5">
        <f>TEXT(A256,"yyyy/mm/dd") &amp; " " &amp; TEXT(B256,"hh:mm:ss")</f>
      </c>
      <c r="F256" s="5"/>
      <c r="G256" s="5"/>
      <c r="H256" s="5"/>
      <c r="I256" s="14">
        <v>1.2659722222222223</v>
      </c>
      <c r="J256" s="14">
        <v>1.2666666666666666</v>
      </c>
      <c r="K256" s="14">
        <v>1.6458333333333335</v>
      </c>
      <c r="L256" s="14">
        <v>1.011111111111111</v>
      </c>
      <c r="M256" s="14">
        <v>1.0041666666666667</v>
      </c>
      <c r="N256" s="14">
        <v>1.0444444444444445</v>
      </c>
      <c r="O256" s="24">
        <v>1.0069444444444444</v>
      </c>
      <c r="P256" s="4"/>
      <c r="Q256" s="4"/>
      <c r="R256" s="4"/>
      <c r="S256" s="4"/>
      <c r="T256" s="4"/>
      <c r="U256" s="4"/>
      <c r="V256" s="4"/>
      <c r="W256" s="4"/>
      <c r="X256" s="4"/>
      <c r="Y256" s="1"/>
      <c r="Z256" s="1"/>
      <c r="AA256" s="1"/>
      <c r="AB256" s="1"/>
      <c r="AC256" s="14"/>
    </row>
    <row x14ac:dyDescent="0.25" r="257" customHeight="1" ht="18.75">
      <c r="A257" s="1" t="s">
        <v>1240</v>
      </c>
      <c r="B257" s="14">
        <v>1.6458333333333335</v>
      </c>
      <c r="C257" s="3">
        <v>0.599</v>
      </c>
      <c r="D257" s="4"/>
      <c r="E257" s="5">
        <f>TEXT(A257,"yyyy/mm/dd") &amp; " " &amp; TEXT(B257,"hh:mm:ss")</f>
      </c>
      <c r="F257" s="5"/>
      <c r="G257" s="5"/>
      <c r="H257" s="5"/>
      <c r="I257" s="39">
        <v>0.207</v>
      </c>
      <c r="J257" s="3">
        <v>0.206</v>
      </c>
      <c r="K257" s="3">
        <v>0.599</v>
      </c>
      <c r="L257" s="3">
        <v>0.529</v>
      </c>
      <c r="M257" s="3">
        <v>0.698</v>
      </c>
      <c r="N257" s="3">
        <v>0.632</v>
      </c>
      <c r="O257" s="13">
        <v>0.447</v>
      </c>
      <c r="P257" s="4"/>
      <c r="Q257" s="4"/>
      <c r="R257" s="4"/>
      <c r="S257" s="4"/>
      <c r="T257" s="4"/>
      <c r="U257" s="4"/>
      <c r="V257" s="4"/>
      <c r="W257" s="4"/>
      <c r="X257" s="4"/>
      <c r="Y257" s="1"/>
      <c r="Z257" s="1"/>
      <c r="AA257" s="1"/>
      <c r="AB257" s="1"/>
      <c r="AC257" s="14"/>
    </row>
    <row x14ac:dyDescent="0.25" r="258" customHeight="1" ht="18.75">
      <c r="A258" s="1" t="s">
        <v>1352</v>
      </c>
      <c r="B258" s="14">
        <v>1.011111111111111</v>
      </c>
      <c r="C258" s="3">
        <v>0.529</v>
      </c>
      <c r="D258" s="4"/>
      <c r="E258" s="5">
        <f>TEXT(A258,"yyyy/mm/dd") &amp; " " &amp; TEXT(B258,"hh:mm:ss")</f>
      </c>
      <c r="F258" s="5"/>
      <c r="G258" s="5"/>
      <c r="H258" s="5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1"/>
      <c r="Z258" s="1"/>
      <c r="AA258" s="1"/>
      <c r="AB258" s="1"/>
      <c r="AC258" s="14"/>
    </row>
    <row x14ac:dyDescent="0.25" r="259" customHeight="1" ht="18.75">
      <c r="A259" s="1" t="s">
        <v>1353</v>
      </c>
      <c r="B259" s="14">
        <v>1.0041666666666667</v>
      </c>
      <c r="C259" s="3">
        <v>0.698</v>
      </c>
      <c r="D259" s="4"/>
      <c r="E259" s="5">
        <f>TEXT(A259,"yyyy/mm/dd") &amp; " " &amp; TEXT(B259,"hh:mm:ss")</f>
      </c>
      <c r="F259" s="5"/>
      <c r="G259" s="5"/>
      <c r="H259" s="5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1"/>
      <c r="Z259" s="1"/>
      <c r="AA259" s="1"/>
      <c r="AB259" s="1"/>
      <c r="AC259" s="14"/>
    </row>
    <row x14ac:dyDescent="0.25" r="260" customHeight="1" ht="18.75">
      <c r="A260" s="1" t="s">
        <v>1354</v>
      </c>
      <c r="B260" s="14">
        <v>1.0444444444444445</v>
      </c>
      <c r="C260" s="3">
        <v>0.632</v>
      </c>
      <c r="D260" s="4"/>
      <c r="E260" s="5">
        <f>TEXT(A260,"yyyy/mm/dd") &amp; " " &amp; TEXT(B260,"hh:mm:ss")</f>
      </c>
      <c r="F260" s="5"/>
      <c r="G260" s="5"/>
      <c r="H260" s="5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1"/>
      <c r="Z260" s="1"/>
      <c r="AA260" s="1"/>
      <c r="AB260" s="1"/>
      <c r="AC260" s="14"/>
    </row>
    <row x14ac:dyDescent="0.25" r="261" customHeight="1" ht="18.75">
      <c r="A261" s="40" t="s">
        <v>1355</v>
      </c>
      <c r="B261" s="41">
        <v>1.0069444444444444</v>
      </c>
      <c r="C261" s="42">
        <v>0.447</v>
      </c>
      <c r="D261" s="4"/>
      <c r="E261" s="43">
        <f>TEXT(A261,"yyyy/mm/dd") &amp; " " &amp; TEXT(B261,"hh:mm:ss")</f>
      </c>
      <c r="F261" s="5"/>
      <c r="G261" s="5"/>
      <c r="H261" s="5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1"/>
      <c r="Z261" s="1"/>
      <c r="AA261" s="1"/>
      <c r="AB261" s="40"/>
      <c r="AC261" s="41"/>
    </row>
    <row x14ac:dyDescent="0.25" r="262" customHeight="1" ht="18.75">
      <c r="A262" s="1" t="s">
        <v>1241</v>
      </c>
      <c r="B262" s="14">
        <v>1.7347222222222223</v>
      </c>
      <c r="C262" s="3">
        <v>0.2405</v>
      </c>
      <c r="D262" s="4"/>
      <c r="E262" s="5">
        <f>TEXT(A262,"yyyy/mm/dd") &amp; " " &amp; TEXT(B262,"hh:mm:ss")</f>
      </c>
      <c r="F262" s="5"/>
      <c r="G262" s="5"/>
      <c r="H262" s="5"/>
      <c r="I262" s="5" t="s">
        <v>1241</v>
      </c>
      <c r="J262" s="4" t="s">
        <v>1356</v>
      </c>
      <c r="K262" s="4" t="s">
        <v>1356</v>
      </c>
      <c r="L262" s="4" t="s">
        <v>1357</v>
      </c>
      <c r="M262" s="4" t="s">
        <v>1358</v>
      </c>
      <c r="N262" s="4" t="s">
        <v>1359</v>
      </c>
      <c r="O262" s="20" t="s">
        <v>1360</v>
      </c>
      <c r="P262" s="4"/>
      <c r="Q262" s="4"/>
      <c r="R262" s="4"/>
      <c r="S262" s="4"/>
      <c r="T262" s="4"/>
      <c r="U262" s="4"/>
      <c r="V262" s="4"/>
      <c r="W262" s="4"/>
      <c r="X262" s="4"/>
      <c r="Y262" s="1"/>
      <c r="Z262" s="1"/>
      <c r="AA262" s="1"/>
      <c r="AB262" s="1"/>
      <c r="AC262" s="14"/>
    </row>
    <row x14ac:dyDescent="0.25" r="263" customHeight="1" ht="18.75">
      <c r="A263" s="1" t="s">
        <v>1356</v>
      </c>
      <c r="B263" s="14">
        <v>1.007638888888889</v>
      </c>
      <c r="C263" s="3">
        <v>0.7517999999999999</v>
      </c>
      <c r="D263" s="4"/>
      <c r="E263" s="5">
        <f>TEXT(A263,"yyyy/mm/dd") &amp; " " &amp; TEXT(B263,"hh:mm:ss")</f>
      </c>
      <c r="F263" s="5"/>
      <c r="G263" s="5"/>
      <c r="H263" s="5"/>
      <c r="I263" s="14">
        <v>1.7347222222222223</v>
      </c>
      <c r="J263" s="14">
        <v>1.007638888888889</v>
      </c>
      <c r="K263" s="14">
        <v>1.6194444444444445</v>
      </c>
      <c r="L263" s="14">
        <v>1.0055555555555555</v>
      </c>
      <c r="M263" s="14">
        <v>1.0090277777777779</v>
      </c>
      <c r="N263" s="14">
        <v>1.0027777777777778</v>
      </c>
      <c r="O263" s="24">
        <v>1.0006944444444446</v>
      </c>
      <c r="P263" s="4"/>
      <c r="Q263" s="4"/>
      <c r="R263" s="4"/>
      <c r="S263" s="4"/>
      <c r="T263" s="4"/>
      <c r="U263" s="4"/>
      <c r="V263" s="4"/>
      <c r="W263" s="4"/>
      <c r="X263" s="4"/>
      <c r="Y263" s="1"/>
      <c r="Z263" s="1"/>
      <c r="AA263" s="1"/>
      <c r="AB263" s="1"/>
      <c r="AC263" s="14"/>
    </row>
    <row x14ac:dyDescent="0.25" r="264" customHeight="1" ht="18.75">
      <c r="A264" s="1" t="s">
        <v>1356</v>
      </c>
      <c r="B264" s="14">
        <v>1.6194444444444445</v>
      </c>
      <c r="C264" s="3">
        <v>1.284</v>
      </c>
      <c r="D264" s="4"/>
      <c r="E264" s="5">
        <f>TEXT(A264,"yyyy/mm/dd") &amp; " " &amp; TEXT(B264,"hh:mm:ss")</f>
      </c>
      <c r="F264" s="5"/>
      <c r="G264" s="5"/>
      <c r="H264" s="5"/>
      <c r="I264" s="39">
        <v>0.2405</v>
      </c>
      <c r="J264" s="3">
        <v>0.7517999999999999</v>
      </c>
      <c r="K264" s="3">
        <v>1.284</v>
      </c>
      <c r="L264" s="3">
        <v>0.9282999999999999</v>
      </c>
      <c r="M264" s="3">
        <v>1.018</v>
      </c>
      <c r="N264" s="3">
        <v>0.8002</v>
      </c>
      <c r="O264" s="13">
        <v>0.4987</v>
      </c>
      <c r="P264" s="4"/>
      <c r="Q264" s="4"/>
      <c r="R264" s="4"/>
      <c r="S264" s="4"/>
      <c r="T264" s="4"/>
      <c r="U264" s="4"/>
      <c r="V264" s="4"/>
      <c r="W264" s="4"/>
      <c r="X264" s="4"/>
      <c r="Y264" s="1"/>
      <c r="Z264" s="1"/>
      <c r="AA264" s="1"/>
      <c r="AB264" s="1"/>
      <c r="AC264" s="14"/>
    </row>
    <row x14ac:dyDescent="0.25" r="265" customHeight="1" ht="18.75">
      <c r="A265" s="1" t="s">
        <v>1357</v>
      </c>
      <c r="B265" s="14">
        <v>1.0055555555555555</v>
      </c>
      <c r="C265" s="3">
        <v>0.9282999999999999</v>
      </c>
      <c r="D265" s="4"/>
      <c r="E265" s="5">
        <f>TEXT(A265,"yyyy/mm/dd") &amp; " " &amp; TEXT(B265,"hh:mm:ss")</f>
      </c>
      <c r="F265" s="5"/>
      <c r="G265" s="5"/>
      <c r="H265" s="5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1"/>
      <c r="Z265" s="1"/>
      <c r="AA265" s="1"/>
      <c r="AB265" s="1"/>
      <c r="AC265" s="14"/>
    </row>
    <row x14ac:dyDescent="0.25" r="266" customHeight="1" ht="18.75">
      <c r="A266" s="1" t="s">
        <v>1358</v>
      </c>
      <c r="B266" s="14">
        <v>1.0090277777777779</v>
      </c>
      <c r="C266" s="3">
        <v>1.018</v>
      </c>
      <c r="D266" s="4"/>
      <c r="E266" s="5">
        <f>TEXT(A266,"yyyy/mm/dd") &amp; " " &amp; TEXT(B266,"hh:mm:ss")</f>
      </c>
      <c r="F266" s="5"/>
      <c r="G266" s="5"/>
      <c r="H266" s="5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1"/>
      <c r="Z266" s="1"/>
      <c r="AA266" s="1"/>
      <c r="AB266" s="1"/>
      <c r="AC266" s="14"/>
    </row>
    <row x14ac:dyDescent="0.25" r="267" customHeight="1" ht="18.75">
      <c r="A267" s="1" t="s">
        <v>1359</v>
      </c>
      <c r="B267" s="14">
        <v>1.0027777777777778</v>
      </c>
      <c r="C267" s="3">
        <v>0.8002</v>
      </c>
      <c r="D267" s="4"/>
      <c r="E267" s="5">
        <f>TEXT(A267,"yyyy/mm/dd") &amp; " " &amp; TEXT(B267,"hh:mm:ss")</f>
      </c>
      <c r="F267" s="5"/>
      <c r="G267" s="5"/>
      <c r="H267" s="5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1"/>
      <c r="Z267" s="1"/>
      <c r="AA267" s="1"/>
      <c r="AB267" s="1"/>
      <c r="AC267" s="14"/>
    </row>
    <row x14ac:dyDescent="0.25" r="268" customHeight="1" ht="18.75">
      <c r="A268" s="40" t="s">
        <v>1360</v>
      </c>
      <c r="B268" s="41">
        <v>1.0006944444444446</v>
      </c>
      <c r="C268" s="42">
        <v>0.4987</v>
      </c>
      <c r="D268" s="4"/>
      <c r="E268" s="43">
        <f>TEXT(A268,"yyyy/mm/dd") &amp; " " &amp; TEXT(B268,"hh:mm:ss")</f>
      </c>
      <c r="F268" s="5"/>
      <c r="G268" s="5"/>
      <c r="H268" s="5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1"/>
      <c r="Z268" s="1"/>
      <c r="AA268" s="1"/>
      <c r="AB268" s="40"/>
      <c r="AC268" s="41"/>
    </row>
    <row x14ac:dyDescent="0.25" r="269" customHeight="1" ht="18.75">
      <c r="A269" s="1" t="s">
        <v>1242</v>
      </c>
      <c r="B269" s="14">
        <v>1.1979166666666667</v>
      </c>
      <c r="C269" s="3">
        <v>1.136</v>
      </c>
      <c r="D269" s="4"/>
      <c r="E269" s="5">
        <f>TEXT(A269,"yyyy/mm/dd") &amp; " " &amp; TEXT(B269,"hh:mm:ss")</f>
      </c>
      <c r="F269" s="5"/>
      <c r="G269" s="5"/>
      <c r="H269" s="5"/>
      <c r="I269" s="5" t="s">
        <v>1242</v>
      </c>
      <c r="J269" s="4" t="s">
        <v>1242</v>
      </c>
      <c r="K269" s="4" t="s">
        <v>1242</v>
      </c>
      <c r="L269" s="4" t="s">
        <v>1361</v>
      </c>
      <c r="M269" s="4" t="s">
        <v>1362</v>
      </c>
      <c r="N269" s="4" t="s">
        <v>1363</v>
      </c>
      <c r="O269" s="4" t="s">
        <v>1364</v>
      </c>
      <c r="P269" s="4" t="s">
        <v>1365</v>
      </c>
      <c r="Q269" s="4" t="s">
        <v>1366</v>
      </c>
      <c r="R269" s="4"/>
      <c r="S269" s="4"/>
      <c r="T269" s="4"/>
      <c r="U269" s="4"/>
      <c r="V269" s="4"/>
      <c r="W269" s="4"/>
      <c r="X269" s="4"/>
      <c r="Y269" s="1"/>
      <c r="Z269" s="1"/>
      <c r="AA269" s="1"/>
      <c r="AB269" s="1"/>
      <c r="AC269" s="14"/>
    </row>
    <row x14ac:dyDescent="0.25" r="270" customHeight="1" ht="18.75">
      <c r="A270" s="1" t="s">
        <v>1242</v>
      </c>
      <c r="B270" s="14">
        <v>1.4222222222222223</v>
      </c>
      <c r="C270" s="3">
        <v>2.835</v>
      </c>
      <c r="D270" s="4"/>
      <c r="E270" s="5">
        <f>TEXT(A270,"yyyy/mm/dd") &amp; " " &amp; TEXT(B270,"hh:mm:ss")</f>
      </c>
      <c r="F270" s="5"/>
      <c r="G270" s="5"/>
      <c r="H270" s="5"/>
      <c r="I270" s="14">
        <v>1.1979166666666667</v>
      </c>
      <c r="J270" s="14">
        <v>1.4222222222222223</v>
      </c>
      <c r="K270" s="14">
        <v>1.738888888888889</v>
      </c>
      <c r="L270" s="14">
        <v>1.023611111111111</v>
      </c>
      <c r="M270" s="14">
        <v>1.023611111111111</v>
      </c>
      <c r="N270" s="14">
        <v>1.2625</v>
      </c>
      <c r="O270" s="14">
        <v>1.2618055555555556</v>
      </c>
      <c r="P270" s="14">
        <v>1.0013888888888889</v>
      </c>
      <c r="Q270" s="14">
        <v>1.0027777777777778</v>
      </c>
      <c r="R270" s="4" t="s">
        <v>1367</v>
      </c>
      <c r="S270" s="4" t="s">
        <v>1368</v>
      </c>
      <c r="T270" s="20" t="s">
        <v>1369</v>
      </c>
      <c r="U270" s="4"/>
      <c r="V270" s="4"/>
      <c r="W270" s="4"/>
      <c r="X270" s="4"/>
      <c r="Y270" s="1"/>
      <c r="Z270" s="1"/>
      <c r="AA270" s="1"/>
      <c r="AB270" s="1"/>
      <c r="AC270" s="14"/>
    </row>
    <row x14ac:dyDescent="0.25" r="271" customHeight="1" ht="18.75">
      <c r="A271" s="1" t="s">
        <v>1242</v>
      </c>
      <c r="B271" s="14">
        <v>1.738888888888889</v>
      </c>
      <c r="C271" s="3">
        <v>2.781</v>
      </c>
      <c r="D271" s="4"/>
      <c r="E271" s="5">
        <f>TEXT(A271,"yyyy/mm/dd") &amp; " " &amp; TEXT(B271,"hh:mm:ss")</f>
      </c>
      <c r="F271" s="5"/>
      <c r="G271" s="5"/>
      <c r="H271" s="5"/>
      <c r="I271" s="39">
        <v>1.136</v>
      </c>
      <c r="J271" s="3">
        <v>2.835</v>
      </c>
      <c r="K271" s="3">
        <v>2.781</v>
      </c>
      <c r="L271" s="3">
        <v>1.943</v>
      </c>
      <c r="M271" s="3">
        <v>2.209</v>
      </c>
      <c r="N271" s="3">
        <v>2.523</v>
      </c>
      <c r="O271" s="3">
        <v>1.856</v>
      </c>
      <c r="P271" s="3">
        <v>1.165</v>
      </c>
      <c r="Q271" s="3">
        <v>0.5273</v>
      </c>
      <c r="R271" s="14">
        <v>1.2451388888888888</v>
      </c>
      <c r="S271" s="14">
        <v>1.0020833333333334</v>
      </c>
      <c r="T271" s="24"/>
      <c r="U271" s="4"/>
      <c r="V271" s="4"/>
      <c r="W271" s="4"/>
      <c r="X271" s="4"/>
      <c r="Y271" s="1"/>
      <c r="Z271" s="1"/>
      <c r="AA271" s="1"/>
      <c r="AB271" s="1"/>
      <c r="AC271" s="14"/>
    </row>
    <row x14ac:dyDescent="0.25" r="272" customHeight="1" ht="18.75">
      <c r="A272" s="1" t="s">
        <v>1361</v>
      </c>
      <c r="B272" s="14">
        <v>1.023611111111111</v>
      </c>
      <c r="C272" s="3">
        <v>1.943</v>
      </c>
      <c r="D272" s="4"/>
      <c r="E272" s="5">
        <f>TEXT(A272,"yyyy/mm/dd") &amp; " " &amp; TEXT(B272,"hh:mm:ss")</f>
      </c>
      <c r="F272" s="5"/>
      <c r="G272" s="5"/>
      <c r="H272" s="5"/>
      <c r="I272" s="5"/>
      <c r="J272" s="4"/>
      <c r="K272" s="4"/>
      <c r="L272" s="4"/>
      <c r="M272" s="4"/>
      <c r="N272" s="4"/>
      <c r="O272" s="4"/>
      <c r="P272" s="4"/>
      <c r="Q272" s="4"/>
      <c r="R272" s="3">
        <v>0.2546</v>
      </c>
      <c r="S272" s="3">
        <v>0.10890000000000001</v>
      </c>
      <c r="T272" s="13">
        <v>0.0538</v>
      </c>
      <c r="U272" s="4"/>
      <c r="V272" s="4"/>
      <c r="W272" s="4"/>
      <c r="X272" s="4"/>
      <c r="Y272" s="1"/>
      <c r="Z272" s="1"/>
      <c r="AA272" s="1"/>
      <c r="AB272" s="1"/>
      <c r="AC272" s="14"/>
    </row>
    <row x14ac:dyDescent="0.25" r="273" customHeight="1" ht="18.75">
      <c r="A273" s="1" t="s">
        <v>1362</v>
      </c>
      <c r="B273" s="14">
        <v>1.023611111111111</v>
      </c>
      <c r="C273" s="3">
        <v>2.209</v>
      </c>
      <c r="D273" s="4"/>
      <c r="E273" s="5">
        <f>TEXT(A273,"yyyy/mm/dd") &amp; " " &amp; TEXT(B273,"hh:mm:ss")</f>
      </c>
      <c r="F273" s="5"/>
      <c r="G273" s="5"/>
      <c r="H273" s="5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1"/>
      <c r="Z273" s="1"/>
      <c r="AA273" s="1"/>
      <c r="AB273" s="1"/>
      <c r="AC273" s="14"/>
    </row>
    <row x14ac:dyDescent="0.25" r="274" customHeight="1" ht="18.75">
      <c r="A274" s="1" t="s">
        <v>1363</v>
      </c>
      <c r="B274" s="14">
        <v>1.2625</v>
      </c>
      <c r="C274" s="3">
        <v>2.523</v>
      </c>
      <c r="D274" s="4"/>
      <c r="E274" s="5">
        <f>TEXT(A274,"yyyy/mm/dd") &amp; " " &amp; TEXT(B274,"hh:mm:ss")</f>
      </c>
      <c r="F274" s="5"/>
      <c r="G274" s="5"/>
      <c r="H274" s="5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1"/>
      <c r="Z274" s="1"/>
      <c r="AA274" s="1"/>
      <c r="AB274" s="1"/>
      <c r="AC274" s="14"/>
    </row>
    <row x14ac:dyDescent="0.25" r="275" customHeight="1" ht="18.75">
      <c r="A275" s="1" t="s">
        <v>1364</v>
      </c>
      <c r="B275" s="14">
        <v>1.2618055555555556</v>
      </c>
      <c r="C275" s="3">
        <v>1.856</v>
      </c>
      <c r="D275" s="4"/>
      <c r="E275" s="5">
        <f>TEXT(A275,"yyyy/mm/dd") &amp; " " &amp; TEXT(B275,"hh:mm:ss")</f>
      </c>
      <c r="F275" s="5"/>
      <c r="G275" s="5"/>
      <c r="H275" s="5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1"/>
      <c r="Z275" s="1"/>
      <c r="AA275" s="1"/>
      <c r="AB275" s="1"/>
      <c r="AC275" s="14"/>
    </row>
    <row x14ac:dyDescent="0.25" r="276" customHeight="1" ht="18.75">
      <c r="A276" s="1" t="s">
        <v>1365</v>
      </c>
      <c r="B276" s="14">
        <v>1.0013888888888889</v>
      </c>
      <c r="C276" s="3">
        <v>1.165</v>
      </c>
      <c r="D276" s="4"/>
      <c r="E276" s="5">
        <f>TEXT(A276,"yyyy/mm/dd") &amp; " " &amp; TEXT(B276,"hh:mm:ss")</f>
      </c>
      <c r="F276" s="5"/>
      <c r="G276" s="5"/>
      <c r="H276" s="5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1"/>
      <c r="Z276" s="1"/>
      <c r="AA276" s="1"/>
      <c r="AB276" s="1"/>
      <c r="AC276" s="14"/>
    </row>
    <row x14ac:dyDescent="0.25" r="277" customHeight="1" ht="18.75">
      <c r="A277" s="1" t="s">
        <v>1366</v>
      </c>
      <c r="B277" s="14">
        <v>1.0027777777777778</v>
      </c>
      <c r="C277" s="3">
        <v>0.5273</v>
      </c>
      <c r="D277" s="4"/>
      <c r="E277" s="5">
        <f>TEXT(A277,"yyyy/mm/dd") &amp; " " &amp; TEXT(B277,"hh:mm:ss")</f>
      </c>
      <c r="F277" s="5"/>
      <c r="G277" s="5"/>
      <c r="H277" s="5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1"/>
      <c r="Z277" s="1"/>
      <c r="AA277" s="1"/>
      <c r="AB277" s="1"/>
      <c r="AC277" s="14"/>
    </row>
    <row x14ac:dyDescent="0.25" r="278" customHeight="1" ht="18.75">
      <c r="A278" s="1" t="s">
        <v>1367</v>
      </c>
      <c r="B278" s="14">
        <v>1.2451388888888888</v>
      </c>
      <c r="C278" s="3">
        <v>0.2546</v>
      </c>
      <c r="D278" s="4"/>
      <c r="E278" s="5">
        <f>TEXT(A278,"yyyy/mm/dd") &amp; " " &amp; TEXT(B278,"hh:mm:ss")</f>
      </c>
      <c r="F278" s="5"/>
      <c r="G278" s="5"/>
      <c r="H278" s="5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1"/>
      <c r="Z278" s="1"/>
      <c r="AA278" s="1"/>
      <c r="AB278" s="1"/>
      <c r="AC278" s="14"/>
    </row>
    <row x14ac:dyDescent="0.25" r="279" customHeight="1" ht="18.75">
      <c r="A279" s="1" t="s">
        <v>1368</v>
      </c>
      <c r="B279" s="14">
        <v>1.0020833333333334</v>
      </c>
      <c r="C279" s="3">
        <v>0.10890000000000001</v>
      </c>
      <c r="D279" s="4"/>
      <c r="E279" s="5">
        <f>TEXT(A279,"yyyy/mm/dd") &amp; " " &amp; TEXT(B279,"hh:mm:ss")</f>
      </c>
      <c r="F279" s="5"/>
      <c r="G279" s="5"/>
      <c r="H279" s="5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1"/>
      <c r="Z279" s="1"/>
      <c r="AA279" s="1"/>
      <c r="AB279" s="1"/>
      <c r="AC279" s="14"/>
    </row>
    <row x14ac:dyDescent="0.25" r="280" customHeight="1" ht="18.75">
      <c r="A280" s="40" t="s">
        <v>1369</v>
      </c>
      <c r="B280" s="41"/>
      <c r="C280" s="42">
        <v>0.0538</v>
      </c>
      <c r="D280" s="4"/>
      <c r="E280" s="43">
        <f>TEXT(A280,"yyyy/mm/dd") &amp; " " &amp; TEXT(B280,"hh:mm:ss")</f>
      </c>
      <c r="F280" s="5"/>
      <c r="G280" s="5"/>
      <c r="H280" s="5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1"/>
      <c r="Z280" s="1"/>
      <c r="AA280" s="1"/>
      <c r="AB280" s="40"/>
      <c r="AC280" s="41"/>
    </row>
    <row x14ac:dyDescent="0.25" r="281" customHeight="1" ht="18.75">
      <c r="A281" s="1" t="s">
        <v>1370</v>
      </c>
      <c r="B281" s="14">
        <v>1.9340277777777777</v>
      </c>
      <c r="C281" s="3">
        <v>0.249</v>
      </c>
      <c r="D281" s="4"/>
      <c r="E281" s="5">
        <f>TEXT(A281,"yyyy/mm/dd") &amp; " " &amp; TEXT(B281,"hh:mm:ss")</f>
      </c>
      <c r="F281" s="5"/>
      <c r="G281" s="5"/>
      <c r="H281" s="5"/>
      <c r="I281" s="5" t="s">
        <v>1370</v>
      </c>
      <c r="J281" s="4" t="s">
        <v>1371</v>
      </c>
      <c r="K281" s="4" t="s">
        <v>1371</v>
      </c>
      <c r="L281" s="4" t="s">
        <v>1371</v>
      </c>
      <c r="M281" s="4" t="s">
        <v>1372</v>
      </c>
      <c r="N281" s="4" t="s">
        <v>1373</v>
      </c>
      <c r="O281" s="4" t="s">
        <v>1374</v>
      </c>
      <c r="P281" s="4" t="s">
        <v>1375</v>
      </c>
      <c r="Q281" s="20" t="s">
        <v>1376</v>
      </c>
      <c r="R281" s="4"/>
      <c r="S281" s="4"/>
      <c r="T281" s="4"/>
      <c r="U281" s="4"/>
      <c r="V281" s="4"/>
      <c r="W281" s="4"/>
      <c r="X281" s="4"/>
      <c r="Y281" s="1"/>
      <c r="Z281" s="1"/>
      <c r="AA281" s="1"/>
      <c r="AB281" s="1"/>
      <c r="AC281" s="14"/>
    </row>
    <row x14ac:dyDescent="0.25" r="282" customHeight="1" ht="18.75">
      <c r="A282" s="1" t="s">
        <v>1371</v>
      </c>
      <c r="B282" s="14">
        <v>1.0229166666666667</v>
      </c>
      <c r="C282" s="3">
        <v>0.36</v>
      </c>
      <c r="D282" s="4"/>
      <c r="E282" s="5">
        <f>TEXT(A282,"yyyy/mm/dd") &amp; " " &amp; TEXT(B282,"hh:mm:ss")</f>
      </c>
      <c r="F282" s="5"/>
      <c r="G282" s="5"/>
      <c r="H282" s="5"/>
      <c r="I282" s="14">
        <v>1.9340277777777777</v>
      </c>
      <c r="J282" s="14">
        <v>1.0229166666666667</v>
      </c>
      <c r="K282" s="14">
        <v>1.0229166666666667</v>
      </c>
      <c r="L282" s="14">
        <v>1.4881944444444444</v>
      </c>
      <c r="M282" s="14">
        <v>1.007638888888889</v>
      </c>
      <c r="N282" s="14">
        <v>1.0326388888888889</v>
      </c>
      <c r="O282" s="14">
        <v>1.01875</v>
      </c>
      <c r="P282" s="14">
        <v>1.0090277777777779</v>
      </c>
      <c r="Q282" s="24">
        <v>1.5604166666666668</v>
      </c>
      <c r="R282" s="4"/>
      <c r="S282" s="4"/>
      <c r="T282" s="4"/>
      <c r="U282" s="4"/>
      <c r="V282" s="4"/>
      <c r="W282" s="4"/>
      <c r="X282" s="4"/>
      <c r="Y282" s="1"/>
      <c r="Z282" s="1"/>
      <c r="AA282" s="1"/>
      <c r="AB282" s="1"/>
      <c r="AC282" s="14"/>
    </row>
    <row x14ac:dyDescent="0.25" r="283" customHeight="1" ht="18.75">
      <c r="A283" s="1" t="s">
        <v>1371</v>
      </c>
      <c r="B283" s="14">
        <v>1.0229166666666667</v>
      </c>
      <c r="C283" s="3">
        <v>0.356</v>
      </c>
      <c r="D283" s="4"/>
      <c r="E283" s="5">
        <f>TEXT(A283,"yyyy/mm/dd") &amp; " " &amp; TEXT(B283,"hh:mm:ss")</f>
      </c>
      <c r="F283" s="5"/>
      <c r="G283" s="5"/>
      <c r="H283" s="5"/>
      <c r="I283" s="39">
        <v>0.249</v>
      </c>
      <c r="J283" s="3">
        <v>0.36</v>
      </c>
      <c r="K283" s="3">
        <v>0.356</v>
      </c>
      <c r="L283" s="3">
        <v>0.276</v>
      </c>
      <c r="M283" s="3">
        <v>0.343</v>
      </c>
      <c r="N283" s="3">
        <v>0.357</v>
      </c>
      <c r="O283" s="3">
        <v>0.251</v>
      </c>
      <c r="P283" s="3">
        <v>0.145</v>
      </c>
      <c r="Q283" s="13">
        <v>0.006</v>
      </c>
      <c r="R283" s="4"/>
      <c r="S283" s="4"/>
      <c r="T283" s="4"/>
      <c r="U283" s="4"/>
      <c r="V283" s="4"/>
      <c r="W283" s="4"/>
      <c r="X283" s="4"/>
      <c r="Y283" s="1"/>
      <c r="Z283" s="1"/>
      <c r="AA283" s="1"/>
      <c r="AB283" s="1"/>
      <c r="AC283" s="14"/>
    </row>
    <row x14ac:dyDescent="0.25" r="284" customHeight="1" ht="18.75">
      <c r="A284" s="1" t="s">
        <v>1371</v>
      </c>
      <c r="B284" s="14">
        <v>1.4881944444444444</v>
      </c>
      <c r="C284" s="3">
        <v>0.276</v>
      </c>
      <c r="D284" s="4"/>
      <c r="E284" s="5">
        <f>TEXT(A284,"yyyy/mm/dd") &amp; " " &amp; TEXT(B284,"hh:mm:ss")</f>
      </c>
      <c r="F284" s="5"/>
      <c r="G284" s="5"/>
      <c r="H284" s="5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1"/>
      <c r="Z284" s="1"/>
      <c r="AA284" s="1"/>
      <c r="AB284" s="1"/>
      <c r="AC284" s="14"/>
    </row>
    <row x14ac:dyDescent="0.25" r="285" customHeight="1" ht="18.75">
      <c r="A285" s="1" t="s">
        <v>1372</v>
      </c>
      <c r="B285" s="14">
        <v>1.007638888888889</v>
      </c>
      <c r="C285" s="3">
        <v>0.343</v>
      </c>
      <c r="D285" s="4"/>
      <c r="E285" s="5">
        <f>TEXT(A285,"yyyy/mm/dd") &amp; " " &amp; TEXT(B285,"hh:mm:ss")</f>
      </c>
      <c r="F285" s="5"/>
      <c r="G285" s="5"/>
      <c r="H285" s="5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1"/>
      <c r="Z285" s="1"/>
      <c r="AA285" s="1"/>
      <c r="AB285" s="1"/>
      <c r="AC285" s="14"/>
    </row>
    <row x14ac:dyDescent="0.25" r="286" customHeight="1" ht="18.75">
      <c r="A286" s="1" t="s">
        <v>1373</v>
      </c>
      <c r="B286" s="14">
        <v>1.0326388888888889</v>
      </c>
      <c r="C286" s="3">
        <v>0.357</v>
      </c>
      <c r="D286" s="4"/>
      <c r="E286" s="5">
        <f>TEXT(A286,"yyyy/mm/dd") &amp; " " &amp; TEXT(B286,"hh:mm:ss")</f>
      </c>
      <c r="F286" s="5"/>
      <c r="G286" s="5"/>
      <c r="H286" s="5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1"/>
      <c r="Z286" s="1"/>
      <c r="AA286" s="1"/>
      <c r="AB286" s="1"/>
      <c r="AC286" s="14"/>
    </row>
    <row x14ac:dyDescent="0.25" r="287" customHeight="1" ht="18.75">
      <c r="A287" s="1" t="s">
        <v>1374</v>
      </c>
      <c r="B287" s="14">
        <v>1.01875</v>
      </c>
      <c r="C287" s="3">
        <v>0.251</v>
      </c>
      <c r="D287" s="4"/>
      <c r="E287" s="5">
        <f>TEXT(A287,"yyyy/mm/dd") &amp; " " &amp; TEXT(B287,"hh:mm:ss")</f>
      </c>
      <c r="F287" s="5"/>
      <c r="G287" s="5"/>
      <c r="H287" s="5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1"/>
      <c r="Z287" s="1"/>
      <c r="AA287" s="1"/>
      <c r="AB287" s="1"/>
      <c r="AC287" s="14"/>
    </row>
    <row x14ac:dyDescent="0.25" r="288" customHeight="1" ht="18.75">
      <c r="A288" s="1" t="s">
        <v>1375</v>
      </c>
      <c r="B288" s="14">
        <v>1.0090277777777779</v>
      </c>
      <c r="C288" s="3">
        <v>0.145</v>
      </c>
      <c r="D288" s="4"/>
      <c r="E288" s="5">
        <f>TEXT(A288,"yyyy/mm/dd") &amp; " " &amp; TEXT(B288,"hh:mm:ss")</f>
      </c>
      <c r="F288" s="5"/>
      <c r="G288" s="5"/>
      <c r="H288" s="5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1"/>
      <c r="Z288" s="1"/>
      <c r="AA288" s="1"/>
      <c r="AB288" s="1"/>
      <c r="AC288" s="14"/>
    </row>
    <row x14ac:dyDescent="0.25" r="289" customHeight="1" ht="18.75">
      <c r="A289" s="40" t="s">
        <v>1376</v>
      </c>
      <c r="B289" s="41">
        <v>1.5604166666666668</v>
      </c>
      <c r="C289" s="42">
        <v>0.006</v>
      </c>
      <c r="D289" s="4"/>
      <c r="E289" s="43">
        <f>TEXT(A289,"yyyy/mm/dd") &amp; " " &amp; TEXT(B289,"hh:mm:ss")</f>
      </c>
      <c r="F289" s="5"/>
      <c r="G289" s="5"/>
      <c r="H289" s="5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1"/>
      <c r="Z289" s="1"/>
      <c r="AA289" s="1"/>
      <c r="AB289" s="40"/>
      <c r="AC289" s="41"/>
    </row>
    <row x14ac:dyDescent="0.25" r="290" customHeight="1" ht="18.75">
      <c r="A290" s="1" t="s">
        <v>1377</v>
      </c>
      <c r="B290" s="14">
        <v>1.2493055555555554</v>
      </c>
      <c r="C290" s="3">
        <v>0.557</v>
      </c>
      <c r="D290" s="4"/>
      <c r="E290" s="5">
        <f>TEXT(A290,"yyyy/mm/dd") &amp; " " &amp; TEXT(B290,"hh:mm:ss")</f>
      </c>
      <c r="F290" s="5"/>
      <c r="G290" s="5"/>
      <c r="H290" s="5"/>
      <c r="I290" s="5" t="s">
        <v>1377</v>
      </c>
      <c r="J290" s="4" t="s">
        <v>1377</v>
      </c>
      <c r="K290" s="4" t="s">
        <v>1378</v>
      </c>
      <c r="L290" s="4" t="s">
        <v>1379</v>
      </c>
      <c r="M290" s="4" t="s">
        <v>1380</v>
      </c>
      <c r="N290" s="4" t="s">
        <v>1380</v>
      </c>
      <c r="O290" s="4" t="s">
        <v>1381</v>
      </c>
      <c r="P290" s="20" t="s">
        <v>1382</v>
      </c>
      <c r="Q290" s="4"/>
      <c r="R290" s="4"/>
      <c r="S290" s="4"/>
      <c r="T290" s="4"/>
      <c r="U290" s="4"/>
      <c r="V290" s="4"/>
      <c r="W290" s="4"/>
      <c r="X290" s="4"/>
      <c r="Y290" s="1"/>
      <c r="Z290" s="1"/>
      <c r="AA290" s="1"/>
      <c r="AB290" s="1"/>
      <c r="AC290" s="14"/>
    </row>
    <row x14ac:dyDescent="0.25" r="291" customHeight="1" ht="18.75">
      <c r="A291" s="1" t="s">
        <v>1377</v>
      </c>
      <c r="B291" s="14">
        <v>1.7583333333333333</v>
      </c>
      <c r="C291" s="3">
        <v>1.49</v>
      </c>
      <c r="D291" s="4"/>
      <c r="E291" s="5">
        <f>TEXT(A291,"yyyy/mm/dd") &amp; " " &amp; TEXT(B291,"hh:mm:ss")</f>
      </c>
      <c r="F291" s="5"/>
      <c r="G291" s="5"/>
      <c r="H291" s="5"/>
      <c r="I291" s="14">
        <v>1.2493055555555554</v>
      </c>
      <c r="J291" s="14">
        <v>1.7583333333333333</v>
      </c>
      <c r="K291" s="14">
        <v>1.00625</v>
      </c>
      <c r="L291" s="14">
        <v>1.0013888888888889</v>
      </c>
      <c r="M291" s="14">
        <v>1.0118055555555556</v>
      </c>
      <c r="N291" s="14">
        <v>1.7583333333333333</v>
      </c>
      <c r="O291" s="14">
        <v>1.0131944444444445</v>
      </c>
      <c r="P291" s="24">
        <v>1.242361111111111</v>
      </c>
      <c r="Q291" s="4"/>
      <c r="R291" s="4"/>
      <c r="S291" s="4"/>
      <c r="T291" s="4"/>
      <c r="U291" s="4"/>
      <c r="V291" s="4"/>
      <c r="W291" s="4"/>
      <c r="X291" s="4"/>
      <c r="Y291" s="1"/>
      <c r="Z291" s="1"/>
      <c r="AA291" s="1"/>
      <c r="AB291" s="1"/>
      <c r="AC291" s="14"/>
    </row>
    <row x14ac:dyDescent="0.25" r="292" customHeight="1" ht="18.75">
      <c r="A292" s="1" t="s">
        <v>1378</v>
      </c>
      <c r="B292" s="14">
        <v>1.00625</v>
      </c>
      <c r="C292" s="3">
        <v>0.666</v>
      </c>
      <c r="D292" s="4"/>
      <c r="E292" s="5">
        <f>TEXT(A292,"yyyy/mm/dd") &amp; " " &amp; TEXT(B292,"hh:mm:ss")</f>
      </c>
      <c r="F292" s="5"/>
      <c r="G292" s="5"/>
      <c r="H292" s="5"/>
      <c r="I292" s="39">
        <v>0.557</v>
      </c>
      <c r="J292" s="3">
        <v>1.49</v>
      </c>
      <c r="K292" s="3">
        <v>0.666</v>
      </c>
      <c r="L292" s="3">
        <v>0.724</v>
      </c>
      <c r="M292" s="3">
        <v>0.748</v>
      </c>
      <c r="N292" s="3">
        <v>0.791</v>
      </c>
      <c r="O292" s="3">
        <v>0.601</v>
      </c>
      <c r="P292" s="13">
        <v>0.429</v>
      </c>
      <c r="Q292" s="4"/>
      <c r="R292" s="4"/>
      <c r="S292" s="4"/>
      <c r="T292" s="4"/>
      <c r="U292" s="4"/>
      <c r="V292" s="4"/>
      <c r="W292" s="4"/>
      <c r="X292" s="4"/>
      <c r="Y292" s="1"/>
      <c r="Z292" s="1"/>
      <c r="AA292" s="1"/>
      <c r="AB292" s="1"/>
      <c r="AC292" s="14"/>
    </row>
    <row x14ac:dyDescent="0.25" r="293" customHeight="1" ht="18.75">
      <c r="A293" s="1" t="s">
        <v>1379</v>
      </c>
      <c r="B293" s="14">
        <v>1.0013888888888889</v>
      </c>
      <c r="C293" s="3">
        <v>0.724</v>
      </c>
      <c r="D293" s="4"/>
      <c r="E293" s="5">
        <f>TEXT(A293,"yyyy/mm/dd") &amp; " " &amp; TEXT(B293,"hh:mm:ss")</f>
      </c>
      <c r="F293" s="5"/>
      <c r="G293" s="5"/>
      <c r="H293" s="5"/>
      <c r="I293" s="5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1"/>
      <c r="Z293" s="1"/>
      <c r="AA293" s="1"/>
      <c r="AB293" s="1"/>
      <c r="AC293" s="14"/>
    </row>
    <row x14ac:dyDescent="0.25" r="294" customHeight="1" ht="18.75">
      <c r="A294" s="1" t="s">
        <v>1380</v>
      </c>
      <c r="B294" s="14">
        <v>1.0118055555555556</v>
      </c>
      <c r="C294" s="3">
        <v>0.748</v>
      </c>
      <c r="D294" s="4"/>
      <c r="E294" s="5">
        <f>TEXT(A294,"yyyy/mm/dd") &amp; " " &amp; TEXT(B294,"hh:mm:ss")</f>
      </c>
      <c r="F294" s="5"/>
      <c r="G294" s="5"/>
      <c r="H294" s="5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1"/>
      <c r="Z294" s="1"/>
      <c r="AA294" s="1"/>
      <c r="AB294" s="1"/>
      <c r="AC294" s="14"/>
    </row>
    <row x14ac:dyDescent="0.25" r="295" customHeight="1" ht="18.75">
      <c r="A295" s="1" t="s">
        <v>1380</v>
      </c>
      <c r="B295" s="14">
        <v>1.7583333333333333</v>
      </c>
      <c r="C295" s="3">
        <v>0.791</v>
      </c>
      <c r="D295" s="4"/>
      <c r="E295" s="5">
        <f>TEXT(A295,"yyyy/mm/dd") &amp; " " &amp; TEXT(B295,"hh:mm:ss")</f>
      </c>
      <c r="F295" s="5"/>
      <c r="G295" s="5"/>
      <c r="H295" s="5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1"/>
      <c r="Z295" s="1"/>
      <c r="AA295" s="1"/>
      <c r="AB295" s="1"/>
      <c r="AC295" s="14"/>
    </row>
    <row x14ac:dyDescent="0.25" r="296" customHeight="1" ht="18.75">
      <c r="A296" s="1" t="s">
        <v>1381</v>
      </c>
      <c r="B296" s="14">
        <v>1.0131944444444445</v>
      </c>
      <c r="C296" s="3">
        <v>0.601</v>
      </c>
      <c r="D296" s="4"/>
      <c r="E296" s="5">
        <f>TEXT(A296,"yyyy/mm/dd") &amp; " " &amp; TEXT(B296,"hh:mm:ss")</f>
      </c>
      <c r="F296" s="5"/>
      <c r="G296" s="5"/>
      <c r="H296" s="5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1"/>
      <c r="Z296" s="1"/>
      <c r="AA296" s="1"/>
      <c r="AB296" s="1"/>
      <c r="AC296" s="14"/>
    </row>
    <row x14ac:dyDescent="0.25" r="297" customHeight="1" ht="18.75">
      <c r="A297" s="40" t="s">
        <v>1382</v>
      </c>
      <c r="B297" s="41">
        <v>1.242361111111111</v>
      </c>
      <c r="C297" s="42">
        <v>0.429</v>
      </c>
      <c r="D297" s="4"/>
      <c r="E297" s="43">
        <f>TEXT(A297,"yyyy/mm/dd") &amp; " " &amp; TEXT(B297,"hh:mm:ss")</f>
      </c>
      <c r="F297" s="5"/>
      <c r="G297" s="5"/>
      <c r="H297" s="5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1"/>
      <c r="Z297" s="1"/>
      <c r="AA297" s="1"/>
      <c r="AB297" s="40"/>
      <c r="AC297" s="41"/>
    </row>
    <row x14ac:dyDescent="0.25" r="298" customHeight="1" ht="18.75">
      <c r="A298" s="1" t="s">
        <v>1245</v>
      </c>
      <c r="B298" s="14">
        <v>1.5506944444444444</v>
      </c>
      <c r="C298" s="3">
        <v>0.094</v>
      </c>
      <c r="D298" s="4"/>
      <c r="E298" s="5">
        <f>TEXT(A298,"yyyy/mm/dd") &amp; " " &amp; TEXT(B298,"hh:mm:ss")</f>
      </c>
      <c r="F298" s="5"/>
      <c r="G298" s="5"/>
      <c r="H298" s="5"/>
      <c r="I298" s="5" t="s">
        <v>1245</v>
      </c>
      <c r="J298" s="4" t="s">
        <v>1245</v>
      </c>
      <c r="K298" s="4" t="s">
        <v>1383</v>
      </c>
      <c r="L298" s="4" t="s">
        <v>1384</v>
      </c>
      <c r="M298" s="4" t="s">
        <v>1384</v>
      </c>
      <c r="N298" s="4" t="s">
        <v>1385</v>
      </c>
      <c r="O298" s="20" t="s">
        <v>1386</v>
      </c>
      <c r="P298" s="4"/>
      <c r="Q298" s="4"/>
      <c r="R298" s="4"/>
      <c r="S298" s="4"/>
      <c r="T298" s="4"/>
      <c r="U298" s="4"/>
      <c r="V298" s="4"/>
      <c r="W298" s="4"/>
      <c r="X298" s="4"/>
      <c r="Y298" s="1"/>
      <c r="Z298" s="1"/>
      <c r="AA298" s="1"/>
      <c r="AB298" s="1"/>
      <c r="AC298" s="14"/>
    </row>
    <row x14ac:dyDescent="0.25" r="299" customHeight="1" ht="18.75">
      <c r="A299" s="1" t="s">
        <v>1245</v>
      </c>
      <c r="B299" s="14">
        <v>1.9104166666666667</v>
      </c>
      <c r="C299" s="3">
        <v>0.224</v>
      </c>
      <c r="D299" s="4"/>
      <c r="E299" s="5">
        <f>TEXT(A299,"yyyy/mm/dd") &amp; " " &amp; TEXT(B299,"hh:mm:ss")</f>
      </c>
      <c r="F299" s="5"/>
      <c r="G299" s="5"/>
      <c r="H299" s="5"/>
      <c r="I299" s="14">
        <v>1.5506944444444444</v>
      </c>
      <c r="J299" s="14">
        <v>1.9104166666666667</v>
      </c>
      <c r="K299" s="14">
        <v>1.0034722222222223</v>
      </c>
      <c r="L299" s="14">
        <v>1.007638888888889</v>
      </c>
      <c r="M299" s="14">
        <v>1.6944444444444444</v>
      </c>
      <c r="N299" s="14">
        <v>1.0055555555555555</v>
      </c>
      <c r="O299" s="24">
        <v>1.023611111111111</v>
      </c>
      <c r="P299" s="4"/>
      <c r="Q299" s="4"/>
      <c r="R299" s="4"/>
      <c r="S299" s="4"/>
      <c r="T299" s="4"/>
      <c r="U299" s="4"/>
      <c r="V299" s="4"/>
      <c r="W299" s="4"/>
      <c r="X299" s="4"/>
      <c r="Y299" s="1"/>
      <c r="Z299" s="1"/>
      <c r="AA299" s="1"/>
      <c r="AB299" s="1"/>
      <c r="AC299" s="14"/>
    </row>
    <row x14ac:dyDescent="0.25" r="300" customHeight="1" ht="18.75">
      <c r="A300" s="1" t="s">
        <v>1383</v>
      </c>
      <c r="B300" s="14">
        <v>1.0034722222222223</v>
      </c>
      <c r="C300" s="3">
        <v>0.308</v>
      </c>
      <c r="D300" s="4"/>
      <c r="E300" s="5">
        <f>TEXT(A300,"yyyy/mm/dd") &amp; " " &amp; TEXT(B300,"hh:mm:ss")</f>
      </c>
      <c r="F300" s="5"/>
      <c r="G300" s="5"/>
      <c r="H300" s="5"/>
      <c r="I300" s="39">
        <v>0.094</v>
      </c>
      <c r="J300" s="3">
        <v>0.224</v>
      </c>
      <c r="K300" s="3">
        <v>0.308</v>
      </c>
      <c r="L300" s="3">
        <v>0.28</v>
      </c>
      <c r="M300" s="3">
        <v>0.324</v>
      </c>
      <c r="N300" s="3">
        <v>0.342</v>
      </c>
      <c r="O300" s="13">
        <v>0.337</v>
      </c>
      <c r="P300" s="4"/>
      <c r="Q300" s="4"/>
      <c r="R300" s="4"/>
      <c r="S300" s="4"/>
      <c r="T300" s="4"/>
      <c r="U300" s="4"/>
      <c r="V300" s="4"/>
      <c r="W300" s="4"/>
      <c r="X300" s="4"/>
      <c r="Y300" s="1"/>
      <c r="Z300" s="1"/>
      <c r="AA300" s="1"/>
      <c r="AB300" s="1"/>
      <c r="AC300" s="14"/>
    </row>
    <row x14ac:dyDescent="0.25" r="301" customHeight="1" ht="18.75">
      <c r="A301" s="1" t="s">
        <v>1384</v>
      </c>
      <c r="B301" s="14">
        <v>1.007638888888889</v>
      </c>
      <c r="C301" s="3">
        <v>0.28</v>
      </c>
      <c r="D301" s="4"/>
      <c r="E301" s="5">
        <f>TEXT(A301,"yyyy/mm/dd") &amp; " " &amp; TEXT(B301,"hh:mm:ss")</f>
      </c>
      <c r="F301" s="5"/>
      <c r="G301" s="5"/>
      <c r="H301" s="5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1"/>
      <c r="Z301" s="1"/>
      <c r="AA301" s="1"/>
      <c r="AB301" s="1"/>
      <c r="AC301" s="14"/>
    </row>
    <row x14ac:dyDescent="0.25" r="302" customHeight="1" ht="18.75">
      <c r="A302" s="1" t="s">
        <v>1384</v>
      </c>
      <c r="B302" s="14">
        <v>1.6944444444444444</v>
      </c>
      <c r="C302" s="3">
        <v>0.324</v>
      </c>
      <c r="D302" s="4"/>
      <c r="E302" s="5">
        <f>TEXT(A302,"yyyy/mm/dd") &amp; " " &amp; TEXT(B302,"hh:mm:ss")</f>
      </c>
      <c r="F302" s="5"/>
      <c r="G302" s="5"/>
      <c r="H302" s="5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1"/>
      <c r="Z302" s="1"/>
      <c r="AA302" s="1"/>
      <c r="AB302" s="1"/>
      <c r="AC302" s="14"/>
    </row>
    <row x14ac:dyDescent="0.25" r="303" customHeight="1" ht="18.75">
      <c r="A303" s="1" t="s">
        <v>1385</v>
      </c>
      <c r="B303" s="14">
        <v>1.0055555555555555</v>
      </c>
      <c r="C303" s="3">
        <v>0.342</v>
      </c>
      <c r="D303" s="4"/>
      <c r="E303" s="5">
        <f>TEXT(A303,"yyyy/mm/dd") &amp; " " &amp; TEXT(B303,"hh:mm:ss")</f>
      </c>
      <c r="F303" s="5"/>
      <c r="G303" s="5"/>
      <c r="H303" s="5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1"/>
      <c r="Z303" s="1"/>
      <c r="AA303" s="1"/>
      <c r="AB303" s="1"/>
      <c r="AC303" s="14"/>
    </row>
    <row x14ac:dyDescent="0.25" r="304" customHeight="1" ht="18.75">
      <c r="A304" s="40" t="s">
        <v>1386</v>
      </c>
      <c r="B304" s="41">
        <v>1.023611111111111</v>
      </c>
      <c r="C304" s="42">
        <v>0.337</v>
      </c>
      <c r="D304" s="4"/>
      <c r="E304" s="43">
        <f>TEXT(A304,"yyyy/mm/dd") &amp; " " &amp; TEXT(B304,"hh:mm:ss")</f>
      </c>
      <c r="F304" s="5"/>
      <c r="G304" s="5"/>
      <c r="H304" s="5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1"/>
      <c r="Z304" s="1"/>
      <c r="AA304" s="1"/>
      <c r="AB304" s="40"/>
      <c r="AC304" s="41"/>
    </row>
    <row x14ac:dyDescent="0.25" r="305" customHeight="1" ht="18.75">
      <c r="A305" s="1" t="s">
        <v>1246</v>
      </c>
      <c r="B305" s="14">
        <v>1.7416666666666667</v>
      </c>
      <c r="C305" s="3">
        <v>0.0978</v>
      </c>
      <c r="D305" s="4"/>
      <c r="E305" s="5">
        <f>TEXT(A305,"yyyy/mm/dd") &amp; " " &amp; TEXT(B305,"hh:mm:ss")</f>
      </c>
      <c r="F305" s="5"/>
      <c r="G305" s="5"/>
      <c r="H305" s="5"/>
      <c r="I305" s="5" t="s">
        <v>1246</v>
      </c>
      <c r="J305" s="4" t="s">
        <v>1247</v>
      </c>
      <c r="K305" s="4" t="s">
        <v>1247</v>
      </c>
      <c r="L305" s="4" t="s">
        <v>1387</v>
      </c>
      <c r="M305" s="4" t="s">
        <v>1388</v>
      </c>
      <c r="N305" s="4" t="s">
        <v>1389</v>
      </c>
      <c r="O305" s="4" t="s">
        <v>1389</v>
      </c>
      <c r="P305" s="4" t="s">
        <v>1390</v>
      </c>
      <c r="Q305" s="4" t="s">
        <v>678</v>
      </c>
      <c r="R305" s="4"/>
      <c r="S305" s="4"/>
      <c r="T305" s="4"/>
      <c r="U305" s="4"/>
      <c r="V305" s="4"/>
      <c r="W305" s="4"/>
      <c r="X305" s="4"/>
      <c r="Y305" s="1"/>
      <c r="Z305" s="1"/>
      <c r="AA305" s="1"/>
      <c r="AB305" s="1"/>
      <c r="AC305" s="14"/>
    </row>
    <row x14ac:dyDescent="0.25" r="306" customHeight="1" ht="18.75">
      <c r="A306" s="1" t="s">
        <v>1247</v>
      </c>
      <c r="B306" s="14">
        <v>1.0166666666666666</v>
      </c>
      <c r="C306" s="3">
        <v>0.07740000000000001</v>
      </c>
      <c r="D306" s="4"/>
      <c r="E306" s="5">
        <f>TEXT(A306,"yyyy/mm/dd") &amp; " " &amp; TEXT(B306,"hh:mm:ss")</f>
      </c>
      <c r="F306" s="5"/>
      <c r="G306" s="5"/>
      <c r="H306" s="5"/>
      <c r="I306" s="14">
        <v>1.7416666666666667</v>
      </c>
      <c r="J306" s="14">
        <v>1.0166666666666666</v>
      </c>
      <c r="K306" s="14">
        <v>1.7305555555555556</v>
      </c>
      <c r="L306" s="14">
        <v>1.0152777777777777</v>
      </c>
      <c r="M306" s="14">
        <v>1.023611111111111</v>
      </c>
      <c r="N306" s="14">
        <v>1.01875</v>
      </c>
      <c r="O306" s="14">
        <v>1.7222222222222223</v>
      </c>
      <c r="P306" s="14">
        <v>1.0006944444444446</v>
      </c>
      <c r="Q306" s="14">
        <v>1.0020833333333334</v>
      </c>
      <c r="R306" s="20" t="s">
        <v>679</v>
      </c>
      <c r="S306" s="4"/>
      <c r="T306" s="4"/>
      <c r="U306" s="4"/>
      <c r="V306" s="4"/>
      <c r="W306" s="4"/>
      <c r="X306" s="4"/>
      <c r="Y306" s="1"/>
      <c r="Z306" s="1"/>
      <c r="AA306" s="1"/>
      <c r="AB306" s="1"/>
      <c r="AC306" s="14"/>
    </row>
    <row x14ac:dyDescent="0.25" r="307" customHeight="1" ht="18.75">
      <c r="A307" s="1" t="s">
        <v>1247</v>
      </c>
      <c r="B307" s="14">
        <v>1.7305555555555556</v>
      </c>
      <c r="C307" s="3">
        <v>0.0837</v>
      </c>
      <c r="D307" s="4"/>
      <c r="E307" s="5">
        <f>TEXT(A307,"yyyy/mm/dd") &amp; " " &amp; TEXT(B307,"hh:mm:ss")</f>
      </c>
      <c r="F307" s="5"/>
      <c r="G307" s="5"/>
      <c r="H307" s="5"/>
      <c r="I307" s="39">
        <v>0.0978</v>
      </c>
      <c r="J307" s="3">
        <v>0.07740000000000001</v>
      </c>
      <c r="K307" s="3">
        <v>0.0837</v>
      </c>
      <c r="L307" s="3">
        <v>0.0668</v>
      </c>
      <c r="M307" s="3">
        <v>0.052700000000000004</v>
      </c>
      <c r="N307" s="3">
        <v>0.0361</v>
      </c>
      <c r="O307" s="3">
        <v>0.0678</v>
      </c>
      <c r="P307" s="3">
        <v>0.098</v>
      </c>
      <c r="Q307" s="3">
        <v>0.07970000000000001</v>
      </c>
      <c r="R307" s="24">
        <v>1.2333333333333334</v>
      </c>
      <c r="S307" s="4"/>
      <c r="T307" s="4"/>
      <c r="U307" s="4"/>
      <c r="V307" s="4"/>
      <c r="W307" s="4"/>
      <c r="X307" s="4"/>
      <c r="Y307" s="1"/>
      <c r="Z307" s="1"/>
      <c r="AA307" s="1"/>
      <c r="AB307" s="1"/>
      <c r="AC307" s="14"/>
    </row>
    <row x14ac:dyDescent="0.25" r="308" customHeight="1" ht="18.75">
      <c r="A308" s="1" t="s">
        <v>1387</v>
      </c>
      <c r="B308" s="14">
        <v>1.0152777777777777</v>
      </c>
      <c r="C308" s="3">
        <v>0.0668</v>
      </c>
      <c r="D308" s="4"/>
      <c r="E308" s="5">
        <f>TEXT(A308,"yyyy/mm/dd") &amp; " " &amp; TEXT(B308,"hh:mm:ss")</f>
      </c>
      <c r="F308" s="5"/>
      <c r="G308" s="5"/>
      <c r="H308" s="5"/>
      <c r="I308" s="5"/>
      <c r="J308" s="4"/>
      <c r="K308" s="4"/>
      <c r="L308" s="4"/>
      <c r="M308" s="4"/>
      <c r="N308" s="4"/>
      <c r="O308" s="4"/>
      <c r="P308" s="4"/>
      <c r="Q308" s="4"/>
      <c r="R308" s="13">
        <v>0.0713</v>
      </c>
      <c r="S308" s="4"/>
      <c r="T308" s="4"/>
      <c r="U308" s="4"/>
      <c r="V308" s="4"/>
      <c r="W308" s="4"/>
      <c r="X308" s="4"/>
      <c r="Y308" s="1"/>
      <c r="Z308" s="1"/>
      <c r="AA308" s="1"/>
      <c r="AB308" s="1"/>
      <c r="AC308" s="14"/>
    </row>
    <row x14ac:dyDescent="0.25" r="309" customHeight="1" ht="18.75">
      <c r="A309" s="1" t="s">
        <v>1388</v>
      </c>
      <c r="B309" s="14">
        <v>1.023611111111111</v>
      </c>
      <c r="C309" s="3">
        <v>0.052700000000000004</v>
      </c>
      <c r="D309" s="4"/>
      <c r="E309" s="5">
        <f>TEXT(A309,"yyyy/mm/dd") &amp; " " &amp; TEXT(B309,"hh:mm:ss")</f>
      </c>
      <c r="F309" s="5"/>
      <c r="G309" s="5"/>
      <c r="H309" s="5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1"/>
      <c r="Z309" s="1"/>
      <c r="AA309" s="1"/>
      <c r="AB309" s="1"/>
      <c r="AC309" s="14"/>
    </row>
    <row x14ac:dyDescent="0.25" r="310" customHeight="1" ht="18.75">
      <c r="A310" s="1" t="s">
        <v>1389</v>
      </c>
      <c r="B310" s="14">
        <v>1.01875</v>
      </c>
      <c r="C310" s="3">
        <v>0.0361</v>
      </c>
      <c r="D310" s="4"/>
      <c r="E310" s="5">
        <f>TEXT(A310,"yyyy/mm/dd") &amp; " " &amp; TEXT(B310,"hh:mm:ss")</f>
      </c>
      <c r="F310" s="5"/>
      <c r="G310" s="5"/>
      <c r="H310" s="5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1"/>
      <c r="Z310" s="1"/>
      <c r="AA310" s="1"/>
      <c r="AB310" s="1"/>
      <c r="AC310" s="14"/>
    </row>
    <row x14ac:dyDescent="0.25" r="311" customHeight="1" ht="18.75">
      <c r="A311" s="1" t="s">
        <v>1389</v>
      </c>
      <c r="B311" s="14">
        <v>1.7222222222222223</v>
      </c>
      <c r="C311" s="3">
        <v>0.0678</v>
      </c>
      <c r="D311" s="4"/>
      <c r="E311" s="5">
        <f>TEXT(A311,"yyyy/mm/dd") &amp; " " &amp; TEXT(B311,"hh:mm:ss")</f>
      </c>
      <c r="F311" s="5"/>
      <c r="G311" s="5"/>
      <c r="H311" s="5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1"/>
      <c r="Z311" s="1"/>
      <c r="AA311" s="1"/>
      <c r="AB311" s="1"/>
      <c r="AC311" s="14"/>
    </row>
    <row x14ac:dyDescent="0.25" r="312" customHeight="1" ht="18.75">
      <c r="A312" s="1" t="s">
        <v>1390</v>
      </c>
      <c r="B312" s="14">
        <v>1.0006944444444446</v>
      </c>
      <c r="C312" s="3">
        <v>0.098</v>
      </c>
      <c r="D312" s="4"/>
      <c r="E312" s="5">
        <f>TEXT(A312,"yyyy/mm/dd") &amp; " " &amp; TEXT(B312,"hh:mm:ss")</f>
      </c>
      <c r="F312" s="5"/>
      <c r="G312" s="5"/>
      <c r="H312" s="5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1"/>
      <c r="Z312" s="1"/>
      <c r="AA312" s="1"/>
      <c r="AB312" s="1"/>
      <c r="AC312" s="14"/>
    </row>
    <row x14ac:dyDescent="0.25" r="313" customHeight="1" ht="18.75">
      <c r="A313" s="1" t="s">
        <v>678</v>
      </c>
      <c r="B313" s="14">
        <v>1.0020833333333334</v>
      </c>
      <c r="C313" s="3">
        <v>0.07970000000000001</v>
      </c>
      <c r="D313" s="4"/>
      <c r="E313" s="5">
        <f>TEXT(A313,"yyyy/mm/dd") &amp; " " &amp; TEXT(B313,"hh:mm:ss")</f>
      </c>
      <c r="F313" s="5"/>
      <c r="G313" s="5"/>
      <c r="H313" s="5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1"/>
      <c r="Z313" s="1"/>
      <c r="AA313" s="1"/>
      <c r="AB313" s="1"/>
      <c r="AC313" s="14"/>
    </row>
    <row x14ac:dyDescent="0.25" r="314" customHeight="1" ht="18.75">
      <c r="A314" s="40" t="s">
        <v>679</v>
      </c>
      <c r="B314" s="41">
        <v>1.2333333333333334</v>
      </c>
      <c r="C314" s="42">
        <v>0.0713</v>
      </c>
      <c r="D314" s="4"/>
      <c r="E314" s="43">
        <f>TEXT(A314,"yyyy/mm/dd") &amp; " " &amp; TEXT(B314,"hh:mm:ss")</f>
      </c>
      <c r="F314" s="5"/>
      <c r="G314" s="5"/>
      <c r="H314" s="5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1"/>
      <c r="Z314" s="1"/>
      <c r="AA314" s="1"/>
      <c r="AB314" s="40"/>
      <c r="AC314" s="41"/>
    </row>
    <row x14ac:dyDescent="0.25" r="315" customHeight="1" ht="18.75">
      <c r="A315" s="1" t="s">
        <v>697</v>
      </c>
      <c r="B315" s="14">
        <v>1.48125</v>
      </c>
      <c r="C315" s="3">
        <v>0.2837</v>
      </c>
      <c r="D315" s="4"/>
      <c r="E315" s="5">
        <f>TEXT(A315,"yyyy/mm/dd") &amp; " " &amp; TEXT(B315,"hh:mm:ss")</f>
      </c>
      <c r="F315" s="5"/>
      <c r="G315" s="5"/>
      <c r="H315" s="5"/>
      <c r="I315" s="5" t="s">
        <v>697</v>
      </c>
      <c r="J315" s="4" t="s">
        <v>697</v>
      </c>
      <c r="K315" s="4" t="s">
        <v>698</v>
      </c>
      <c r="L315" s="4" t="s">
        <v>699</v>
      </c>
      <c r="M315" s="20" t="s">
        <v>700</v>
      </c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1"/>
      <c r="Z315" s="1"/>
      <c r="AA315" s="1"/>
      <c r="AB315" s="1"/>
      <c r="AC315" s="14"/>
    </row>
    <row x14ac:dyDescent="0.25" r="316" customHeight="1" ht="18.75">
      <c r="A316" s="1" t="s">
        <v>697</v>
      </c>
      <c r="B316" s="14">
        <v>1.9048611111111111</v>
      </c>
      <c r="C316" s="3">
        <v>0.2381</v>
      </c>
      <c r="D316" s="4"/>
      <c r="E316" s="5">
        <f>TEXT(A316,"yyyy/mm/dd") &amp; " " &amp; TEXT(B316,"hh:mm:ss")</f>
      </c>
      <c r="F316" s="5"/>
      <c r="G316" s="5"/>
      <c r="H316" s="5"/>
      <c r="I316" s="14">
        <v>1.48125</v>
      </c>
      <c r="J316" s="14">
        <v>1.9048611111111111</v>
      </c>
      <c r="K316" s="14">
        <v>1.0166666666666666</v>
      </c>
      <c r="L316" s="14">
        <v>1.0090277777777779</v>
      </c>
      <c r="M316" s="24">
        <v>1.0180555555555555</v>
      </c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1"/>
      <c r="Z316" s="1"/>
      <c r="AA316" s="1"/>
      <c r="AB316" s="1"/>
      <c r="AC316" s="14"/>
    </row>
    <row x14ac:dyDescent="0.25" r="317" customHeight="1" ht="18.75">
      <c r="A317" s="1" t="s">
        <v>698</v>
      </c>
      <c r="B317" s="14">
        <v>1.0166666666666666</v>
      </c>
      <c r="C317" s="3">
        <v>0.305</v>
      </c>
      <c r="D317" s="4"/>
      <c r="E317" s="5">
        <f>TEXT(A317,"yyyy/mm/dd") &amp; " " &amp; TEXT(B317,"hh:mm:ss")</f>
      </c>
      <c r="F317" s="5"/>
      <c r="G317" s="5"/>
      <c r="H317" s="5"/>
      <c r="I317" s="39">
        <v>0.2837</v>
      </c>
      <c r="J317" s="3">
        <v>0.2381</v>
      </c>
      <c r="K317" s="3">
        <v>0.305</v>
      </c>
      <c r="L317" s="3">
        <v>0.1835</v>
      </c>
      <c r="M317" s="13">
        <v>0.18919999999999998</v>
      </c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1"/>
      <c r="Z317" s="1"/>
      <c r="AA317" s="1"/>
      <c r="AB317" s="1"/>
      <c r="AC317" s="14"/>
    </row>
    <row x14ac:dyDescent="0.25" r="318" customHeight="1" ht="18.75">
      <c r="A318" s="1" t="s">
        <v>699</v>
      </c>
      <c r="B318" s="14">
        <v>1.0090277777777779</v>
      </c>
      <c r="C318" s="3">
        <v>0.1835</v>
      </c>
      <c r="D318" s="4"/>
      <c r="E318" s="5">
        <f>TEXT(A318,"yyyy/mm/dd") &amp; " " &amp; TEXT(B318,"hh:mm:ss")</f>
      </c>
      <c r="F318" s="5"/>
      <c r="G318" s="5"/>
      <c r="H318" s="5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1"/>
      <c r="Z318" s="1"/>
      <c r="AA318" s="1"/>
      <c r="AB318" s="1"/>
      <c r="AC318" s="14"/>
    </row>
    <row x14ac:dyDescent="0.25" r="319" customHeight="1" ht="18.75">
      <c r="A319" s="40" t="s">
        <v>700</v>
      </c>
      <c r="B319" s="41">
        <v>1.0180555555555555</v>
      </c>
      <c r="C319" s="42">
        <v>0.18919999999999998</v>
      </c>
      <c r="D319" s="4"/>
      <c r="E319" s="43">
        <f>TEXT(A319,"yyyy/mm/dd") &amp; " " &amp; TEXT(B319,"hh:mm:ss")</f>
      </c>
      <c r="F319" s="5"/>
      <c r="G319" s="5"/>
      <c r="H319" s="5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1"/>
      <c r="Z319" s="1"/>
      <c r="AA319" s="1"/>
      <c r="AB319" s="40"/>
      <c r="AC319" s="41"/>
    </row>
    <row x14ac:dyDescent="0.25" r="320" customHeight="1" ht="18.75">
      <c r="A320" s="1" t="s">
        <v>1247</v>
      </c>
      <c r="B320" s="14">
        <v>1.9611111111111112</v>
      </c>
      <c r="C320" s="3">
        <v>0.24530000000000002</v>
      </c>
      <c r="D320" s="4"/>
      <c r="E320" s="5">
        <f>TEXT(A320,"yyyy/mm/dd") &amp; " " &amp; TEXT(B320,"hh:mm:ss")</f>
      </c>
      <c r="F320" s="5"/>
      <c r="G320" s="5"/>
      <c r="H320" s="5"/>
      <c r="I320" s="5" t="s">
        <v>1247</v>
      </c>
      <c r="J320" s="4" t="s">
        <v>1387</v>
      </c>
      <c r="K320" s="4" t="s">
        <v>1387</v>
      </c>
      <c r="L320" s="4" t="s">
        <v>1388</v>
      </c>
      <c r="M320" s="4" t="s">
        <v>1389</v>
      </c>
      <c r="N320" s="4" t="s">
        <v>1390</v>
      </c>
      <c r="O320" s="20" t="s">
        <v>678</v>
      </c>
      <c r="P320" s="4"/>
      <c r="Q320" s="4"/>
      <c r="R320" s="4"/>
      <c r="S320" s="4"/>
      <c r="T320" s="4"/>
      <c r="U320" s="4"/>
      <c r="V320" s="4"/>
      <c r="W320" s="4"/>
      <c r="X320" s="4"/>
      <c r="Y320" s="1"/>
      <c r="Z320" s="1"/>
      <c r="AA320" s="1"/>
      <c r="AB320" s="1"/>
      <c r="AC320" s="14"/>
    </row>
    <row x14ac:dyDescent="0.25" r="321" customHeight="1" ht="18.75">
      <c r="A321" s="1" t="s">
        <v>1387</v>
      </c>
      <c r="B321" s="14">
        <v>1.0152777777777777</v>
      </c>
      <c r="C321" s="3">
        <v>0.30219999999999997</v>
      </c>
      <c r="D321" s="4"/>
      <c r="E321" s="5">
        <f>TEXT(A321,"yyyy/mm/dd") &amp; " " &amp; TEXT(B321,"hh:mm:ss")</f>
      </c>
      <c r="F321" s="5"/>
      <c r="G321" s="5"/>
      <c r="H321" s="5"/>
      <c r="I321" s="14">
        <v>1.9611111111111112</v>
      </c>
      <c r="J321" s="14">
        <v>1.0152777777777777</v>
      </c>
      <c r="K321" s="14">
        <v>1.7229166666666667</v>
      </c>
      <c r="L321" s="14">
        <v>1.023611111111111</v>
      </c>
      <c r="M321" s="14">
        <v>1.01875</v>
      </c>
      <c r="N321" s="14">
        <v>1.0006944444444446</v>
      </c>
      <c r="O321" s="24">
        <v>1.0020833333333334</v>
      </c>
      <c r="P321" s="4"/>
      <c r="Q321" s="4"/>
      <c r="R321" s="4"/>
      <c r="S321" s="4"/>
      <c r="T321" s="4"/>
      <c r="U321" s="4"/>
      <c r="V321" s="4"/>
      <c r="W321" s="4"/>
      <c r="X321" s="4"/>
      <c r="Y321" s="1"/>
      <c r="Z321" s="1"/>
      <c r="AA321" s="1"/>
      <c r="AB321" s="1"/>
      <c r="AC321" s="14"/>
    </row>
    <row x14ac:dyDescent="0.25" r="322" customHeight="1" ht="18.75">
      <c r="A322" s="1" t="s">
        <v>1387</v>
      </c>
      <c r="B322" s="14">
        <v>1.7229166666666667</v>
      </c>
      <c r="C322" s="3">
        <v>0.3937</v>
      </c>
      <c r="D322" s="4"/>
      <c r="E322" s="5">
        <f>TEXT(A322,"yyyy/mm/dd") &amp; " " &amp; TEXT(B322,"hh:mm:ss")</f>
      </c>
      <c r="F322" s="5"/>
      <c r="G322" s="5"/>
      <c r="H322" s="5"/>
      <c r="I322" s="39">
        <v>0.24530000000000002</v>
      </c>
      <c r="J322" s="3">
        <v>0.30219999999999997</v>
      </c>
      <c r="K322" s="3">
        <v>0.3937</v>
      </c>
      <c r="L322" s="3">
        <v>0.2539</v>
      </c>
      <c r="M322" s="3">
        <v>0.2859</v>
      </c>
      <c r="N322" s="3">
        <v>0.32430000000000003</v>
      </c>
      <c r="O322" s="13">
        <v>0.1812</v>
      </c>
      <c r="P322" s="4"/>
      <c r="Q322" s="4"/>
      <c r="R322" s="4"/>
      <c r="S322" s="4"/>
      <c r="T322" s="4"/>
      <c r="U322" s="4"/>
      <c r="V322" s="4"/>
      <c r="W322" s="4"/>
      <c r="X322" s="4"/>
      <c r="Y322" s="1"/>
      <c r="Z322" s="1"/>
      <c r="AA322" s="1"/>
      <c r="AB322" s="1"/>
      <c r="AC322" s="14"/>
    </row>
    <row x14ac:dyDescent="0.25" r="323" customHeight="1" ht="18.75">
      <c r="A323" s="1" t="s">
        <v>1388</v>
      </c>
      <c r="B323" s="14">
        <v>1.023611111111111</v>
      </c>
      <c r="C323" s="3">
        <v>0.2539</v>
      </c>
      <c r="D323" s="4"/>
      <c r="E323" s="5">
        <f>TEXT(A323,"yyyy/mm/dd") &amp; " " &amp; TEXT(B323,"hh:mm:ss")</f>
      </c>
      <c r="F323" s="5"/>
      <c r="G323" s="5"/>
      <c r="H323" s="5"/>
      <c r="I323" s="5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1"/>
      <c r="Z323" s="1"/>
      <c r="AA323" s="1"/>
      <c r="AB323" s="1"/>
      <c r="AC323" s="14"/>
    </row>
    <row x14ac:dyDescent="0.25" r="324" customHeight="1" ht="18.75">
      <c r="A324" s="1" t="s">
        <v>1389</v>
      </c>
      <c r="B324" s="14">
        <v>1.01875</v>
      </c>
      <c r="C324" s="3">
        <v>0.2859</v>
      </c>
      <c r="D324" s="4"/>
      <c r="E324" s="5">
        <f>TEXT(A324,"yyyy/mm/dd") &amp; " " &amp; TEXT(B324,"hh:mm:ss")</f>
      </c>
      <c r="F324" s="5"/>
      <c r="G324" s="5"/>
      <c r="H324" s="5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1"/>
      <c r="Z324" s="1"/>
      <c r="AA324" s="1"/>
      <c r="AB324" s="1"/>
      <c r="AC324" s="14"/>
    </row>
    <row x14ac:dyDescent="0.25" r="325" customHeight="1" ht="18.75">
      <c r="A325" s="1" t="s">
        <v>1390</v>
      </c>
      <c r="B325" s="14">
        <v>1.0006944444444446</v>
      </c>
      <c r="C325" s="3">
        <v>0.32430000000000003</v>
      </c>
      <c r="D325" s="4"/>
      <c r="E325" s="5">
        <f>TEXT(A325,"yyyy/mm/dd") &amp; " " &amp; TEXT(B325,"hh:mm:ss")</f>
      </c>
      <c r="F325" s="5"/>
      <c r="G325" s="5"/>
      <c r="H325" s="5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1"/>
      <c r="Z325" s="1"/>
      <c r="AA325" s="1"/>
      <c r="AB325" s="1"/>
      <c r="AC325" s="14"/>
    </row>
    <row x14ac:dyDescent="0.25" r="326" customHeight="1" ht="18.75">
      <c r="A326" s="40" t="s">
        <v>678</v>
      </c>
      <c r="B326" s="41">
        <v>1.0020833333333334</v>
      </c>
      <c r="C326" s="42">
        <v>0.1812</v>
      </c>
      <c r="D326" s="4"/>
      <c r="E326" s="43">
        <f>TEXT(A326,"yyyy/mm/dd") &amp; " " &amp; TEXT(B326,"hh:mm:ss")</f>
      </c>
      <c r="F326" s="5"/>
      <c r="G326" s="5"/>
      <c r="H326" s="5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1"/>
      <c r="Z326" s="1"/>
      <c r="AA326" s="1"/>
      <c r="AB326" s="40"/>
      <c r="AC326" s="41"/>
    </row>
    <row x14ac:dyDescent="0.25" r="327" customHeight="1" ht="18.75">
      <c r="A327" s="1" t="s">
        <v>712</v>
      </c>
      <c r="B327" s="14">
        <v>1.848611111111111</v>
      </c>
      <c r="C327" s="3">
        <v>0.0997</v>
      </c>
      <c r="D327" s="4"/>
      <c r="E327" s="5">
        <f>TEXT(A327,"yyyy/mm/dd") &amp; " " &amp; TEXT(B327,"hh:mm:ss")</f>
      </c>
      <c r="F327" s="5"/>
      <c r="G327" s="5"/>
      <c r="H327" s="5"/>
      <c r="I327" s="5" t="s">
        <v>712</v>
      </c>
      <c r="J327" s="4" t="s">
        <v>713</v>
      </c>
      <c r="K327" s="4" t="s">
        <v>713</v>
      </c>
      <c r="L327" s="4" t="s">
        <v>713</v>
      </c>
      <c r="M327" s="4" t="s">
        <v>714</v>
      </c>
      <c r="N327" s="4" t="s">
        <v>715</v>
      </c>
      <c r="O327" s="4" t="s">
        <v>716</v>
      </c>
      <c r="P327" s="20" t="s">
        <v>717</v>
      </c>
      <c r="Q327" s="4"/>
      <c r="R327" s="4"/>
      <c r="S327" s="4"/>
      <c r="T327" s="4"/>
      <c r="U327" s="4"/>
      <c r="V327" s="4"/>
      <c r="W327" s="4"/>
      <c r="X327" s="4"/>
      <c r="Y327" s="1"/>
      <c r="Z327" s="1"/>
      <c r="AA327" s="1"/>
      <c r="AB327" s="1"/>
      <c r="AC327" s="14"/>
    </row>
    <row x14ac:dyDescent="0.25" r="328" customHeight="1" ht="18.75">
      <c r="A328" s="1" t="s">
        <v>713</v>
      </c>
      <c r="B328" s="14">
        <v>1.0368055555555555</v>
      </c>
      <c r="C328" s="5"/>
      <c r="D328" s="4"/>
      <c r="E328" s="5">
        <f>TEXT(A328,"yyyy/mm/dd") &amp; " " &amp; TEXT(B328,"hh:mm:ss")</f>
      </c>
      <c r="F328" s="5"/>
      <c r="G328" s="5"/>
      <c r="H328" s="5"/>
      <c r="I328" s="14">
        <v>1.848611111111111</v>
      </c>
      <c r="J328" s="14">
        <v>1.0368055555555555</v>
      </c>
      <c r="K328" s="14">
        <v>1.2486111111111111</v>
      </c>
      <c r="L328" s="14">
        <v>1.4972222222222222</v>
      </c>
      <c r="M328" s="14">
        <v>1.0097222222222222</v>
      </c>
      <c r="N328" s="14">
        <v>1.0166666666666666</v>
      </c>
      <c r="O328" s="14"/>
      <c r="P328" s="24">
        <v>1.0013888888888889</v>
      </c>
      <c r="Q328" s="4"/>
      <c r="R328" s="4"/>
      <c r="S328" s="4"/>
      <c r="T328" s="4"/>
      <c r="U328" s="4"/>
      <c r="V328" s="4"/>
      <c r="W328" s="4"/>
      <c r="X328" s="4"/>
      <c r="Y328" s="1"/>
      <c r="Z328" s="1"/>
      <c r="AA328" s="1"/>
      <c r="AB328" s="1"/>
      <c r="AC328" s="14"/>
    </row>
    <row x14ac:dyDescent="0.25" r="329" customHeight="1" ht="18.75">
      <c r="A329" s="1" t="s">
        <v>713</v>
      </c>
      <c r="B329" s="14">
        <v>1.2486111111111111</v>
      </c>
      <c r="C329" s="3">
        <v>0.4614</v>
      </c>
      <c r="D329" s="4"/>
      <c r="E329" s="5">
        <f>TEXT(A329,"yyyy/mm/dd") &amp; " " &amp; TEXT(B329,"hh:mm:ss")</f>
      </c>
      <c r="F329" s="5"/>
      <c r="G329" s="5"/>
      <c r="H329" s="5"/>
      <c r="I329" s="39">
        <v>0.0997</v>
      </c>
      <c r="J329" s="4"/>
      <c r="K329" s="3">
        <v>0.4614</v>
      </c>
      <c r="L329" s="3">
        <v>0.3812</v>
      </c>
      <c r="M329" s="3">
        <v>0.4395</v>
      </c>
      <c r="N329" s="3">
        <v>0.49339999999999995</v>
      </c>
      <c r="O329" s="3">
        <v>0.4702</v>
      </c>
      <c r="P329" s="13">
        <v>0.31560000000000005</v>
      </c>
      <c r="Q329" s="4"/>
      <c r="R329" s="4"/>
      <c r="S329" s="4"/>
      <c r="T329" s="4"/>
      <c r="U329" s="4"/>
      <c r="V329" s="4"/>
      <c r="W329" s="4"/>
      <c r="X329" s="4"/>
      <c r="Y329" s="1"/>
      <c r="Z329" s="1"/>
      <c r="AA329" s="1"/>
      <c r="AB329" s="1"/>
      <c r="AC329" s="14"/>
    </row>
    <row x14ac:dyDescent="0.25" r="330" customHeight="1" ht="18.75">
      <c r="A330" s="1" t="s">
        <v>713</v>
      </c>
      <c r="B330" s="14">
        <v>1.4972222222222222</v>
      </c>
      <c r="C330" s="3">
        <v>0.3812</v>
      </c>
      <c r="D330" s="4"/>
      <c r="E330" s="5">
        <f>TEXT(A330,"yyyy/mm/dd") &amp; " " &amp; TEXT(B330,"hh:mm:ss")</f>
      </c>
      <c r="F330" s="5"/>
      <c r="G330" s="5"/>
      <c r="H330" s="5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1"/>
      <c r="Z330" s="1"/>
      <c r="AA330" s="1"/>
      <c r="AB330" s="1"/>
      <c r="AC330" s="14"/>
    </row>
    <row x14ac:dyDescent="0.25" r="331" customHeight="1" ht="18.75">
      <c r="A331" s="1" t="s">
        <v>714</v>
      </c>
      <c r="B331" s="14">
        <v>1.0097222222222222</v>
      </c>
      <c r="C331" s="3">
        <v>0.4395</v>
      </c>
      <c r="D331" s="4"/>
      <c r="E331" s="5">
        <f>TEXT(A331,"yyyy/mm/dd") &amp; " " &amp; TEXT(B331,"hh:mm:ss")</f>
      </c>
      <c r="F331" s="5"/>
      <c r="G331" s="5"/>
      <c r="H331" s="5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1"/>
      <c r="Z331" s="1"/>
      <c r="AA331" s="1"/>
      <c r="AB331" s="1"/>
      <c r="AC331" s="14"/>
    </row>
    <row x14ac:dyDescent="0.25" r="332" customHeight="1" ht="18.75">
      <c r="A332" s="1" t="s">
        <v>715</v>
      </c>
      <c r="B332" s="14">
        <v>1.0166666666666666</v>
      </c>
      <c r="C332" s="3">
        <v>0.49339999999999995</v>
      </c>
      <c r="D332" s="4"/>
      <c r="E332" s="5">
        <f>TEXT(A332,"yyyy/mm/dd") &amp; " " &amp; TEXT(B332,"hh:mm:ss")</f>
      </c>
      <c r="F332" s="5"/>
      <c r="G332" s="5"/>
      <c r="H332" s="5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1"/>
      <c r="Z332" s="1"/>
      <c r="AA332" s="1"/>
      <c r="AB332" s="1"/>
      <c r="AC332" s="14"/>
    </row>
    <row x14ac:dyDescent="0.25" r="333" customHeight="1" ht="18.75">
      <c r="A333" s="1" t="s">
        <v>716</v>
      </c>
      <c r="B333" s="14"/>
      <c r="C333" s="3">
        <v>0.4702</v>
      </c>
      <c r="D333" s="4"/>
      <c r="E333" s="5">
        <f>TEXT(A333,"yyyy/mm/dd") &amp; " " &amp; TEXT(B333,"hh:mm:ss")</f>
      </c>
      <c r="F333" s="5"/>
      <c r="G333" s="5"/>
      <c r="H333" s="5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1"/>
      <c r="Z333" s="1"/>
      <c r="AA333" s="1"/>
      <c r="AB333" s="1"/>
      <c r="AC333" s="14"/>
    </row>
    <row x14ac:dyDescent="0.25" r="334" customHeight="1" ht="18.75">
      <c r="A334" s="40" t="s">
        <v>717</v>
      </c>
      <c r="B334" s="41">
        <v>1.0013888888888889</v>
      </c>
      <c r="C334" s="42">
        <v>0.31560000000000005</v>
      </c>
      <c r="D334" s="4"/>
      <c r="E334" s="43">
        <f>TEXT(A334,"yyyy/mm/dd") &amp; " " &amp; TEXT(B334,"hh:mm:ss")</f>
      </c>
      <c r="F334" s="5"/>
      <c r="G334" s="5"/>
      <c r="H334" s="5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1"/>
      <c r="Z334" s="1"/>
      <c r="AA334" s="1"/>
      <c r="AB334" s="40"/>
      <c r="AC334" s="41"/>
    </row>
    <row x14ac:dyDescent="0.25" r="335" customHeight="1" ht="18.75">
      <c r="A335" s="1" t="s">
        <v>1391</v>
      </c>
      <c r="B335" s="14">
        <v>1.4583333333333333</v>
      </c>
      <c r="C335" s="3">
        <v>1.189</v>
      </c>
      <c r="D335" s="4"/>
      <c r="E335" s="5">
        <f>TEXT(A335,"yyyy/mm/dd") &amp; " " &amp; TEXT(B335,"hh:mm:ss")</f>
      </c>
      <c r="F335" s="5"/>
      <c r="G335" s="5"/>
      <c r="H335" s="5"/>
      <c r="I335" s="5" t="s">
        <v>1391</v>
      </c>
      <c r="J335" s="4" t="s">
        <v>1392</v>
      </c>
      <c r="K335" s="4" t="s">
        <v>1392</v>
      </c>
      <c r="L335" s="4" t="s">
        <v>1393</v>
      </c>
      <c r="M335" s="4" t="s">
        <v>1394</v>
      </c>
      <c r="N335" s="4" t="s">
        <v>1395</v>
      </c>
      <c r="O335" s="4" t="s">
        <v>1396</v>
      </c>
      <c r="P335" s="20" t="s">
        <v>1397</v>
      </c>
      <c r="Q335" s="4"/>
      <c r="R335" s="4"/>
      <c r="S335" s="4"/>
      <c r="T335" s="4"/>
      <c r="U335" s="4"/>
      <c r="V335" s="4"/>
      <c r="W335" s="4"/>
      <c r="X335" s="4"/>
      <c r="Y335" s="1"/>
      <c r="Z335" s="1"/>
      <c r="AA335" s="1"/>
      <c r="AB335" s="1"/>
      <c r="AC335" s="14"/>
    </row>
    <row x14ac:dyDescent="0.25" r="336" customHeight="1" ht="18.75">
      <c r="A336" s="1" t="s">
        <v>1392</v>
      </c>
      <c r="B336" s="14">
        <v>1.0118055555555556</v>
      </c>
      <c r="C336" s="3">
        <v>0.8827</v>
      </c>
      <c r="D336" s="4"/>
      <c r="E336" s="5">
        <f>TEXT(A336,"yyyy/mm/dd") &amp; " " &amp; TEXT(B336,"hh:mm:ss")</f>
      </c>
      <c r="F336" s="5"/>
      <c r="G336" s="5"/>
      <c r="H336" s="5"/>
      <c r="I336" s="14">
        <v>1.4583333333333333</v>
      </c>
      <c r="J336" s="14">
        <v>1.0118055555555556</v>
      </c>
      <c r="K336" s="14">
        <v>1.801388888888889</v>
      </c>
      <c r="L336" s="14">
        <v>1.0069444444444444</v>
      </c>
      <c r="M336" s="14">
        <v>1.0145833333333334</v>
      </c>
      <c r="N336" s="14">
        <v>1.0090277777777779</v>
      </c>
      <c r="O336" s="14">
        <v>1.007638888888889</v>
      </c>
      <c r="P336" s="24">
        <v>1.0034722222222223</v>
      </c>
      <c r="Q336" s="4"/>
      <c r="R336" s="4"/>
      <c r="S336" s="4"/>
      <c r="T336" s="4"/>
      <c r="U336" s="4"/>
      <c r="V336" s="4"/>
      <c r="W336" s="4"/>
      <c r="X336" s="4"/>
      <c r="Y336" s="1"/>
      <c r="Z336" s="1"/>
      <c r="AA336" s="1"/>
      <c r="AB336" s="1"/>
      <c r="AC336" s="14"/>
    </row>
    <row x14ac:dyDescent="0.25" r="337" customHeight="1" ht="18.75">
      <c r="A337" s="1" t="s">
        <v>1392</v>
      </c>
      <c r="B337" s="14">
        <v>1.801388888888889</v>
      </c>
      <c r="C337" s="3">
        <v>0.6079</v>
      </c>
      <c r="D337" s="4"/>
      <c r="E337" s="5">
        <f>TEXT(A337,"yyyy/mm/dd") &amp; " " &amp; TEXT(B337,"hh:mm:ss")</f>
      </c>
      <c r="F337" s="5"/>
      <c r="G337" s="5"/>
      <c r="H337" s="5"/>
      <c r="I337" s="39">
        <v>1.189</v>
      </c>
      <c r="J337" s="3">
        <v>0.8827</v>
      </c>
      <c r="K337" s="3">
        <v>0.6079</v>
      </c>
      <c r="L337" s="3">
        <v>0.3697</v>
      </c>
      <c r="M337" s="3">
        <v>0.1576</v>
      </c>
      <c r="N337" s="3">
        <v>0.0847</v>
      </c>
      <c r="O337" s="3">
        <v>0.0594</v>
      </c>
      <c r="P337" s="13">
        <v>0.0405</v>
      </c>
      <c r="Q337" s="4"/>
      <c r="R337" s="4"/>
      <c r="S337" s="4"/>
      <c r="T337" s="4"/>
      <c r="U337" s="4"/>
      <c r="V337" s="4"/>
      <c r="W337" s="4"/>
      <c r="X337" s="4"/>
      <c r="Y337" s="1"/>
      <c r="Z337" s="1"/>
      <c r="AA337" s="1"/>
      <c r="AB337" s="1"/>
      <c r="AC337" s="14"/>
    </row>
    <row x14ac:dyDescent="0.25" r="338" customHeight="1" ht="18.75">
      <c r="A338" s="1" t="s">
        <v>1393</v>
      </c>
      <c r="B338" s="14">
        <v>1.0069444444444444</v>
      </c>
      <c r="C338" s="3">
        <v>0.3697</v>
      </c>
      <c r="D338" s="4"/>
      <c r="E338" s="5">
        <f>TEXT(A338,"yyyy/mm/dd") &amp; " " &amp; TEXT(B338,"hh:mm:ss")</f>
      </c>
      <c r="F338" s="5"/>
      <c r="G338" s="5"/>
      <c r="H338" s="5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1"/>
      <c r="Z338" s="1"/>
      <c r="AA338" s="1"/>
      <c r="AB338" s="1"/>
      <c r="AC338" s="14"/>
    </row>
    <row x14ac:dyDescent="0.25" r="339" customHeight="1" ht="18.75">
      <c r="A339" s="1" t="s">
        <v>1394</v>
      </c>
      <c r="B339" s="14">
        <v>1.0145833333333334</v>
      </c>
      <c r="C339" s="3">
        <v>0.1576</v>
      </c>
      <c r="D339" s="4"/>
      <c r="E339" s="5">
        <f>TEXT(A339,"yyyy/mm/dd") &amp; " " &amp; TEXT(B339,"hh:mm:ss")</f>
      </c>
      <c r="F339" s="5"/>
      <c r="G339" s="5"/>
      <c r="H339" s="5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1"/>
      <c r="Z339" s="1"/>
      <c r="AA339" s="1"/>
      <c r="AB339" s="1"/>
      <c r="AC339" s="14"/>
    </row>
    <row x14ac:dyDescent="0.25" r="340" customHeight="1" ht="18.75">
      <c r="A340" s="1" t="s">
        <v>1395</v>
      </c>
      <c r="B340" s="14">
        <v>1.0090277777777779</v>
      </c>
      <c r="C340" s="3">
        <v>0.0847</v>
      </c>
      <c r="D340" s="4"/>
      <c r="E340" s="5">
        <f>TEXT(A340,"yyyy/mm/dd") &amp; " " &amp; TEXT(B340,"hh:mm:ss")</f>
      </c>
      <c r="F340" s="5"/>
      <c r="G340" s="5"/>
      <c r="H340" s="5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1"/>
      <c r="Z340" s="1"/>
      <c r="AA340" s="1"/>
      <c r="AB340" s="1"/>
      <c r="AC340" s="14"/>
    </row>
    <row x14ac:dyDescent="0.25" r="341" customHeight="1" ht="18.75">
      <c r="A341" s="1" t="s">
        <v>1396</v>
      </c>
      <c r="B341" s="14">
        <v>1.007638888888889</v>
      </c>
      <c r="C341" s="3">
        <v>0.0594</v>
      </c>
      <c r="D341" s="4"/>
      <c r="E341" s="5">
        <f>TEXT(A341,"yyyy/mm/dd") &amp; " " &amp; TEXT(B341,"hh:mm:ss")</f>
      </c>
      <c r="F341" s="5"/>
      <c r="G341" s="5"/>
      <c r="H341" s="5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1"/>
      <c r="Z341" s="1"/>
      <c r="AA341" s="1"/>
      <c r="AB341" s="1"/>
      <c r="AC341" s="14"/>
    </row>
    <row x14ac:dyDescent="0.25" r="342" customHeight="1" ht="18.75">
      <c r="A342" s="40" t="s">
        <v>1397</v>
      </c>
      <c r="B342" s="41">
        <v>1.0034722222222223</v>
      </c>
      <c r="C342" s="42">
        <v>0.0405</v>
      </c>
      <c r="D342" s="4"/>
      <c r="E342" s="43">
        <f>TEXT(A342,"yyyy/mm/dd") &amp; " " &amp; TEXT(B342,"hh:mm:ss")</f>
      </c>
      <c r="F342" s="5"/>
      <c r="G342" s="5"/>
      <c r="H342" s="5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1"/>
      <c r="Z342" s="1"/>
      <c r="AA342" s="1"/>
      <c r="AB342" s="40"/>
      <c r="AC342" s="41"/>
    </row>
    <row x14ac:dyDescent="0.25" r="343" customHeight="1" ht="18.75">
      <c r="A343" s="1" t="s">
        <v>1249</v>
      </c>
      <c r="B343" s="14">
        <v>1.838888888888889</v>
      </c>
      <c r="C343" s="3">
        <v>0.035</v>
      </c>
      <c r="D343" s="4"/>
      <c r="E343" s="5">
        <f>TEXT(A343,"yyyy/mm/dd") &amp; " " &amp; TEXT(B343,"hh:mm:ss")</f>
      </c>
      <c r="F343" s="5"/>
      <c r="G343" s="5"/>
      <c r="H343" s="5"/>
      <c r="I343" s="5" t="s">
        <v>1249</v>
      </c>
      <c r="J343" s="4" t="s">
        <v>1398</v>
      </c>
      <c r="K343" s="4" t="s">
        <v>1398</v>
      </c>
      <c r="L343" s="4" t="s">
        <v>1398</v>
      </c>
      <c r="M343" s="4" t="s">
        <v>1399</v>
      </c>
      <c r="N343" s="4" t="s">
        <v>1400</v>
      </c>
      <c r="O343" s="4" t="s">
        <v>1401</v>
      </c>
      <c r="P343" s="4" t="s">
        <v>1402</v>
      </c>
      <c r="Q343" s="20" t="s">
        <v>1403</v>
      </c>
      <c r="R343" s="4"/>
      <c r="S343" s="4"/>
      <c r="T343" s="4"/>
      <c r="U343" s="4"/>
      <c r="V343" s="4"/>
      <c r="W343" s="4"/>
      <c r="X343" s="4"/>
      <c r="Y343" s="1"/>
      <c r="Z343" s="1"/>
      <c r="AA343" s="1"/>
      <c r="AB343" s="1"/>
      <c r="AC343" s="14"/>
    </row>
    <row x14ac:dyDescent="0.25" r="344" customHeight="1" ht="18.75">
      <c r="A344" s="1" t="s">
        <v>1398</v>
      </c>
      <c r="B344" s="14">
        <v>1.1340277777777779</v>
      </c>
      <c r="C344" s="3">
        <v>5.61</v>
      </c>
      <c r="D344" s="4"/>
      <c r="E344" s="5">
        <f>TEXT(A344,"yyyy/mm/dd") &amp; " " &amp; TEXT(B344,"hh:mm:ss")</f>
      </c>
      <c r="F344" s="5"/>
      <c r="G344" s="5"/>
      <c r="H344" s="5"/>
      <c r="I344" s="14">
        <v>1.838888888888889</v>
      </c>
      <c r="J344" s="14">
        <v>1.1340277777777779</v>
      </c>
      <c r="K344" s="14">
        <v>1.1472222222222221</v>
      </c>
      <c r="L344" s="14">
        <v>1.6402777777777777</v>
      </c>
      <c r="M344" s="14">
        <v>1.0458333333333334</v>
      </c>
      <c r="N344" s="14">
        <v>1.0125</v>
      </c>
      <c r="O344" s="14">
        <v>1.023611111111111</v>
      </c>
      <c r="P344" s="14">
        <v>1.0020833333333334</v>
      </c>
      <c r="Q344" s="24">
        <v>1.007638888888889</v>
      </c>
      <c r="R344" s="4"/>
      <c r="S344" s="4"/>
      <c r="T344" s="4"/>
      <c r="U344" s="4"/>
      <c r="V344" s="4"/>
      <c r="W344" s="4"/>
      <c r="X344" s="4"/>
      <c r="Y344" s="1"/>
      <c r="Z344" s="1"/>
      <c r="AA344" s="1"/>
      <c r="AB344" s="1"/>
      <c r="AC344" s="14"/>
    </row>
    <row x14ac:dyDescent="0.25" r="345" customHeight="1" ht="18.75">
      <c r="A345" s="1" t="s">
        <v>1398</v>
      </c>
      <c r="B345" s="14">
        <v>1.1472222222222221</v>
      </c>
      <c r="C345" s="3">
        <v>6.17</v>
      </c>
      <c r="D345" s="4"/>
      <c r="E345" s="5">
        <f>TEXT(A345,"yyyy/mm/dd") &amp; " " &amp; TEXT(B345,"hh:mm:ss")</f>
      </c>
      <c r="F345" s="5"/>
      <c r="G345" s="5"/>
      <c r="H345" s="5"/>
      <c r="I345" s="39">
        <v>0.035</v>
      </c>
      <c r="J345" s="3">
        <v>5.61</v>
      </c>
      <c r="K345" s="3">
        <v>6.17</v>
      </c>
      <c r="L345" s="3">
        <v>3.09</v>
      </c>
      <c r="M345" s="3">
        <v>3.16</v>
      </c>
      <c r="N345" s="3">
        <v>3.87</v>
      </c>
      <c r="O345" s="3">
        <v>3.79</v>
      </c>
      <c r="P345" s="3">
        <v>3.1</v>
      </c>
      <c r="Q345" s="13">
        <v>1.43</v>
      </c>
      <c r="R345" s="4"/>
      <c r="S345" s="4"/>
      <c r="T345" s="4"/>
      <c r="U345" s="4"/>
      <c r="V345" s="4"/>
      <c r="W345" s="4"/>
      <c r="X345" s="4"/>
      <c r="Y345" s="1"/>
      <c r="Z345" s="1"/>
      <c r="AA345" s="1"/>
      <c r="AB345" s="1"/>
      <c r="AC345" s="14"/>
    </row>
    <row x14ac:dyDescent="0.25" r="346" customHeight="1" ht="18.75">
      <c r="A346" s="1" t="s">
        <v>1398</v>
      </c>
      <c r="B346" s="14">
        <v>1.6402777777777777</v>
      </c>
      <c r="C346" s="3">
        <v>3.09</v>
      </c>
      <c r="D346" s="4"/>
      <c r="E346" s="5">
        <f>TEXT(A346,"yyyy/mm/dd") &amp; " " &amp; TEXT(B346,"hh:mm:ss")</f>
      </c>
      <c r="F346" s="5"/>
      <c r="G346" s="5"/>
      <c r="H346" s="5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1"/>
      <c r="Z346" s="1"/>
      <c r="AA346" s="1"/>
      <c r="AB346" s="1"/>
      <c r="AC346" s="14"/>
    </row>
    <row x14ac:dyDescent="0.25" r="347" customHeight="1" ht="18.75">
      <c r="A347" s="1" t="s">
        <v>1399</v>
      </c>
      <c r="B347" s="14">
        <v>1.0458333333333334</v>
      </c>
      <c r="C347" s="3">
        <v>3.16</v>
      </c>
      <c r="D347" s="4"/>
      <c r="E347" s="5">
        <f>TEXT(A347,"yyyy/mm/dd") &amp; " " &amp; TEXT(B347,"hh:mm:ss")</f>
      </c>
      <c r="F347" s="5"/>
      <c r="G347" s="5"/>
      <c r="H347" s="5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1"/>
      <c r="Z347" s="1"/>
      <c r="AA347" s="1"/>
      <c r="AB347" s="1"/>
      <c r="AC347" s="14"/>
    </row>
    <row x14ac:dyDescent="0.25" r="348" customHeight="1" ht="18.75">
      <c r="A348" s="1" t="s">
        <v>1400</v>
      </c>
      <c r="B348" s="14">
        <v>1.0125</v>
      </c>
      <c r="C348" s="3">
        <v>3.87</v>
      </c>
      <c r="D348" s="4"/>
      <c r="E348" s="5">
        <f>TEXT(A348,"yyyy/mm/dd") &amp; " " &amp; TEXT(B348,"hh:mm:ss")</f>
      </c>
      <c r="F348" s="5"/>
      <c r="G348" s="5"/>
      <c r="H348" s="5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1"/>
      <c r="Z348" s="1"/>
      <c r="AA348" s="1"/>
      <c r="AB348" s="1"/>
      <c r="AC348" s="14"/>
    </row>
    <row x14ac:dyDescent="0.25" r="349" customHeight="1" ht="18.75">
      <c r="A349" s="1" t="s">
        <v>1401</v>
      </c>
      <c r="B349" s="14">
        <v>1.023611111111111</v>
      </c>
      <c r="C349" s="3">
        <v>3.79</v>
      </c>
      <c r="D349" s="4"/>
      <c r="E349" s="5">
        <f>TEXT(A349,"yyyy/mm/dd") &amp; " " &amp; TEXT(B349,"hh:mm:ss")</f>
      </c>
      <c r="F349" s="5"/>
      <c r="G349" s="5"/>
      <c r="H349" s="5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1"/>
      <c r="Z349" s="1"/>
      <c r="AA349" s="1"/>
      <c r="AB349" s="1"/>
      <c r="AC349" s="14"/>
    </row>
    <row x14ac:dyDescent="0.25" r="350" customHeight="1" ht="18.75">
      <c r="A350" s="1" t="s">
        <v>1402</v>
      </c>
      <c r="B350" s="14">
        <v>1.0020833333333334</v>
      </c>
      <c r="C350" s="3">
        <v>3.1</v>
      </c>
      <c r="D350" s="4"/>
      <c r="E350" s="5">
        <f>TEXT(A350,"yyyy/mm/dd") &amp; " " &amp; TEXT(B350,"hh:mm:ss")</f>
      </c>
      <c r="F350" s="5"/>
      <c r="G350" s="5"/>
      <c r="H350" s="5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1"/>
      <c r="Z350" s="1"/>
      <c r="AA350" s="1"/>
      <c r="AB350" s="1"/>
      <c r="AC350" s="14"/>
    </row>
    <row x14ac:dyDescent="0.25" r="351" customHeight="1" ht="18.75">
      <c r="A351" s="40" t="s">
        <v>1403</v>
      </c>
      <c r="B351" s="41">
        <v>1.007638888888889</v>
      </c>
      <c r="C351" s="42">
        <v>1.43</v>
      </c>
      <c r="D351" s="4"/>
      <c r="E351" s="43">
        <f>TEXT(A351,"yyyy/mm/dd") &amp; " " &amp; TEXT(B351,"hh:mm:ss")</f>
      </c>
      <c r="F351" s="5"/>
      <c r="G351" s="5"/>
      <c r="H351" s="5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1"/>
      <c r="Z351" s="1"/>
      <c r="AA351" s="1"/>
      <c r="AB351" s="40"/>
      <c r="AC351" s="41"/>
    </row>
    <row x14ac:dyDescent="0.25" r="352" customHeight="1" ht="18.75">
      <c r="A352" s="1" t="s">
        <v>606</v>
      </c>
      <c r="B352" s="14">
        <v>1.5763888888888888</v>
      </c>
      <c r="C352" s="3">
        <v>0.096</v>
      </c>
      <c r="D352" s="4"/>
      <c r="E352" s="5">
        <f>TEXT(A352,"yyyy/mm/dd") &amp; " " &amp; TEXT(B352,"hh:mm:ss")</f>
      </c>
      <c r="F352" s="5"/>
      <c r="G352" s="5"/>
      <c r="H352" s="5"/>
      <c r="I352" s="5" t="s">
        <v>606</v>
      </c>
      <c r="J352" s="4" t="s">
        <v>607</v>
      </c>
      <c r="K352" s="4" t="s">
        <v>608</v>
      </c>
      <c r="L352" s="4" t="s">
        <v>608</v>
      </c>
      <c r="M352" s="20" t="s">
        <v>609</v>
      </c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1"/>
      <c r="Z352" s="1"/>
      <c r="AA352" s="1"/>
      <c r="AB352" s="1"/>
      <c r="AC352" s="14"/>
    </row>
    <row x14ac:dyDescent="0.25" r="353" customHeight="1" ht="18.75">
      <c r="A353" s="1" t="s">
        <v>607</v>
      </c>
      <c r="B353" s="14">
        <v>1.0305555555555554</v>
      </c>
      <c r="C353" s="3">
        <v>0.233</v>
      </c>
      <c r="D353" s="4"/>
      <c r="E353" s="5">
        <f>TEXT(A353,"yyyy/mm/dd") &amp; " " &amp; TEXT(B353,"hh:mm:ss")</f>
      </c>
      <c r="F353" s="5"/>
      <c r="G353" s="5"/>
      <c r="H353" s="5"/>
      <c r="I353" s="14">
        <v>1.5763888888888888</v>
      </c>
      <c r="J353" s="14">
        <v>1.0305555555555554</v>
      </c>
      <c r="K353" s="14">
        <v>1.00625</v>
      </c>
      <c r="L353" s="14">
        <v>1.6736111111111112</v>
      </c>
      <c r="M353" s="24">
        <v>1.007638888888889</v>
      </c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1"/>
      <c r="Z353" s="1"/>
      <c r="AA353" s="1"/>
      <c r="AB353" s="1"/>
      <c r="AC353" s="14"/>
    </row>
    <row x14ac:dyDescent="0.25" r="354" customHeight="1" ht="18.75">
      <c r="A354" s="1" t="s">
        <v>608</v>
      </c>
      <c r="B354" s="14">
        <v>1.00625</v>
      </c>
      <c r="C354" s="3">
        <v>0.178</v>
      </c>
      <c r="D354" s="4"/>
      <c r="E354" s="5">
        <f>TEXT(A354,"yyyy/mm/dd") &amp; " " &amp; TEXT(B354,"hh:mm:ss")</f>
      </c>
      <c r="F354" s="5"/>
      <c r="G354" s="5"/>
      <c r="H354" s="5"/>
      <c r="I354" s="39">
        <v>0.096</v>
      </c>
      <c r="J354" s="3">
        <v>0.233</v>
      </c>
      <c r="K354" s="3">
        <v>0.178</v>
      </c>
      <c r="L354" s="3">
        <v>0.168</v>
      </c>
      <c r="M354" s="13">
        <v>0.182</v>
      </c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1"/>
      <c r="Z354" s="1"/>
      <c r="AA354" s="1"/>
      <c r="AB354" s="1"/>
      <c r="AC354" s="14"/>
    </row>
    <row x14ac:dyDescent="0.25" r="355" customHeight="1" ht="18.75">
      <c r="A355" s="1" t="s">
        <v>608</v>
      </c>
      <c r="B355" s="14">
        <v>1.6736111111111112</v>
      </c>
      <c r="C355" s="3">
        <v>0.168</v>
      </c>
      <c r="D355" s="4"/>
      <c r="E355" s="5">
        <f>TEXT(A355,"yyyy/mm/dd") &amp; " " &amp; TEXT(B355,"hh:mm:ss")</f>
      </c>
      <c r="F355" s="5"/>
      <c r="G355" s="5"/>
      <c r="H355" s="5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1"/>
      <c r="Z355" s="1"/>
      <c r="AA355" s="1"/>
      <c r="AB355" s="1"/>
      <c r="AC355" s="14"/>
    </row>
    <row x14ac:dyDescent="0.25" r="356" customHeight="1" ht="18.75">
      <c r="A356" s="40" t="s">
        <v>609</v>
      </c>
      <c r="B356" s="41">
        <v>1.007638888888889</v>
      </c>
      <c r="C356" s="42">
        <v>0.182</v>
      </c>
      <c r="D356" s="4"/>
      <c r="E356" s="43">
        <f>TEXT(A356,"yyyy/mm/dd") &amp; " " &amp; TEXT(B356,"hh:mm:ss")</f>
      </c>
      <c r="F356" s="5"/>
      <c r="G356" s="5"/>
      <c r="H356" s="5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1"/>
      <c r="Z356" s="1"/>
      <c r="AA356" s="1"/>
      <c r="AB356" s="40"/>
      <c r="AC356" s="41"/>
    </row>
    <row x14ac:dyDescent="0.25" r="357" customHeight="1" ht="18.75">
      <c r="A357" s="1" t="s">
        <v>601</v>
      </c>
      <c r="B357" s="14">
        <v>1.8555555555555556</v>
      </c>
      <c r="C357" s="3">
        <v>0.315</v>
      </c>
      <c r="D357" s="4"/>
      <c r="E357" s="5">
        <f>TEXT(A357,"yyyy/mm/dd") &amp; " " &amp; TEXT(B357,"hh:mm:ss")</f>
      </c>
      <c r="F357" s="5"/>
      <c r="G357" s="5"/>
      <c r="H357" s="5"/>
      <c r="I357" s="5" t="s">
        <v>601</v>
      </c>
      <c r="J357" s="4" t="s">
        <v>601</v>
      </c>
      <c r="K357" s="4" t="s">
        <v>602</v>
      </c>
      <c r="L357" s="4" t="s">
        <v>1239</v>
      </c>
      <c r="M357" s="20" t="s">
        <v>1312</v>
      </c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1"/>
      <c r="Z357" s="1"/>
      <c r="AA357" s="1"/>
      <c r="AB357" s="1"/>
      <c r="AC357" s="14"/>
    </row>
    <row x14ac:dyDescent="0.25" r="358" customHeight="1" ht="18.75">
      <c r="A358" s="1" t="s">
        <v>601</v>
      </c>
      <c r="B358" s="14">
        <v>1.9923611111111112</v>
      </c>
      <c r="C358" s="3">
        <v>0.318</v>
      </c>
      <c r="D358" s="4"/>
      <c r="E358" s="5">
        <f>TEXT(A358,"yyyy/mm/dd") &amp; " " &amp; TEXT(B358,"hh:mm:ss")</f>
      </c>
      <c r="F358" s="5"/>
      <c r="G358" s="5"/>
      <c r="H358" s="5"/>
      <c r="I358" s="14">
        <v>1.8555555555555556</v>
      </c>
      <c r="J358" s="14">
        <v>1.9923611111111112</v>
      </c>
      <c r="K358" s="14">
        <v>1.0208333333333333</v>
      </c>
      <c r="L358" s="14">
        <v>1.0138888888888888</v>
      </c>
      <c r="M358" s="24">
        <v>1.007638888888889</v>
      </c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1"/>
      <c r="Z358" s="1"/>
      <c r="AA358" s="1"/>
      <c r="AB358" s="1"/>
      <c r="AC358" s="14"/>
    </row>
    <row x14ac:dyDescent="0.25" r="359" customHeight="1" ht="18.75">
      <c r="A359" s="1" t="s">
        <v>602</v>
      </c>
      <c r="B359" s="14">
        <v>1.0208333333333333</v>
      </c>
      <c r="C359" s="3">
        <v>0.267</v>
      </c>
      <c r="D359" s="4"/>
      <c r="E359" s="5">
        <f>TEXT(A359,"yyyy/mm/dd") &amp; " " &amp; TEXT(B359,"hh:mm:ss")</f>
      </c>
      <c r="F359" s="5"/>
      <c r="G359" s="5"/>
      <c r="H359" s="5"/>
      <c r="I359" s="39">
        <v>0.315</v>
      </c>
      <c r="J359" s="3">
        <v>0.318</v>
      </c>
      <c r="K359" s="3">
        <v>0.267</v>
      </c>
      <c r="L359" s="3">
        <v>0.394</v>
      </c>
      <c r="M359" s="13">
        <v>0.418</v>
      </c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1"/>
      <c r="Z359" s="1"/>
      <c r="AA359" s="1"/>
      <c r="AB359" s="1"/>
      <c r="AC359" s="14"/>
    </row>
    <row x14ac:dyDescent="0.25" r="360" customHeight="1" ht="18.75">
      <c r="A360" s="1" t="s">
        <v>1239</v>
      </c>
      <c r="B360" s="14">
        <v>1.0138888888888888</v>
      </c>
      <c r="C360" s="3">
        <v>0.394</v>
      </c>
      <c r="D360" s="4"/>
      <c r="E360" s="5">
        <f>TEXT(A360,"yyyy/mm/dd") &amp; " " &amp; TEXT(B360,"hh:mm:ss")</f>
      </c>
      <c r="F360" s="5"/>
      <c r="G360" s="5"/>
      <c r="H360" s="5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1"/>
      <c r="Z360" s="1"/>
      <c r="AA360" s="1"/>
      <c r="AB360" s="1"/>
      <c r="AC360" s="14"/>
    </row>
    <row x14ac:dyDescent="0.25" r="361" customHeight="1" ht="18.75">
      <c r="A361" s="40" t="s">
        <v>1312</v>
      </c>
      <c r="B361" s="41">
        <v>1.007638888888889</v>
      </c>
      <c r="C361" s="42">
        <v>0.418</v>
      </c>
      <c r="D361" s="4"/>
      <c r="E361" s="43">
        <f>TEXT(A361,"yyyy/mm/dd") &amp; " " &amp; TEXT(B361,"hh:mm:ss")</f>
      </c>
      <c r="F361" s="5"/>
      <c r="G361" s="5"/>
      <c r="H361" s="5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1"/>
      <c r="Z361" s="1"/>
      <c r="AA361" s="1"/>
      <c r="AB361" s="40"/>
      <c r="AC361" s="41"/>
    </row>
    <row x14ac:dyDescent="0.25" r="362" customHeight="1" ht="18.75">
      <c r="A362" s="1" t="s">
        <v>1404</v>
      </c>
      <c r="B362" s="14">
        <v>1.8819444444444444</v>
      </c>
      <c r="C362" s="3">
        <v>0.0546</v>
      </c>
      <c r="D362" s="4"/>
      <c r="E362" s="5">
        <f>TEXT(A362,"yyyy/mm/dd") &amp; " " &amp; TEXT(B362,"hh:mm:ss")</f>
      </c>
      <c r="F362" s="5"/>
      <c r="G362" s="5"/>
      <c r="H362" s="5"/>
      <c r="I362" s="5" t="s">
        <v>1404</v>
      </c>
      <c r="J362" s="4" t="s">
        <v>1405</v>
      </c>
      <c r="K362" s="4" t="s">
        <v>1405</v>
      </c>
      <c r="L362" s="4" t="s">
        <v>1406</v>
      </c>
      <c r="M362" s="4" t="s">
        <v>1407</v>
      </c>
      <c r="N362" s="4" t="s">
        <v>1408</v>
      </c>
      <c r="O362" s="20" t="s">
        <v>1409</v>
      </c>
      <c r="P362" s="4"/>
      <c r="Q362" s="4"/>
      <c r="R362" s="4"/>
      <c r="S362" s="4"/>
      <c r="T362" s="4"/>
      <c r="U362" s="4"/>
      <c r="V362" s="4"/>
      <c r="W362" s="4"/>
      <c r="X362" s="4"/>
      <c r="Y362" s="1"/>
      <c r="Z362" s="1"/>
      <c r="AA362" s="1"/>
      <c r="AB362" s="1"/>
      <c r="AC362" s="14"/>
    </row>
    <row x14ac:dyDescent="0.25" r="363" customHeight="1" ht="18.75">
      <c r="A363" s="1" t="s">
        <v>1405</v>
      </c>
      <c r="B363" s="14">
        <v>1.0243055555555556</v>
      </c>
      <c r="C363" s="3">
        <v>0.053899999999999997</v>
      </c>
      <c r="D363" s="4"/>
      <c r="E363" s="5">
        <f>TEXT(A363,"yyyy/mm/dd") &amp; " " &amp; TEXT(B363,"hh:mm:ss")</f>
      </c>
      <c r="F363" s="5"/>
      <c r="G363" s="5"/>
      <c r="H363" s="5"/>
      <c r="I363" s="14">
        <v>1.8819444444444444</v>
      </c>
      <c r="J363" s="14">
        <v>1.0243055555555556</v>
      </c>
      <c r="K363" s="14">
        <v>1.6659722222222222</v>
      </c>
      <c r="L363" s="14">
        <v>1.0034722222222223</v>
      </c>
      <c r="M363" s="14">
        <v>1.0020833333333334</v>
      </c>
      <c r="N363" s="14">
        <v>1.0138888888888888</v>
      </c>
      <c r="O363" s="24">
        <v>1.0027777777777778</v>
      </c>
      <c r="P363" s="4"/>
      <c r="Q363" s="4"/>
      <c r="R363" s="4"/>
      <c r="S363" s="4"/>
      <c r="T363" s="4"/>
      <c r="U363" s="4"/>
      <c r="V363" s="4"/>
      <c r="W363" s="4"/>
      <c r="X363" s="4"/>
      <c r="Y363" s="1"/>
      <c r="Z363" s="1"/>
      <c r="AA363" s="1"/>
      <c r="AB363" s="1"/>
      <c r="AC363" s="14"/>
    </row>
    <row x14ac:dyDescent="0.25" r="364" customHeight="1" ht="18.75">
      <c r="A364" s="1" t="s">
        <v>1405</v>
      </c>
      <c r="B364" s="14">
        <v>1.6659722222222222</v>
      </c>
      <c r="C364" s="3">
        <v>0.047700000000000006</v>
      </c>
      <c r="D364" s="4"/>
      <c r="E364" s="5">
        <f>TEXT(A364,"yyyy/mm/dd") &amp; " " &amp; TEXT(B364,"hh:mm:ss")</f>
      </c>
      <c r="F364" s="5"/>
      <c r="G364" s="5"/>
      <c r="H364" s="5"/>
      <c r="I364" s="39">
        <v>0.0546</v>
      </c>
      <c r="J364" s="3">
        <v>0.053899999999999997</v>
      </c>
      <c r="K364" s="3">
        <v>0.047700000000000006</v>
      </c>
      <c r="L364" s="3">
        <v>0.0595</v>
      </c>
      <c r="M364" s="3">
        <v>0.044700000000000004</v>
      </c>
      <c r="N364" s="3">
        <v>0.0396</v>
      </c>
      <c r="O364" s="13">
        <v>0.0265</v>
      </c>
      <c r="P364" s="4"/>
      <c r="Q364" s="4"/>
      <c r="R364" s="4"/>
      <c r="S364" s="4"/>
      <c r="T364" s="4"/>
      <c r="U364" s="4"/>
      <c r="V364" s="4"/>
      <c r="W364" s="4"/>
      <c r="X364" s="4"/>
      <c r="Y364" s="1"/>
      <c r="Z364" s="1"/>
      <c r="AA364" s="1"/>
      <c r="AB364" s="1"/>
      <c r="AC364" s="14"/>
    </row>
    <row x14ac:dyDescent="0.25" r="365" customHeight="1" ht="18.75">
      <c r="A365" s="1" t="s">
        <v>1406</v>
      </c>
      <c r="B365" s="14">
        <v>1.0034722222222223</v>
      </c>
      <c r="C365" s="3">
        <v>0.0595</v>
      </c>
      <c r="D365" s="4"/>
      <c r="E365" s="5">
        <f>TEXT(A365,"yyyy/mm/dd") &amp; " " &amp; TEXT(B365,"hh:mm:ss")</f>
      </c>
      <c r="F365" s="5"/>
      <c r="G365" s="5"/>
      <c r="H365" s="5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1"/>
      <c r="Z365" s="1"/>
      <c r="AA365" s="1"/>
      <c r="AB365" s="1"/>
      <c r="AC365" s="14"/>
    </row>
    <row x14ac:dyDescent="0.25" r="366" customHeight="1" ht="18.75">
      <c r="A366" s="1" t="s">
        <v>1407</v>
      </c>
      <c r="B366" s="14">
        <v>1.0020833333333334</v>
      </c>
      <c r="C366" s="3">
        <v>0.044700000000000004</v>
      </c>
      <c r="D366" s="4"/>
      <c r="E366" s="5">
        <f>TEXT(A366,"yyyy/mm/dd") &amp; " " &amp; TEXT(B366,"hh:mm:ss")</f>
      </c>
      <c r="F366" s="5"/>
      <c r="G366" s="5"/>
      <c r="H366" s="5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1"/>
      <c r="Z366" s="1"/>
      <c r="AA366" s="1"/>
      <c r="AB366" s="1"/>
      <c r="AC366" s="14"/>
    </row>
    <row x14ac:dyDescent="0.25" r="367" customHeight="1" ht="18.75">
      <c r="A367" s="1" t="s">
        <v>1408</v>
      </c>
      <c r="B367" s="14">
        <v>1.0138888888888888</v>
      </c>
      <c r="C367" s="3">
        <v>0.0396</v>
      </c>
      <c r="D367" s="4"/>
      <c r="E367" s="5">
        <f>TEXT(A367,"yyyy/mm/dd") &amp; " " &amp; TEXT(B367,"hh:mm:ss")</f>
      </c>
      <c r="F367" s="5"/>
      <c r="G367" s="5"/>
      <c r="H367" s="5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1"/>
      <c r="Z367" s="1"/>
      <c r="AA367" s="1"/>
      <c r="AB367" s="1"/>
      <c r="AC367" s="14"/>
    </row>
    <row x14ac:dyDescent="0.25" r="368" customHeight="1" ht="18.75">
      <c r="A368" s="40" t="s">
        <v>1409</v>
      </c>
      <c r="B368" s="41">
        <v>1.0027777777777778</v>
      </c>
      <c r="C368" s="42">
        <v>0.0265</v>
      </c>
      <c r="D368" s="4"/>
      <c r="E368" s="43">
        <f>TEXT(A368,"yyyy/mm/dd") &amp; " " &amp; TEXT(B368,"hh:mm:ss")</f>
      </c>
      <c r="F368" s="5"/>
      <c r="G368" s="5"/>
      <c r="H368" s="5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1"/>
      <c r="Z368" s="1"/>
      <c r="AA368" s="1"/>
      <c r="AB368" s="40"/>
      <c r="AC368" s="41"/>
    </row>
    <row x14ac:dyDescent="0.25" r="369" customHeight="1" ht="18.75">
      <c r="A369" s="1" t="s">
        <v>1410</v>
      </c>
      <c r="B369" s="14">
        <v>1.6680555555555556</v>
      </c>
      <c r="C369" s="3">
        <v>0.13319999999999999</v>
      </c>
      <c r="D369" s="4"/>
      <c r="E369" s="5">
        <f>TEXT(A369,"yyyy/mm/dd") &amp; " " &amp; TEXT(B369,"hh:mm:ss")</f>
      </c>
      <c r="F369" s="5"/>
      <c r="G369" s="5"/>
      <c r="H369" s="5"/>
      <c r="I369" s="5" t="s">
        <v>1410</v>
      </c>
      <c r="J369" s="4" t="s">
        <v>1411</v>
      </c>
      <c r="K369" s="4" t="s">
        <v>1411</v>
      </c>
      <c r="L369" s="4" t="s">
        <v>1412</v>
      </c>
      <c r="M369" s="20" t="s">
        <v>1413</v>
      </c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1"/>
      <c r="Z369" s="1"/>
      <c r="AA369" s="1"/>
      <c r="AB369" s="1"/>
      <c r="AC369" s="14"/>
    </row>
    <row x14ac:dyDescent="0.25" r="370" customHeight="1" ht="18.75">
      <c r="A370" s="1" t="s">
        <v>1411</v>
      </c>
      <c r="B370" s="14">
        <v>1.0215277777777778</v>
      </c>
      <c r="C370" s="3">
        <v>0.1183</v>
      </c>
      <c r="D370" s="4"/>
      <c r="E370" s="5">
        <f>TEXT(A370,"yyyy/mm/dd") &amp; " " &amp; TEXT(B370,"hh:mm:ss")</f>
      </c>
      <c r="F370" s="5"/>
      <c r="G370" s="5"/>
      <c r="H370" s="5"/>
      <c r="I370" s="14">
        <v>1.6680555555555556</v>
      </c>
      <c r="J370" s="14">
        <v>1.0215277777777778</v>
      </c>
      <c r="K370" s="14">
        <v>1.68125</v>
      </c>
      <c r="L370" s="14">
        <v>1.0270833333333333</v>
      </c>
      <c r="M370" s="24">
        <v>1.0034722222222223</v>
      </c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1"/>
      <c r="Z370" s="1"/>
      <c r="AA370" s="1"/>
      <c r="AB370" s="1"/>
      <c r="AC370" s="14"/>
    </row>
    <row x14ac:dyDescent="0.25" r="371" customHeight="1" ht="18.75">
      <c r="A371" s="1" t="s">
        <v>1411</v>
      </c>
      <c r="B371" s="14">
        <v>1.68125</v>
      </c>
      <c r="C371" s="3">
        <v>0.279</v>
      </c>
      <c r="D371" s="4"/>
      <c r="E371" s="5">
        <f>TEXT(A371,"yyyy/mm/dd") &amp; " " &amp; TEXT(B371,"hh:mm:ss")</f>
      </c>
      <c r="F371" s="5"/>
      <c r="G371" s="5"/>
      <c r="H371" s="5"/>
      <c r="I371" s="39">
        <v>0.13319999999999999</v>
      </c>
      <c r="J371" s="3">
        <v>0.1183</v>
      </c>
      <c r="K371" s="3">
        <v>0.279</v>
      </c>
      <c r="L371" s="3">
        <v>0.1715</v>
      </c>
      <c r="M371" s="13">
        <v>0.1512</v>
      </c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1"/>
      <c r="Z371" s="1"/>
      <c r="AA371" s="1"/>
      <c r="AB371" s="1"/>
      <c r="AC371" s="14"/>
    </row>
    <row x14ac:dyDescent="0.25" r="372" customHeight="1" ht="18.75">
      <c r="A372" s="1" t="s">
        <v>1412</v>
      </c>
      <c r="B372" s="14">
        <v>1.0270833333333333</v>
      </c>
      <c r="C372" s="3">
        <v>0.1715</v>
      </c>
      <c r="D372" s="4"/>
      <c r="E372" s="5">
        <f>TEXT(A372,"yyyy/mm/dd") &amp; " " &amp; TEXT(B372,"hh:mm:ss")</f>
      </c>
      <c r="F372" s="5"/>
      <c r="G372" s="5"/>
      <c r="H372" s="5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1"/>
      <c r="Z372" s="1"/>
      <c r="AA372" s="1"/>
      <c r="AB372" s="1"/>
      <c r="AC372" s="14"/>
    </row>
    <row x14ac:dyDescent="0.25" r="373" customHeight="1" ht="18.75">
      <c r="A373" s="40" t="s">
        <v>1413</v>
      </c>
      <c r="B373" s="41">
        <v>1.0034722222222223</v>
      </c>
      <c r="C373" s="42">
        <v>0.1512</v>
      </c>
      <c r="D373" s="4"/>
      <c r="E373" s="43">
        <f>TEXT(A373,"yyyy/mm/dd") &amp; " " &amp; TEXT(B373,"hh:mm:ss")</f>
      </c>
      <c r="F373" s="5"/>
      <c r="G373" s="5"/>
      <c r="H373" s="5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1"/>
      <c r="Z373" s="1"/>
      <c r="AA373" s="1"/>
      <c r="AB373" s="40"/>
      <c r="AC373" s="41"/>
    </row>
    <row x14ac:dyDescent="0.25" r="374" customHeight="1" ht="18.75">
      <c r="A374" s="1" t="s">
        <v>1251</v>
      </c>
      <c r="B374" s="14">
        <v>1.6180555555555556</v>
      </c>
      <c r="C374" s="3">
        <v>0.047</v>
      </c>
      <c r="D374" s="4"/>
      <c r="E374" s="5">
        <f>TEXT(A374,"yyyy/mm/dd") &amp; " " &amp; TEXT(B374,"hh:mm:ss")</f>
      </c>
      <c r="F374" s="5"/>
      <c r="G374" s="5"/>
      <c r="H374" s="5"/>
      <c r="I374" s="5" t="s">
        <v>1251</v>
      </c>
      <c r="J374" s="4" t="s">
        <v>1251</v>
      </c>
      <c r="K374" s="4" t="s">
        <v>1414</v>
      </c>
      <c r="L374" s="4" t="s">
        <v>1415</v>
      </c>
      <c r="M374" s="4" t="s">
        <v>1415</v>
      </c>
      <c r="N374" s="4" t="s">
        <v>1416</v>
      </c>
      <c r="O374" s="4" t="s">
        <v>1417</v>
      </c>
      <c r="P374" s="20" t="s">
        <v>1418</v>
      </c>
      <c r="Q374" s="4"/>
      <c r="R374" s="4"/>
      <c r="S374" s="4"/>
      <c r="T374" s="4"/>
      <c r="U374" s="4"/>
      <c r="V374" s="4"/>
      <c r="W374" s="4"/>
      <c r="X374" s="4"/>
      <c r="Y374" s="1"/>
      <c r="Z374" s="1"/>
      <c r="AA374" s="1"/>
      <c r="AB374" s="1"/>
      <c r="AC374" s="14"/>
    </row>
    <row x14ac:dyDescent="0.25" r="375" customHeight="1" ht="18.75">
      <c r="A375" s="1" t="s">
        <v>1251</v>
      </c>
      <c r="B375" s="14">
        <v>1.8923611111111112</v>
      </c>
      <c r="C375" s="3">
        <v>1.57</v>
      </c>
      <c r="D375" s="4"/>
      <c r="E375" s="5">
        <f>TEXT(A375,"yyyy/mm/dd") &amp; " " &amp; TEXT(B375,"hh:mm:ss")</f>
      </c>
      <c r="F375" s="5"/>
      <c r="G375" s="5"/>
      <c r="H375" s="5"/>
      <c r="I375" s="14">
        <v>1.6180555555555556</v>
      </c>
      <c r="J375" s="14">
        <v>1.8923611111111112</v>
      </c>
      <c r="K375" s="14">
        <v>1.0395833333333333</v>
      </c>
      <c r="L375" s="14">
        <v>1.0034722222222223</v>
      </c>
      <c r="M375" s="14">
        <v>1.7826388888888889</v>
      </c>
      <c r="N375" s="14">
        <v>1.0166666666666666</v>
      </c>
      <c r="O375" s="14">
        <v>1.00625</v>
      </c>
      <c r="P375" s="24">
        <v>1.0020833333333334</v>
      </c>
      <c r="Q375" s="4"/>
      <c r="R375" s="4"/>
      <c r="S375" s="4"/>
      <c r="T375" s="4"/>
      <c r="U375" s="4"/>
      <c r="V375" s="4"/>
      <c r="W375" s="4"/>
      <c r="X375" s="4"/>
      <c r="Y375" s="1"/>
      <c r="Z375" s="1"/>
      <c r="AA375" s="1"/>
      <c r="AB375" s="1"/>
      <c r="AC375" s="14"/>
    </row>
    <row x14ac:dyDescent="0.25" r="376" customHeight="1" ht="18.75">
      <c r="A376" s="1" t="s">
        <v>1414</v>
      </c>
      <c r="B376" s="14">
        <v>1.0395833333333333</v>
      </c>
      <c r="C376" s="3">
        <v>1.52</v>
      </c>
      <c r="D376" s="4"/>
      <c r="E376" s="5">
        <f>TEXT(A376,"yyyy/mm/dd") &amp; " " &amp; TEXT(B376,"hh:mm:ss")</f>
      </c>
      <c r="F376" s="5"/>
      <c r="G376" s="5"/>
      <c r="H376" s="5"/>
      <c r="I376" s="39">
        <v>0.047</v>
      </c>
      <c r="J376" s="3">
        <v>1.57</v>
      </c>
      <c r="K376" s="3">
        <v>1.52</v>
      </c>
      <c r="L376" s="3">
        <v>0.609</v>
      </c>
      <c r="M376" s="3">
        <v>0.636</v>
      </c>
      <c r="N376" s="3">
        <v>0.684</v>
      </c>
      <c r="O376" s="3">
        <v>0.65</v>
      </c>
      <c r="P376" s="13">
        <v>0.587</v>
      </c>
      <c r="Q376" s="4"/>
      <c r="R376" s="4"/>
      <c r="S376" s="4"/>
      <c r="T376" s="4"/>
      <c r="U376" s="4"/>
      <c r="V376" s="4"/>
      <c r="W376" s="4"/>
      <c r="X376" s="4"/>
      <c r="Y376" s="1"/>
      <c r="Z376" s="1"/>
      <c r="AA376" s="1"/>
      <c r="AB376" s="1"/>
      <c r="AC376" s="14"/>
    </row>
    <row x14ac:dyDescent="0.25" r="377" customHeight="1" ht="18.75">
      <c r="A377" s="1" t="s">
        <v>1415</v>
      </c>
      <c r="B377" s="14">
        <v>1.0034722222222223</v>
      </c>
      <c r="C377" s="3">
        <v>0.609</v>
      </c>
      <c r="D377" s="4"/>
      <c r="E377" s="5">
        <f>TEXT(A377,"yyyy/mm/dd") &amp; " " &amp; TEXT(B377,"hh:mm:ss")</f>
      </c>
      <c r="F377" s="5"/>
      <c r="G377" s="5"/>
      <c r="H377" s="5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1"/>
      <c r="Z377" s="1"/>
      <c r="AA377" s="1"/>
      <c r="AB377" s="1"/>
      <c r="AC377" s="14"/>
    </row>
    <row x14ac:dyDescent="0.25" r="378" customHeight="1" ht="18.75">
      <c r="A378" s="1" t="s">
        <v>1415</v>
      </c>
      <c r="B378" s="14">
        <v>1.7826388888888889</v>
      </c>
      <c r="C378" s="3">
        <v>0.636</v>
      </c>
      <c r="D378" s="4"/>
      <c r="E378" s="5">
        <f>TEXT(A378,"yyyy/mm/dd") &amp; " " &amp; TEXT(B378,"hh:mm:ss")</f>
      </c>
      <c r="F378" s="5"/>
      <c r="G378" s="5"/>
      <c r="H378" s="5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1"/>
      <c r="Z378" s="1"/>
      <c r="AA378" s="1"/>
      <c r="AB378" s="1"/>
      <c r="AC378" s="14"/>
    </row>
    <row x14ac:dyDescent="0.25" r="379" customHeight="1" ht="18.75">
      <c r="A379" s="1" t="s">
        <v>1416</v>
      </c>
      <c r="B379" s="14">
        <v>1.0166666666666666</v>
      </c>
      <c r="C379" s="3">
        <v>0.684</v>
      </c>
      <c r="D379" s="4"/>
      <c r="E379" s="5">
        <f>TEXT(A379,"yyyy/mm/dd") &amp; " " &amp; TEXT(B379,"hh:mm:ss")</f>
      </c>
      <c r="F379" s="5"/>
      <c r="G379" s="5"/>
      <c r="H379" s="5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1"/>
      <c r="Z379" s="1"/>
      <c r="AA379" s="1"/>
      <c r="AB379" s="1"/>
      <c r="AC379" s="14"/>
    </row>
    <row x14ac:dyDescent="0.25" r="380" customHeight="1" ht="18.75">
      <c r="A380" s="1" t="s">
        <v>1417</v>
      </c>
      <c r="B380" s="14">
        <v>1.00625</v>
      </c>
      <c r="C380" s="3">
        <v>0.65</v>
      </c>
      <c r="D380" s="4"/>
      <c r="E380" s="5">
        <f>TEXT(A380,"yyyy/mm/dd") &amp; " " &amp; TEXT(B380,"hh:mm:ss")</f>
      </c>
      <c r="F380" s="5"/>
      <c r="G380" s="5"/>
      <c r="H380" s="5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1"/>
      <c r="Z380" s="1"/>
      <c r="AA380" s="1"/>
      <c r="AB380" s="1"/>
      <c r="AC380" s="14"/>
    </row>
    <row x14ac:dyDescent="0.25" r="381" customHeight="1" ht="18.75">
      <c r="A381" s="40" t="s">
        <v>1418</v>
      </c>
      <c r="B381" s="41">
        <v>1.0020833333333334</v>
      </c>
      <c r="C381" s="42">
        <v>0.587</v>
      </c>
      <c r="D381" s="4"/>
      <c r="E381" s="43">
        <f>TEXT(A381,"yyyy/mm/dd") &amp; " " &amp; TEXT(B381,"hh:mm:ss")</f>
      </c>
      <c r="F381" s="5"/>
      <c r="G381" s="5"/>
      <c r="H381" s="5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1"/>
      <c r="Z381" s="1"/>
      <c r="AA381" s="1"/>
      <c r="AB381" s="40"/>
      <c r="AC381" s="41"/>
    </row>
    <row x14ac:dyDescent="0.25" r="382" customHeight="1" ht="18.75">
      <c r="A382" s="1" t="s">
        <v>1223</v>
      </c>
      <c r="B382" s="14">
        <v>1.5069444444444444</v>
      </c>
      <c r="C382" s="3">
        <v>0.0054</v>
      </c>
      <c r="D382" s="4"/>
      <c r="E382" s="5">
        <f>TEXT(A382,"yyyy/mm/dd") &amp; " " &amp; TEXT(B382,"hh:mm:ss")</f>
      </c>
      <c r="F382" s="5"/>
      <c r="G382" s="5"/>
      <c r="H382" s="5"/>
      <c r="I382" s="5" t="s">
        <v>1223</v>
      </c>
      <c r="J382" s="4" t="s">
        <v>1223</v>
      </c>
      <c r="K382" s="4" t="s">
        <v>1259</v>
      </c>
      <c r="L382" s="4" t="s">
        <v>1260</v>
      </c>
      <c r="M382" s="20" t="s">
        <v>1261</v>
      </c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1"/>
      <c r="Z382" s="1"/>
      <c r="AA382" s="1"/>
      <c r="AB382" s="1"/>
      <c r="AC382" s="14"/>
    </row>
    <row x14ac:dyDescent="0.25" r="383" customHeight="1" ht="18.75">
      <c r="A383" s="1" t="s">
        <v>1223</v>
      </c>
      <c r="B383" s="14">
        <v>1.6972222222222222</v>
      </c>
      <c r="C383" s="3">
        <v>0.0092</v>
      </c>
      <c r="D383" s="4"/>
      <c r="E383" s="5">
        <f>TEXT(A383,"yyyy/mm/dd") &amp; " " &amp; TEXT(B383,"hh:mm:ss")</f>
      </c>
      <c r="F383" s="5"/>
      <c r="G383" s="5"/>
      <c r="H383" s="5"/>
      <c r="I383" s="14">
        <v>1.5069444444444444</v>
      </c>
      <c r="J383" s="14">
        <v>1.6972222222222222</v>
      </c>
      <c r="K383" s="14">
        <v>1.0104166666666667</v>
      </c>
      <c r="L383" s="14">
        <v>1.00625</v>
      </c>
      <c r="M383" s="24">
        <v>1.0125</v>
      </c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1"/>
      <c r="Z383" s="1"/>
      <c r="AA383" s="1"/>
      <c r="AB383" s="1"/>
      <c r="AC383" s="14"/>
    </row>
    <row x14ac:dyDescent="0.25" r="384" customHeight="1" ht="18.75">
      <c r="A384" s="1" t="s">
        <v>1259</v>
      </c>
      <c r="B384" s="14">
        <v>1.0104166666666667</v>
      </c>
      <c r="C384" s="3">
        <v>0.0221</v>
      </c>
      <c r="D384" s="4"/>
      <c r="E384" s="5">
        <f>TEXT(A384,"yyyy/mm/dd") &amp; " " &amp; TEXT(B384,"hh:mm:ss")</f>
      </c>
      <c r="F384" s="5"/>
      <c r="G384" s="5"/>
      <c r="H384" s="5"/>
      <c r="I384" s="39">
        <v>0.0054</v>
      </c>
      <c r="J384" s="3">
        <v>0.0092</v>
      </c>
      <c r="K384" s="3">
        <v>0.0221</v>
      </c>
      <c r="L384" s="3">
        <v>0.0183</v>
      </c>
      <c r="M384" s="13">
        <v>0.024300000000000002</v>
      </c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1"/>
      <c r="Z384" s="1"/>
      <c r="AA384" s="1"/>
      <c r="AB384" s="1"/>
      <c r="AC384" s="14"/>
    </row>
    <row x14ac:dyDescent="0.25" r="385" customHeight="1" ht="18.75">
      <c r="A385" s="1" t="s">
        <v>1260</v>
      </c>
      <c r="B385" s="14">
        <v>1.00625</v>
      </c>
      <c r="C385" s="3">
        <v>0.0183</v>
      </c>
      <c r="D385" s="4"/>
      <c r="E385" s="5">
        <f>TEXT(A385,"yyyy/mm/dd") &amp; " " &amp; TEXT(B385,"hh:mm:ss")</f>
      </c>
      <c r="F385" s="5"/>
      <c r="G385" s="5"/>
      <c r="H385" s="5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1"/>
      <c r="Z385" s="1"/>
      <c r="AA385" s="1"/>
      <c r="AB385" s="1"/>
      <c r="AC385" s="14"/>
    </row>
    <row x14ac:dyDescent="0.25" r="386" customHeight="1" ht="18.75">
      <c r="A386" s="40" t="s">
        <v>1261</v>
      </c>
      <c r="B386" s="41">
        <v>1.0125</v>
      </c>
      <c r="C386" s="42">
        <v>0.024300000000000002</v>
      </c>
      <c r="D386" s="4"/>
      <c r="E386" s="43">
        <f>TEXT(A386,"yyyy/mm/dd") &amp; " " &amp; TEXT(B386,"hh:mm:ss")</f>
      </c>
      <c r="F386" s="5"/>
      <c r="G386" s="5"/>
      <c r="H386" s="5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1"/>
      <c r="Z386" s="1"/>
      <c r="AA386" s="1"/>
      <c r="AB386" s="40"/>
      <c r="AC386" s="41"/>
    </row>
    <row x14ac:dyDescent="0.25" r="387" customHeight="1" ht="18.75">
      <c r="A387" s="1" t="s">
        <v>1419</v>
      </c>
      <c r="B387" s="14">
        <v>1.5381944444444444</v>
      </c>
      <c r="C387" s="3">
        <v>1.793</v>
      </c>
      <c r="D387" s="4"/>
      <c r="E387" s="5">
        <f>TEXT(A387,"yyyy/mm/dd") &amp; " " &amp; TEXT(B387,"hh:mm:ss")</f>
      </c>
      <c r="F387" s="5"/>
      <c r="G387" s="5"/>
      <c r="H387" s="5"/>
      <c r="I387" s="5" t="s">
        <v>1419</v>
      </c>
      <c r="J387" s="4" t="s">
        <v>1420</v>
      </c>
      <c r="K387" s="4" t="s">
        <v>1421</v>
      </c>
      <c r="L387" s="4" t="s">
        <v>1422</v>
      </c>
      <c r="M387" s="4" t="s">
        <v>1422</v>
      </c>
      <c r="N387" s="4" t="s">
        <v>1423</v>
      </c>
      <c r="O387" s="4" t="s">
        <v>1424</v>
      </c>
      <c r="P387" s="4" t="s">
        <v>1425</v>
      </c>
      <c r="Q387" s="4" t="s">
        <v>1426</v>
      </c>
      <c r="R387" s="4"/>
      <c r="S387" s="4"/>
      <c r="T387" s="4"/>
      <c r="U387" s="4"/>
      <c r="V387" s="4"/>
      <c r="W387" s="4"/>
      <c r="X387" s="4"/>
      <c r="Y387" s="1"/>
      <c r="Z387" s="1"/>
      <c r="AA387" s="1"/>
      <c r="AB387" s="1"/>
      <c r="AC387" s="14"/>
    </row>
    <row x14ac:dyDescent="0.25" r="388" customHeight="1" ht="18.75">
      <c r="A388" s="1" t="s">
        <v>1420</v>
      </c>
      <c r="B388" s="14">
        <v>1.2625</v>
      </c>
      <c r="C388" s="3">
        <v>0.7837999999999999</v>
      </c>
      <c r="D388" s="4"/>
      <c r="E388" s="5">
        <f>TEXT(A388,"yyyy/mm/dd") &amp; " " &amp; TEXT(B388,"hh:mm:ss")</f>
      </c>
      <c r="F388" s="5"/>
      <c r="G388" s="5"/>
      <c r="H388" s="5"/>
      <c r="I388" s="14">
        <v>1.5381944444444444</v>
      </c>
      <c r="J388" s="14">
        <v>1.2625</v>
      </c>
      <c r="K388" s="14">
        <v>1.0034722222222223</v>
      </c>
      <c r="L388" s="14">
        <v>1.2645833333333334</v>
      </c>
      <c r="M388" s="14">
        <v>1.4840277777777777</v>
      </c>
      <c r="N388" s="14">
        <v>1.2458333333333333</v>
      </c>
      <c r="O388" s="14">
        <v>1.0055555555555555</v>
      </c>
      <c r="P388" s="14">
        <v>1.25625</v>
      </c>
      <c r="Q388" s="14">
        <v>1.0055555555555555</v>
      </c>
      <c r="R388" s="4" t="s">
        <v>1426</v>
      </c>
      <c r="S388" s="4" t="s">
        <v>1427</v>
      </c>
      <c r="T388" s="20" t="s">
        <v>1428</v>
      </c>
      <c r="U388" s="4"/>
      <c r="V388" s="4"/>
      <c r="W388" s="4"/>
      <c r="X388" s="4"/>
      <c r="Y388" s="1"/>
      <c r="Z388" s="1"/>
      <c r="AA388" s="1"/>
      <c r="AB388" s="1"/>
      <c r="AC388" s="14"/>
    </row>
    <row x14ac:dyDescent="0.25" r="389" customHeight="1" ht="18.75">
      <c r="A389" s="1" t="s">
        <v>1421</v>
      </c>
      <c r="B389" s="14">
        <v>1.0034722222222223</v>
      </c>
      <c r="C389" s="3">
        <v>0.6373</v>
      </c>
      <c r="D389" s="4"/>
      <c r="E389" s="5">
        <f>TEXT(A389,"yyyy/mm/dd") &amp; " " &amp; TEXT(B389,"hh:mm:ss")</f>
      </c>
      <c r="F389" s="5"/>
      <c r="G389" s="5"/>
      <c r="H389" s="5"/>
      <c r="I389" s="39">
        <v>1.793</v>
      </c>
      <c r="J389" s="3">
        <v>0.7837999999999999</v>
      </c>
      <c r="K389" s="3">
        <v>0.6373</v>
      </c>
      <c r="L389" s="3">
        <v>0.5736</v>
      </c>
      <c r="M389" s="3">
        <v>0.5296000000000001</v>
      </c>
      <c r="N389" s="3">
        <v>0.6695</v>
      </c>
      <c r="O389" s="3">
        <v>0.5649</v>
      </c>
      <c r="P389" s="3">
        <v>0.3866</v>
      </c>
      <c r="Q389" s="3">
        <v>0.198</v>
      </c>
      <c r="R389" s="14">
        <v>1.7423611111111112</v>
      </c>
      <c r="S389" s="14">
        <v>1.2270833333333333</v>
      </c>
      <c r="T389" s="24">
        <v>1.0069444444444444</v>
      </c>
      <c r="U389" s="4"/>
      <c r="V389" s="4"/>
      <c r="W389" s="4"/>
      <c r="X389" s="4"/>
      <c r="Y389" s="1"/>
      <c r="Z389" s="1"/>
      <c r="AA389" s="1"/>
      <c r="AB389" s="1"/>
      <c r="AC389" s="14"/>
    </row>
    <row x14ac:dyDescent="0.25" r="390" customHeight="1" ht="18.75">
      <c r="A390" s="1" t="s">
        <v>1422</v>
      </c>
      <c r="B390" s="14">
        <v>1.2645833333333334</v>
      </c>
      <c r="C390" s="3">
        <v>0.5736</v>
      </c>
      <c r="D390" s="4"/>
      <c r="E390" s="5">
        <f>TEXT(A390,"yyyy/mm/dd") &amp; " " &amp; TEXT(B390,"hh:mm:ss")</f>
      </c>
      <c r="F390" s="5"/>
      <c r="G390" s="5"/>
      <c r="H390" s="5"/>
      <c r="I390" s="5"/>
      <c r="J390" s="4"/>
      <c r="K390" s="4"/>
      <c r="L390" s="4"/>
      <c r="M390" s="4"/>
      <c r="N390" s="4"/>
      <c r="O390" s="4"/>
      <c r="P390" s="4"/>
      <c r="Q390" s="4"/>
      <c r="R390" s="3">
        <v>0.1517</v>
      </c>
      <c r="S390" s="3">
        <v>0.1799</v>
      </c>
      <c r="T390" s="13">
        <v>0.12459999999999999</v>
      </c>
      <c r="U390" s="4"/>
      <c r="V390" s="4"/>
      <c r="W390" s="4"/>
      <c r="X390" s="4"/>
      <c r="Y390" s="1"/>
      <c r="Z390" s="1"/>
      <c r="AA390" s="1"/>
      <c r="AB390" s="1"/>
      <c r="AC390" s="14"/>
    </row>
    <row x14ac:dyDescent="0.25" r="391" customHeight="1" ht="18.75">
      <c r="A391" s="1" t="s">
        <v>1422</v>
      </c>
      <c r="B391" s="14">
        <v>1.4840277777777777</v>
      </c>
      <c r="C391" s="3">
        <v>0.5296000000000001</v>
      </c>
      <c r="D391" s="4"/>
      <c r="E391" s="5">
        <f>TEXT(A391,"yyyy/mm/dd") &amp; " " &amp; TEXT(B391,"hh:mm:ss")</f>
      </c>
      <c r="F391" s="5"/>
      <c r="G391" s="5"/>
      <c r="H391" s="5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1"/>
      <c r="Z391" s="1"/>
      <c r="AA391" s="1"/>
      <c r="AB391" s="1"/>
      <c r="AC391" s="14"/>
    </row>
    <row x14ac:dyDescent="0.25" r="392" customHeight="1" ht="18.75">
      <c r="A392" s="1" t="s">
        <v>1423</v>
      </c>
      <c r="B392" s="14">
        <v>1.2458333333333333</v>
      </c>
      <c r="C392" s="3">
        <v>0.6695</v>
      </c>
      <c r="D392" s="4"/>
      <c r="E392" s="5">
        <f>TEXT(A392,"yyyy/mm/dd") &amp; " " &amp; TEXT(B392,"hh:mm:ss")</f>
      </c>
      <c r="F392" s="5"/>
      <c r="G392" s="5"/>
      <c r="H392" s="5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1"/>
      <c r="Z392" s="1"/>
      <c r="AA392" s="1"/>
      <c r="AB392" s="1"/>
      <c r="AC392" s="14"/>
    </row>
    <row x14ac:dyDescent="0.25" r="393" customHeight="1" ht="18.75">
      <c r="A393" s="1" t="s">
        <v>1424</v>
      </c>
      <c r="B393" s="14">
        <v>1.0055555555555555</v>
      </c>
      <c r="C393" s="3">
        <v>0.5649</v>
      </c>
      <c r="D393" s="4"/>
      <c r="E393" s="5">
        <f>TEXT(A393,"yyyy/mm/dd") &amp; " " &amp; TEXT(B393,"hh:mm:ss")</f>
      </c>
      <c r="F393" s="5"/>
      <c r="G393" s="5"/>
      <c r="H393" s="5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1"/>
      <c r="Z393" s="1"/>
      <c r="AA393" s="1"/>
      <c r="AB393" s="1"/>
      <c r="AC393" s="14"/>
    </row>
    <row x14ac:dyDescent="0.25" r="394" customHeight="1" ht="18.75">
      <c r="A394" s="1" t="s">
        <v>1425</v>
      </c>
      <c r="B394" s="14">
        <v>1.25625</v>
      </c>
      <c r="C394" s="3">
        <v>0.3866</v>
      </c>
      <c r="D394" s="4"/>
      <c r="E394" s="5">
        <f>TEXT(A394,"yyyy/mm/dd") &amp; " " &amp; TEXT(B394,"hh:mm:ss")</f>
      </c>
      <c r="F394" s="5"/>
      <c r="G394" s="5"/>
      <c r="H394" s="5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1"/>
      <c r="Z394" s="1"/>
      <c r="AA394" s="1"/>
      <c r="AB394" s="1"/>
      <c r="AC394" s="14"/>
    </row>
    <row x14ac:dyDescent="0.25" r="395" customHeight="1" ht="18.75">
      <c r="A395" s="1" t="s">
        <v>1426</v>
      </c>
      <c r="B395" s="14">
        <v>1.0055555555555555</v>
      </c>
      <c r="C395" s="3">
        <v>0.198</v>
      </c>
      <c r="D395" s="4"/>
      <c r="E395" s="5">
        <f>TEXT(A395,"yyyy/mm/dd") &amp; " " &amp; TEXT(B395,"hh:mm:ss")</f>
      </c>
      <c r="F395" s="5"/>
      <c r="G395" s="5"/>
      <c r="H395" s="5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1"/>
      <c r="Z395" s="1"/>
      <c r="AA395" s="1"/>
      <c r="AB395" s="1"/>
      <c r="AC395" s="14"/>
    </row>
    <row x14ac:dyDescent="0.25" r="396" customHeight="1" ht="18.75">
      <c r="A396" s="1" t="s">
        <v>1426</v>
      </c>
      <c r="B396" s="14">
        <v>1.7423611111111112</v>
      </c>
      <c r="C396" s="3">
        <v>0.1517</v>
      </c>
      <c r="D396" s="4"/>
      <c r="E396" s="5">
        <f>TEXT(A396,"yyyy/mm/dd") &amp; " " &amp; TEXT(B396,"hh:mm:ss")</f>
      </c>
      <c r="F396" s="5"/>
      <c r="G396" s="5"/>
      <c r="H396" s="5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1"/>
      <c r="Z396" s="1"/>
      <c r="AA396" s="1"/>
      <c r="AB396" s="1"/>
      <c r="AC396" s="14"/>
    </row>
    <row x14ac:dyDescent="0.25" r="397" customHeight="1" ht="18.75">
      <c r="A397" s="1" t="s">
        <v>1427</v>
      </c>
      <c r="B397" s="14">
        <v>1.2270833333333333</v>
      </c>
      <c r="C397" s="3">
        <v>0.1799</v>
      </c>
      <c r="D397" s="4"/>
      <c r="E397" s="5">
        <f>TEXT(A397,"yyyy/mm/dd") &amp; " " &amp; TEXT(B397,"hh:mm:ss")</f>
      </c>
      <c r="F397" s="5"/>
      <c r="G397" s="5"/>
      <c r="H397" s="5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1"/>
      <c r="Z397" s="1"/>
      <c r="AA397" s="1"/>
      <c r="AB397" s="1"/>
      <c r="AC397" s="14"/>
    </row>
    <row x14ac:dyDescent="0.25" r="398" customHeight="1" ht="18.75">
      <c r="A398" s="40" t="s">
        <v>1428</v>
      </c>
      <c r="B398" s="41">
        <v>1.0069444444444444</v>
      </c>
      <c r="C398" s="42">
        <v>0.12459999999999999</v>
      </c>
      <c r="D398" s="4"/>
      <c r="E398" s="43">
        <f>TEXT(A398,"yyyy/mm/dd") &amp; " " &amp; TEXT(B398,"hh:mm:ss")</f>
      </c>
      <c r="F398" s="5"/>
      <c r="G398" s="5"/>
      <c r="H398" s="5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1"/>
      <c r="Z398" s="1"/>
      <c r="AA398" s="1"/>
      <c r="AB398" s="40"/>
      <c r="AC398" s="41"/>
    </row>
    <row x14ac:dyDescent="0.25" r="399" customHeight="1" ht="18.75">
      <c r="A399" s="1" t="s">
        <v>1254</v>
      </c>
      <c r="B399" s="14">
        <v>1.3375</v>
      </c>
      <c r="C399" s="3">
        <v>0.01</v>
      </c>
      <c r="D399" s="4"/>
      <c r="E399" s="5">
        <f>TEXT(A399,"yyyy/mm/dd") &amp; " " &amp; TEXT(B399,"hh:mm:ss")</f>
      </c>
      <c r="F399" s="5"/>
      <c r="G399" s="5"/>
      <c r="H399" s="5"/>
      <c r="I399" s="5" t="s">
        <v>1254</v>
      </c>
      <c r="J399" s="4" t="s">
        <v>1429</v>
      </c>
      <c r="K399" s="4" t="s">
        <v>1430</v>
      </c>
      <c r="L399" s="4" t="s">
        <v>1430</v>
      </c>
      <c r="M399" s="4" t="s">
        <v>1431</v>
      </c>
      <c r="N399" s="4" t="s">
        <v>1432</v>
      </c>
      <c r="O399" s="4" t="s">
        <v>1433</v>
      </c>
      <c r="P399" s="20" t="s">
        <v>1434</v>
      </c>
      <c r="Q399" s="4"/>
      <c r="R399" s="4"/>
      <c r="S399" s="4"/>
      <c r="T399" s="4"/>
      <c r="U399" s="4"/>
      <c r="V399" s="4"/>
      <c r="W399" s="4"/>
      <c r="X399" s="4"/>
      <c r="Y399" s="1"/>
      <c r="Z399" s="1"/>
      <c r="AA399" s="1"/>
      <c r="AB399" s="1"/>
      <c r="AC399" s="14"/>
    </row>
    <row x14ac:dyDescent="0.25" r="400" customHeight="1" ht="18.75">
      <c r="A400" s="1" t="s">
        <v>1429</v>
      </c>
      <c r="B400" s="14">
        <v>1.0166666666666666</v>
      </c>
      <c r="C400" s="3">
        <v>0.011</v>
      </c>
      <c r="D400" s="4"/>
      <c r="E400" s="5">
        <f>TEXT(A400,"yyyy/mm/dd") &amp; " " &amp; TEXT(B400,"hh:mm:ss")</f>
      </c>
      <c r="F400" s="5"/>
      <c r="G400" s="5"/>
      <c r="H400" s="5"/>
      <c r="I400" s="14">
        <v>1.3375</v>
      </c>
      <c r="J400" s="14">
        <v>1.0166666666666666</v>
      </c>
      <c r="K400" s="14">
        <v>1.24375</v>
      </c>
      <c r="L400" s="14">
        <v>1.70625</v>
      </c>
      <c r="M400" s="14">
        <v>1.2354166666666666</v>
      </c>
      <c r="N400" s="14">
        <v>1.2333333333333334</v>
      </c>
      <c r="O400" s="14">
        <v>1.0493055555555555</v>
      </c>
      <c r="P400" s="24">
        <v>1.0291666666666666</v>
      </c>
      <c r="Q400" s="4"/>
      <c r="R400" s="4"/>
      <c r="S400" s="4"/>
      <c r="T400" s="4"/>
      <c r="U400" s="4"/>
      <c r="V400" s="4"/>
      <c r="W400" s="4"/>
      <c r="X400" s="4"/>
      <c r="Y400" s="1"/>
      <c r="Z400" s="1"/>
      <c r="AA400" s="1"/>
      <c r="AB400" s="1"/>
      <c r="AC400" s="14"/>
    </row>
    <row x14ac:dyDescent="0.25" r="401" customHeight="1" ht="18.75">
      <c r="A401" s="1" t="s">
        <v>1430</v>
      </c>
      <c r="B401" s="14">
        <v>1.24375</v>
      </c>
      <c r="C401" s="5"/>
      <c r="D401" s="4"/>
      <c r="E401" s="5">
        <f>TEXT(A401,"yyyy/mm/dd") &amp; " " &amp; TEXT(B401,"hh:mm:ss")</f>
      </c>
      <c r="F401" s="5"/>
      <c r="G401" s="5"/>
      <c r="H401" s="5"/>
      <c r="I401" s="39">
        <v>0.01</v>
      </c>
      <c r="J401" s="3">
        <v>0.011</v>
      </c>
      <c r="K401" s="4"/>
      <c r="L401" s="3">
        <v>0.01</v>
      </c>
      <c r="M401" s="3">
        <v>0.01</v>
      </c>
      <c r="N401" s="3">
        <v>0.011</v>
      </c>
      <c r="O401" s="3">
        <v>0.015</v>
      </c>
      <c r="P401" s="13">
        <v>0.015</v>
      </c>
      <c r="Q401" s="4"/>
      <c r="R401" s="4"/>
      <c r="S401" s="4"/>
      <c r="T401" s="4"/>
      <c r="U401" s="4"/>
      <c r="V401" s="4"/>
      <c r="W401" s="4"/>
      <c r="X401" s="4"/>
      <c r="Y401" s="1"/>
      <c r="Z401" s="1"/>
      <c r="AA401" s="1"/>
      <c r="AB401" s="1"/>
      <c r="AC401" s="14"/>
    </row>
    <row x14ac:dyDescent="0.25" r="402" customHeight="1" ht="18.75">
      <c r="A402" s="1" t="s">
        <v>1430</v>
      </c>
      <c r="B402" s="14">
        <v>1.70625</v>
      </c>
      <c r="C402" s="3">
        <v>0.01</v>
      </c>
      <c r="D402" s="4"/>
      <c r="E402" s="5">
        <f>TEXT(A402,"yyyy/mm/dd") &amp; " " &amp; TEXT(B402,"hh:mm:ss")</f>
      </c>
      <c r="F402" s="5"/>
      <c r="G402" s="5"/>
      <c r="H402" s="5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1"/>
      <c r="Z402" s="1"/>
      <c r="AA402" s="1"/>
      <c r="AB402" s="1"/>
      <c r="AC402" s="14"/>
    </row>
    <row x14ac:dyDescent="0.25" r="403" customHeight="1" ht="18.75">
      <c r="A403" s="1" t="s">
        <v>1431</v>
      </c>
      <c r="B403" s="14">
        <v>1.2354166666666666</v>
      </c>
      <c r="C403" s="3">
        <v>0.01</v>
      </c>
      <c r="D403" s="4"/>
      <c r="E403" s="5">
        <f>TEXT(A403,"yyyy/mm/dd") &amp; " " &amp; TEXT(B403,"hh:mm:ss")</f>
      </c>
      <c r="F403" s="5"/>
      <c r="G403" s="5"/>
      <c r="H403" s="5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1"/>
      <c r="Z403" s="1"/>
      <c r="AA403" s="1"/>
      <c r="AB403" s="1"/>
      <c r="AC403" s="14"/>
    </row>
    <row x14ac:dyDescent="0.25" r="404" customHeight="1" ht="18.75">
      <c r="A404" s="1" t="s">
        <v>1432</v>
      </c>
      <c r="B404" s="14">
        <v>1.2333333333333334</v>
      </c>
      <c r="C404" s="3">
        <v>0.011</v>
      </c>
      <c r="D404" s="4"/>
      <c r="E404" s="5">
        <f>TEXT(A404,"yyyy/mm/dd") &amp; " " &amp; TEXT(B404,"hh:mm:ss")</f>
      </c>
      <c r="F404" s="5"/>
      <c r="G404" s="5"/>
      <c r="H404" s="5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1"/>
      <c r="Z404" s="1"/>
      <c r="AA404" s="1"/>
      <c r="AB404" s="1"/>
      <c r="AC404" s="14"/>
    </row>
    <row x14ac:dyDescent="0.25" r="405" customHeight="1" ht="18.75">
      <c r="A405" s="1" t="s">
        <v>1433</v>
      </c>
      <c r="B405" s="14">
        <v>1.0493055555555555</v>
      </c>
      <c r="C405" s="3">
        <v>0.015</v>
      </c>
      <c r="D405" s="4"/>
      <c r="E405" s="5">
        <f>TEXT(A405,"yyyy/mm/dd") &amp; " " &amp; TEXT(B405,"hh:mm:ss")</f>
      </c>
      <c r="F405" s="5"/>
      <c r="G405" s="5"/>
      <c r="H405" s="5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1"/>
      <c r="Z405" s="1"/>
      <c r="AA405" s="1"/>
      <c r="AB405" s="1"/>
      <c r="AC405" s="14"/>
    </row>
    <row x14ac:dyDescent="0.25" r="406" customHeight="1" ht="18.75">
      <c r="A406" s="40" t="s">
        <v>1434</v>
      </c>
      <c r="B406" s="41">
        <v>1.0291666666666666</v>
      </c>
      <c r="C406" s="42">
        <v>0.015</v>
      </c>
      <c r="D406" s="4"/>
      <c r="E406" s="43">
        <f>TEXT(A406,"yyyy/mm/dd") &amp; " " &amp; TEXT(B406,"hh:mm:ss")</f>
      </c>
      <c r="F406" s="5"/>
      <c r="G406" s="5"/>
      <c r="H406" s="5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1"/>
      <c r="Z406" s="1"/>
      <c r="AA406" s="1"/>
      <c r="AB406" s="1"/>
      <c r="AC406" s="1"/>
    </row>
    <row x14ac:dyDescent="0.25" r="407" customHeight="1" ht="18.75">
      <c r="A407" s="1"/>
      <c r="B407" s="5"/>
      <c r="C407" s="5"/>
      <c r="D407" s="4"/>
      <c r="E407" s="5"/>
      <c r="F407" s="5"/>
      <c r="G407" s="5"/>
      <c r="H407" s="5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1"/>
      <c r="Z407" s="1"/>
      <c r="AA407" s="1"/>
      <c r="AB407" s="1"/>
      <c r="AC407" s="1"/>
    </row>
    <row x14ac:dyDescent="0.25" r="408" customHeight="1" ht="18.75">
      <c r="A408" s="1" t="s">
        <v>863</v>
      </c>
      <c r="B408" s="39">
        <v>0.0535</v>
      </c>
      <c r="C408" s="3">
        <v>0.0577</v>
      </c>
      <c r="D408" s="3">
        <v>0.0438</v>
      </c>
      <c r="E408" s="3">
        <v>0.0342</v>
      </c>
      <c r="F408" s="3">
        <v>0.0315</v>
      </c>
      <c r="G408" s="3">
        <v>0.024399999999999998</v>
      </c>
      <c r="H408" s="3">
        <v>0.019</v>
      </c>
      <c r="I408" s="13">
        <v>0.0128</v>
      </c>
      <c r="J408" s="37"/>
      <c r="K408" s="37"/>
      <c r="L408" s="37"/>
      <c r="M408" s="37"/>
      <c r="N408" s="37"/>
      <c r="O408" s="37"/>
      <c r="P408" s="37"/>
      <c r="Q408" s="37"/>
      <c r="R408" s="4"/>
      <c r="S408" s="4"/>
      <c r="T408" s="4"/>
      <c r="U408" s="4"/>
      <c r="V408" s="4"/>
      <c r="W408" s="4"/>
      <c r="X408" s="4"/>
      <c r="Y408" s="1"/>
      <c r="Z408" s="1"/>
      <c r="AA408" s="1"/>
      <c r="AB408" s="1"/>
      <c r="AC408" s="1"/>
    </row>
    <row x14ac:dyDescent="0.25" r="409" customHeight="1" ht="18.75">
      <c r="A409" s="1" t="s">
        <v>872</v>
      </c>
      <c r="B409" s="39">
        <v>0.0181</v>
      </c>
      <c r="C409" s="3">
        <v>0.012199999999999999</v>
      </c>
      <c r="D409" s="3">
        <v>0.0081</v>
      </c>
      <c r="E409" s="3">
        <v>0.0057</v>
      </c>
      <c r="F409" s="3">
        <v>0.0126</v>
      </c>
      <c r="G409" s="3">
        <v>0.0076</v>
      </c>
      <c r="H409" s="13">
        <v>0.0077</v>
      </c>
      <c r="I409" s="37"/>
      <c r="J409" s="37"/>
      <c r="K409" s="37"/>
      <c r="L409" s="37"/>
      <c r="M409" s="37"/>
      <c r="N409" s="37"/>
      <c r="O409" s="37"/>
      <c r="P409" s="37"/>
      <c r="Q409" s="37"/>
      <c r="R409" s="4"/>
      <c r="S409" s="4"/>
      <c r="T409" s="4"/>
      <c r="U409" s="4"/>
      <c r="V409" s="4"/>
      <c r="W409" s="4"/>
      <c r="X409" s="4"/>
      <c r="Y409" s="1"/>
      <c r="Z409" s="1"/>
      <c r="AA409" s="1"/>
      <c r="AB409" s="1"/>
      <c r="AC409" s="1"/>
    </row>
    <row x14ac:dyDescent="0.25" r="410" customHeight="1" ht="18.75">
      <c r="A410" s="1" t="s">
        <v>880</v>
      </c>
      <c r="B410" s="39">
        <v>0.158</v>
      </c>
      <c r="C410" s="3">
        <v>0.144</v>
      </c>
      <c r="D410" s="3">
        <v>0.11</v>
      </c>
      <c r="E410" s="3">
        <v>0.127</v>
      </c>
      <c r="F410" s="3">
        <v>0.157</v>
      </c>
      <c r="G410" s="13">
        <v>0.153</v>
      </c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4"/>
      <c r="S410" s="4"/>
      <c r="T410" s="4"/>
      <c r="U410" s="4"/>
      <c r="V410" s="4"/>
      <c r="W410" s="4"/>
      <c r="X410" s="4"/>
      <c r="Y410" s="1"/>
      <c r="Z410" s="1"/>
      <c r="AA410" s="1"/>
      <c r="AB410" s="1"/>
      <c r="AC410" s="1"/>
    </row>
    <row x14ac:dyDescent="0.25" r="411" customHeight="1" ht="18.75">
      <c r="A411" s="1" t="s">
        <v>887</v>
      </c>
      <c r="B411" s="39">
        <v>0.055</v>
      </c>
      <c r="C411" s="3">
        <v>0.049</v>
      </c>
      <c r="D411" s="3">
        <v>0.104</v>
      </c>
      <c r="E411" s="3">
        <v>0.249</v>
      </c>
      <c r="F411" s="3">
        <v>0.173</v>
      </c>
      <c r="G411" s="13">
        <v>0.134</v>
      </c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4"/>
      <c r="S411" s="4"/>
      <c r="T411" s="4"/>
      <c r="U411" s="4"/>
      <c r="V411" s="4"/>
      <c r="W411" s="4"/>
      <c r="X411" s="4"/>
      <c r="Y411" s="1"/>
      <c r="Z411" s="1"/>
      <c r="AA411" s="1"/>
      <c r="AB411" s="1"/>
      <c r="AC411" s="1"/>
    </row>
    <row x14ac:dyDescent="0.25" r="412" customHeight="1" ht="18.75">
      <c r="A412" s="1" t="s">
        <v>894</v>
      </c>
      <c r="B412" s="39">
        <v>0.08</v>
      </c>
      <c r="C412" s="3">
        <v>0.126</v>
      </c>
      <c r="D412" s="3">
        <v>0.135</v>
      </c>
      <c r="E412" s="3">
        <v>0.128</v>
      </c>
      <c r="F412" s="3">
        <v>0.12</v>
      </c>
      <c r="G412" s="13">
        <v>0.13</v>
      </c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4"/>
      <c r="S412" s="4"/>
      <c r="T412" s="4"/>
      <c r="U412" s="4"/>
      <c r="V412" s="4"/>
      <c r="W412" s="4"/>
      <c r="X412" s="4"/>
      <c r="Y412" s="1"/>
      <c r="Z412" s="1"/>
      <c r="AA412" s="1"/>
      <c r="AB412" s="1"/>
      <c r="AC412" s="1"/>
    </row>
    <row x14ac:dyDescent="0.25" r="413" customHeight="1" ht="18.75">
      <c r="A413" s="1" t="s">
        <v>901</v>
      </c>
      <c r="B413" s="39">
        <v>0.3323</v>
      </c>
      <c r="C413" s="3">
        <v>1.23</v>
      </c>
      <c r="D413" s="3">
        <v>1.033</v>
      </c>
      <c r="E413" s="3">
        <v>0.5411</v>
      </c>
      <c r="F413" s="3">
        <v>0.6142000000000001</v>
      </c>
      <c r="G413" s="13">
        <v>0.6804</v>
      </c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4"/>
      <c r="S413" s="4"/>
      <c r="T413" s="4"/>
      <c r="U413" s="4"/>
      <c r="V413" s="4"/>
      <c r="W413" s="4"/>
      <c r="X413" s="4"/>
      <c r="Y413" s="1"/>
      <c r="Z413" s="1"/>
      <c r="AA413" s="1"/>
      <c r="AB413" s="1"/>
      <c r="AC413" s="1"/>
    </row>
    <row x14ac:dyDescent="0.25" r="414" customHeight="1" ht="18.75">
      <c r="A414" s="1" t="s">
        <v>908</v>
      </c>
      <c r="B414" s="39">
        <v>1.64</v>
      </c>
      <c r="C414" s="3">
        <v>1.9</v>
      </c>
      <c r="D414" s="3">
        <v>2.39</v>
      </c>
      <c r="E414" s="3">
        <v>2.62</v>
      </c>
      <c r="F414" s="3">
        <v>1.63</v>
      </c>
      <c r="G414" s="3">
        <v>1.16</v>
      </c>
      <c r="H414" s="3">
        <v>1.1</v>
      </c>
      <c r="I414" s="3">
        <v>0.796</v>
      </c>
      <c r="J414" s="3">
        <v>0.407</v>
      </c>
      <c r="K414" s="3">
        <v>0.271</v>
      </c>
      <c r="L414" s="3">
        <v>0.183</v>
      </c>
      <c r="M414" s="3">
        <v>0.132</v>
      </c>
      <c r="N414" s="37"/>
      <c r="O414" s="3">
        <v>0.069</v>
      </c>
      <c r="P414" s="3">
        <v>0.054</v>
      </c>
      <c r="Q414" s="13">
        <v>0.042</v>
      </c>
      <c r="R414" s="4"/>
      <c r="S414" s="4"/>
      <c r="T414" s="4"/>
      <c r="U414" s="4"/>
      <c r="V414" s="4"/>
      <c r="W414" s="4"/>
      <c r="X414" s="4"/>
      <c r="Y414" s="1"/>
      <c r="Z414" s="1"/>
      <c r="AA414" s="1"/>
      <c r="AB414" s="1"/>
      <c r="AC414" s="1"/>
    </row>
    <row x14ac:dyDescent="0.25" r="415" customHeight="1" ht="18.75">
      <c r="A415" s="1" t="s">
        <v>921</v>
      </c>
      <c r="B415" s="39">
        <v>0.974</v>
      </c>
      <c r="C415" s="3">
        <v>1.08</v>
      </c>
      <c r="D415" s="3">
        <v>0.643</v>
      </c>
      <c r="E415" s="3">
        <v>0.781</v>
      </c>
      <c r="F415" s="3">
        <v>0.905</v>
      </c>
      <c r="G415" s="3">
        <v>0.748</v>
      </c>
      <c r="H415" s="3">
        <v>0.65</v>
      </c>
      <c r="I415" s="3">
        <v>0.46</v>
      </c>
      <c r="J415" s="13">
        <v>0.295</v>
      </c>
      <c r="K415" s="37"/>
      <c r="L415" s="37"/>
      <c r="M415" s="37"/>
      <c r="N415" s="37"/>
      <c r="O415" s="37"/>
      <c r="P415" s="37"/>
      <c r="Q415" s="37"/>
      <c r="R415" s="4"/>
      <c r="S415" s="4"/>
      <c r="T415" s="4"/>
      <c r="U415" s="4"/>
      <c r="V415" s="4"/>
      <c r="W415" s="4"/>
      <c r="X415" s="4"/>
      <c r="Y415" s="1"/>
      <c r="Z415" s="1"/>
      <c r="AA415" s="1"/>
      <c r="AB415" s="1"/>
      <c r="AC415" s="1"/>
    </row>
    <row x14ac:dyDescent="0.25" r="416" customHeight="1" ht="18.75">
      <c r="A416" s="1" t="s">
        <v>928</v>
      </c>
      <c r="B416" s="39">
        <v>0.059</v>
      </c>
      <c r="C416" s="3">
        <v>0.067</v>
      </c>
      <c r="D416" s="3">
        <v>0.078</v>
      </c>
      <c r="E416" s="3">
        <v>0.106</v>
      </c>
      <c r="F416" s="3">
        <v>0.076</v>
      </c>
      <c r="G416" s="3">
        <v>0.064</v>
      </c>
      <c r="H416" s="3">
        <v>0.052</v>
      </c>
      <c r="I416" s="13">
        <v>0.019</v>
      </c>
      <c r="J416" s="37"/>
      <c r="K416" s="37"/>
      <c r="L416" s="37"/>
      <c r="M416" s="37"/>
      <c r="N416" s="37"/>
      <c r="O416" s="37"/>
      <c r="P416" s="37"/>
      <c r="Q416" s="37"/>
      <c r="R416" s="4"/>
      <c r="S416" s="4"/>
      <c r="T416" s="4"/>
      <c r="U416" s="4"/>
      <c r="V416" s="4"/>
      <c r="W416" s="4"/>
      <c r="X416" s="4"/>
      <c r="Y416" s="1"/>
      <c r="Z416" s="1"/>
      <c r="AA416" s="1"/>
      <c r="AB416" s="1"/>
      <c r="AC416" s="1"/>
    </row>
    <row x14ac:dyDescent="0.25" r="417" customHeight="1" ht="18.75">
      <c r="A417" s="1" t="s">
        <v>936</v>
      </c>
      <c r="B417" s="39">
        <v>0.734</v>
      </c>
      <c r="C417" s="3">
        <v>1.81</v>
      </c>
      <c r="D417" s="3">
        <v>2.56</v>
      </c>
      <c r="E417" s="3">
        <v>1.46</v>
      </c>
      <c r="F417" s="3">
        <v>1.35</v>
      </c>
      <c r="G417" s="3">
        <v>1.35</v>
      </c>
      <c r="H417" s="3">
        <v>1.02</v>
      </c>
      <c r="I417" s="13">
        <v>0.578</v>
      </c>
      <c r="J417" s="37"/>
      <c r="K417" s="37"/>
      <c r="L417" s="37"/>
      <c r="M417" s="37"/>
      <c r="N417" s="37"/>
      <c r="O417" s="37"/>
      <c r="P417" s="37"/>
      <c r="Q417" s="37"/>
      <c r="R417" s="4"/>
      <c r="S417" s="4"/>
      <c r="T417" s="4"/>
      <c r="U417" s="4"/>
      <c r="V417" s="4"/>
      <c r="W417" s="4"/>
      <c r="X417" s="4"/>
      <c r="Y417" s="1"/>
      <c r="Z417" s="1"/>
      <c r="AA417" s="1"/>
      <c r="AB417" s="1"/>
      <c r="AC417" s="1"/>
    </row>
    <row x14ac:dyDescent="0.25" r="418" customHeight="1" ht="18.75">
      <c r="A418" s="1" t="s">
        <v>945</v>
      </c>
      <c r="B418" s="39">
        <v>0.423</v>
      </c>
      <c r="C418" s="3">
        <v>0.476</v>
      </c>
      <c r="D418" s="3">
        <v>0.448</v>
      </c>
      <c r="E418" s="3">
        <v>0.463</v>
      </c>
      <c r="F418" s="3">
        <v>0.447</v>
      </c>
      <c r="G418" s="3">
        <v>0.314</v>
      </c>
      <c r="H418" s="13">
        <v>0.196</v>
      </c>
      <c r="I418" s="37"/>
      <c r="J418" s="37"/>
      <c r="K418" s="37"/>
      <c r="L418" s="37"/>
      <c r="M418" s="37"/>
      <c r="N418" s="37"/>
      <c r="O418" s="37"/>
      <c r="P418" s="37"/>
      <c r="Q418" s="37"/>
      <c r="R418" s="4"/>
      <c r="S418" s="4"/>
      <c r="T418" s="4"/>
      <c r="U418" s="4"/>
      <c r="V418" s="4"/>
      <c r="W418" s="4"/>
      <c r="X418" s="4"/>
      <c r="Y418" s="1"/>
      <c r="Z418" s="1"/>
      <c r="AA418" s="1"/>
      <c r="AB418" s="1"/>
      <c r="AC418" s="1"/>
    </row>
    <row x14ac:dyDescent="0.25" r="419" customHeight="1" ht="18.75">
      <c r="A419" s="1" t="s">
        <v>953</v>
      </c>
      <c r="B419" s="39">
        <v>0.198</v>
      </c>
      <c r="C419" s="3">
        <v>0.198</v>
      </c>
      <c r="D419" s="3">
        <v>0.172</v>
      </c>
      <c r="E419" s="3">
        <v>0.106</v>
      </c>
      <c r="F419" s="3">
        <v>0.099</v>
      </c>
      <c r="G419" s="3">
        <v>0.075</v>
      </c>
      <c r="H419" s="3">
        <v>0.048</v>
      </c>
      <c r="I419" s="3">
        <v>0.062</v>
      </c>
      <c r="J419" s="3">
        <v>0.064</v>
      </c>
      <c r="K419" s="3">
        <v>0.057</v>
      </c>
      <c r="L419" s="3">
        <v>0.047</v>
      </c>
      <c r="M419" s="3">
        <v>0.038</v>
      </c>
      <c r="N419" s="37"/>
      <c r="O419" s="37"/>
      <c r="P419" s="37"/>
      <c r="Q419" s="37"/>
      <c r="R419" s="4"/>
      <c r="S419" s="4"/>
      <c r="T419" s="4"/>
      <c r="U419" s="4"/>
      <c r="V419" s="4"/>
      <c r="W419" s="4"/>
      <c r="X419" s="4"/>
      <c r="Y419" s="1"/>
      <c r="Z419" s="1"/>
      <c r="AA419" s="1"/>
      <c r="AB419" s="1"/>
      <c r="AC419" s="1"/>
    </row>
    <row x14ac:dyDescent="0.25" r="420" customHeight="1" ht="18.75">
      <c r="A420" s="1" t="s">
        <v>961</v>
      </c>
      <c r="B420" s="39">
        <v>0.2778</v>
      </c>
      <c r="C420" s="3">
        <v>0.6214</v>
      </c>
      <c r="D420" s="3">
        <v>0.9873999999999999</v>
      </c>
      <c r="E420" s="3">
        <v>1.662</v>
      </c>
      <c r="F420" s="3">
        <v>1.664</v>
      </c>
      <c r="G420" s="3">
        <v>1.95</v>
      </c>
      <c r="H420" s="3">
        <v>1.793</v>
      </c>
      <c r="I420" s="3">
        <v>1.346</v>
      </c>
      <c r="J420" s="3">
        <v>0.5494</v>
      </c>
      <c r="K420" s="13">
        <v>0.2352</v>
      </c>
      <c r="L420" s="37"/>
      <c r="M420" s="37"/>
      <c r="N420" s="37"/>
      <c r="O420" s="37"/>
      <c r="P420" s="37"/>
      <c r="Q420" s="37"/>
      <c r="R420" s="4"/>
      <c r="S420" s="4"/>
      <c r="T420" s="4"/>
      <c r="U420" s="4"/>
      <c r="V420" s="4"/>
      <c r="W420" s="4"/>
      <c r="X420" s="4"/>
      <c r="Y420" s="1"/>
      <c r="Z420" s="1"/>
      <c r="AA420" s="1"/>
      <c r="AB420" s="1"/>
      <c r="AC420" s="1"/>
    </row>
    <row x14ac:dyDescent="0.25" r="421" customHeight="1" ht="18.75">
      <c r="A421" s="1" t="s">
        <v>972</v>
      </c>
      <c r="B421" s="39">
        <v>0.16240000000000002</v>
      </c>
      <c r="C421" s="3">
        <v>0.0999</v>
      </c>
      <c r="D421" s="3">
        <v>0.046700000000000005</v>
      </c>
      <c r="E421" s="3">
        <v>0.0412</v>
      </c>
      <c r="F421" s="13">
        <v>0.0273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4"/>
      <c r="S421" s="4"/>
      <c r="T421" s="4"/>
      <c r="U421" s="4"/>
      <c r="V421" s="4"/>
      <c r="W421" s="4"/>
      <c r="X421" s="4"/>
      <c r="Y421" s="1"/>
      <c r="Z421" s="1"/>
      <c r="AA421" s="1"/>
      <c r="AB421" s="1"/>
      <c r="AC421" s="1"/>
    </row>
    <row x14ac:dyDescent="0.25" r="422" customHeight="1" ht="18.75">
      <c r="A422" s="1" t="s">
        <v>978</v>
      </c>
      <c r="B422" s="39">
        <v>0.184</v>
      </c>
      <c r="C422" s="3">
        <v>0.192</v>
      </c>
      <c r="D422" s="3">
        <v>0.203</v>
      </c>
      <c r="E422" s="3">
        <v>0.218</v>
      </c>
      <c r="F422" s="13">
        <v>0.238</v>
      </c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4"/>
      <c r="S422" s="4"/>
      <c r="T422" s="4"/>
      <c r="U422" s="4"/>
      <c r="V422" s="4"/>
      <c r="W422" s="4"/>
      <c r="X422" s="4"/>
      <c r="Y422" s="1"/>
      <c r="Z422" s="1"/>
      <c r="AA422" s="1"/>
      <c r="AB422" s="1"/>
      <c r="AC422" s="1"/>
    </row>
    <row x14ac:dyDescent="0.25" r="423" customHeight="1" ht="18.75">
      <c r="A423" s="1" t="s">
        <v>982</v>
      </c>
      <c r="B423" s="39">
        <v>0.892</v>
      </c>
      <c r="C423" s="3">
        <v>0.831</v>
      </c>
      <c r="D423" s="3">
        <v>0.674</v>
      </c>
      <c r="E423" s="3">
        <v>0.639</v>
      </c>
      <c r="F423" s="3">
        <v>0.382</v>
      </c>
      <c r="G423" s="3">
        <v>0.28</v>
      </c>
      <c r="H423" s="13">
        <v>0.138</v>
      </c>
      <c r="I423" s="37"/>
      <c r="J423" s="37"/>
      <c r="K423" s="37"/>
      <c r="L423" s="37"/>
      <c r="M423" s="37"/>
      <c r="N423" s="37"/>
      <c r="O423" s="37"/>
      <c r="P423" s="37"/>
      <c r="Q423" s="37"/>
      <c r="R423" s="4"/>
      <c r="S423" s="4"/>
      <c r="T423" s="4"/>
      <c r="U423" s="4"/>
      <c r="V423" s="4"/>
      <c r="W423" s="4"/>
      <c r="X423" s="4"/>
      <c r="Y423" s="1"/>
      <c r="Z423" s="1"/>
      <c r="AA423" s="1"/>
      <c r="AB423" s="1"/>
      <c r="AC423" s="1"/>
    </row>
    <row x14ac:dyDescent="0.25" r="424" customHeight="1" ht="18.75">
      <c r="A424" s="1" t="s">
        <v>989</v>
      </c>
      <c r="B424" s="39">
        <v>0.06</v>
      </c>
      <c r="C424" s="3">
        <v>0.058</v>
      </c>
      <c r="D424" s="3">
        <v>0.059</v>
      </c>
      <c r="E424" s="3">
        <v>0.076</v>
      </c>
      <c r="F424" s="13">
        <v>0.054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4"/>
      <c r="S424" s="4"/>
      <c r="T424" s="4"/>
      <c r="U424" s="4"/>
      <c r="V424" s="4"/>
      <c r="W424" s="4"/>
      <c r="X424" s="4"/>
      <c r="Y424" s="1"/>
      <c r="Z424" s="1"/>
      <c r="AA424" s="1"/>
      <c r="AB424" s="1"/>
      <c r="AC424" s="1"/>
    </row>
    <row x14ac:dyDescent="0.25" r="425" customHeight="1" ht="18.75">
      <c r="A425" s="1" t="s">
        <v>995</v>
      </c>
      <c r="B425" s="39">
        <v>0.39</v>
      </c>
      <c r="C425" s="3">
        <v>1.26</v>
      </c>
      <c r="D425" s="3">
        <v>0.893</v>
      </c>
      <c r="E425" s="3">
        <v>0.735</v>
      </c>
      <c r="F425" s="3">
        <v>0.666</v>
      </c>
      <c r="G425" s="3">
        <v>0.634</v>
      </c>
      <c r="H425" s="3">
        <v>0.639</v>
      </c>
      <c r="I425" s="3">
        <v>0.443</v>
      </c>
      <c r="J425" s="3">
        <v>0.306</v>
      </c>
      <c r="K425" s="3">
        <v>0.227</v>
      </c>
      <c r="L425" s="13">
        <v>0.157</v>
      </c>
      <c r="M425" s="37"/>
      <c r="N425" s="37"/>
      <c r="O425" s="37"/>
      <c r="P425" s="37"/>
      <c r="Q425" s="37"/>
      <c r="R425" s="4"/>
      <c r="S425" s="4"/>
      <c r="T425" s="4"/>
      <c r="U425" s="4"/>
      <c r="V425" s="4"/>
      <c r="W425" s="4"/>
      <c r="X425" s="4"/>
      <c r="Y425" s="1"/>
      <c r="Z425" s="1"/>
      <c r="AA425" s="1"/>
      <c r="AB425" s="1"/>
      <c r="AC425" s="1"/>
    </row>
    <row x14ac:dyDescent="0.25" r="426" customHeight="1" ht="18.75">
      <c r="A426" s="1" t="s">
        <v>1005</v>
      </c>
      <c r="B426" s="39">
        <v>0.344</v>
      </c>
      <c r="C426" s="3">
        <v>0.305</v>
      </c>
      <c r="D426" s="3">
        <v>0.25</v>
      </c>
      <c r="E426" s="3">
        <v>0.209</v>
      </c>
      <c r="F426" s="3">
        <v>0.158</v>
      </c>
      <c r="G426" s="3">
        <v>0.138</v>
      </c>
      <c r="H426" s="3">
        <v>0.008</v>
      </c>
      <c r="I426" s="3">
        <v>0.076</v>
      </c>
      <c r="J426" s="3">
        <v>0.084</v>
      </c>
      <c r="K426" s="3">
        <v>0.074</v>
      </c>
      <c r="L426" s="13">
        <v>0.079</v>
      </c>
      <c r="M426" s="37"/>
      <c r="N426" s="37"/>
      <c r="O426" s="37"/>
      <c r="P426" s="37"/>
      <c r="Q426" s="37"/>
      <c r="R426" s="4"/>
      <c r="S426" s="4"/>
      <c r="T426" s="4"/>
      <c r="U426" s="4"/>
      <c r="V426" s="4"/>
      <c r="W426" s="4"/>
      <c r="X426" s="4"/>
      <c r="Y426" s="1"/>
      <c r="Z426" s="1"/>
      <c r="AA426" s="1"/>
      <c r="AB426" s="1"/>
      <c r="AC426" s="1"/>
    </row>
    <row x14ac:dyDescent="0.25" r="427" customHeight="1" ht="18.75">
      <c r="A427" s="1" t="s">
        <v>1017</v>
      </c>
      <c r="B427" s="39">
        <v>0.13</v>
      </c>
      <c r="C427" s="3">
        <v>0.217</v>
      </c>
      <c r="D427" s="3">
        <v>0.147</v>
      </c>
      <c r="E427" s="3">
        <v>0.1</v>
      </c>
      <c r="F427" s="3">
        <v>0.095</v>
      </c>
      <c r="G427" s="13">
        <v>0.076</v>
      </c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4"/>
      <c r="S427" s="4"/>
      <c r="T427" s="4"/>
      <c r="U427" s="4"/>
      <c r="V427" s="4"/>
      <c r="W427" s="4"/>
      <c r="X427" s="4"/>
      <c r="Y427" s="1"/>
      <c r="Z427" s="1"/>
      <c r="AA427" s="1"/>
      <c r="AB427" s="1"/>
      <c r="AC427" s="1"/>
    </row>
    <row x14ac:dyDescent="0.25" r="428" customHeight="1" ht="18.75">
      <c r="A428" s="1" t="s">
        <v>1021</v>
      </c>
      <c r="B428" s="39">
        <v>0.003</v>
      </c>
      <c r="C428" s="3">
        <v>0.007</v>
      </c>
      <c r="D428" s="3">
        <v>0.003</v>
      </c>
      <c r="E428" s="13">
        <v>0.003</v>
      </c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4"/>
      <c r="S428" s="4"/>
      <c r="T428" s="4"/>
      <c r="U428" s="4"/>
      <c r="V428" s="4"/>
      <c r="W428" s="4"/>
      <c r="X428" s="4"/>
      <c r="Y428" s="1"/>
      <c r="Z428" s="1"/>
      <c r="AA428" s="1"/>
      <c r="AB428" s="1"/>
      <c r="AC428" s="1"/>
    </row>
    <row x14ac:dyDescent="0.25" r="429" customHeight="1" ht="18.75">
      <c r="A429" s="1" t="s">
        <v>1025</v>
      </c>
      <c r="B429" s="39">
        <v>0.006</v>
      </c>
      <c r="C429" s="37"/>
      <c r="D429" s="3">
        <v>0.007</v>
      </c>
      <c r="E429" s="3">
        <v>0.007</v>
      </c>
      <c r="F429" s="3">
        <v>0.008</v>
      </c>
      <c r="G429" s="3">
        <v>0.024</v>
      </c>
      <c r="H429" s="3">
        <v>0.017</v>
      </c>
      <c r="I429" s="3">
        <v>0.013</v>
      </c>
      <c r="J429" s="13">
        <v>0.013</v>
      </c>
      <c r="K429" s="37"/>
      <c r="L429" s="37"/>
      <c r="M429" s="37"/>
      <c r="N429" s="37"/>
      <c r="O429" s="37"/>
      <c r="P429" s="37"/>
      <c r="Q429" s="37"/>
      <c r="R429" s="4"/>
      <c r="S429" s="4"/>
      <c r="T429" s="4"/>
      <c r="U429" s="4"/>
      <c r="V429" s="4"/>
      <c r="W429" s="4"/>
      <c r="X429" s="4"/>
      <c r="Y429" s="1"/>
      <c r="Z429" s="1"/>
      <c r="AA429" s="1"/>
      <c r="AB429" s="1"/>
      <c r="AC429" s="1"/>
    </row>
    <row x14ac:dyDescent="0.25" r="430" customHeight="1" ht="18.75">
      <c r="A430" s="1" t="s">
        <v>1034</v>
      </c>
      <c r="B430" s="39">
        <v>0.27</v>
      </c>
      <c r="C430" s="3">
        <v>0.219</v>
      </c>
      <c r="D430" s="3">
        <v>0.093</v>
      </c>
      <c r="E430" s="3">
        <v>0.064</v>
      </c>
      <c r="F430" s="3">
        <v>0.053</v>
      </c>
      <c r="G430" s="3">
        <v>0.036</v>
      </c>
      <c r="H430" s="3">
        <v>0.02</v>
      </c>
      <c r="I430" s="3">
        <v>0.013</v>
      </c>
      <c r="J430" s="3">
        <v>0.01</v>
      </c>
      <c r="K430" s="3">
        <v>0.011</v>
      </c>
      <c r="L430" s="3">
        <v>0.009</v>
      </c>
      <c r="M430" s="37"/>
      <c r="N430" s="37"/>
      <c r="O430" s="37"/>
      <c r="P430" s="37"/>
      <c r="Q430" s="37"/>
      <c r="R430" s="4"/>
      <c r="S430" s="4"/>
      <c r="T430" s="4"/>
      <c r="U430" s="4"/>
      <c r="V430" s="4"/>
      <c r="W430" s="4"/>
      <c r="X430" s="4"/>
      <c r="Y430" s="1"/>
      <c r="Z430" s="1"/>
      <c r="AA430" s="1"/>
      <c r="AB430" s="1"/>
      <c r="AC430" s="1"/>
    </row>
    <row x14ac:dyDescent="0.25" r="431" customHeight="1" ht="18.75">
      <c r="A431" s="1" t="s">
        <v>1048</v>
      </c>
      <c r="B431" s="39">
        <v>1.38</v>
      </c>
      <c r="C431" s="3">
        <v>1.65</v>
      </c>
      <c r="D431" s="3">
        <v>1.53</v>
      </c>
      <c r="E431" s="3">
        <v>1.66</v>
      </c>
      <c r="F431" s="13">
        <v>1.65</v>
      </c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4"/>
      <c r="S431" s="4"/>
      <c r="T431" s="4"/>
      <c r="U431" s="4"/>
      <c r="V431" s="4"/>
      <c r="W431" s="4"/>
      <c r="X431" s="4"/>
      <c r="Y431" s="1"/>
      <c r="Z431" s="1"/>
      <c r="AA431" s="1"/>
      <c r="AB431" s="1"/>
      <c r="AC431" s="1"/>
    </row>
    <row x14ac:dyDescent="0.25" r="432" customHeight="1" ht="18.75">
      <c r="A432" s="1" t="s">
        <v>1053</v>
      </c>
      <c r="B432" s="39">
        <v>0.009</v>
      </c>
      <c r="C432" s="3">
        <v>0.008</v>
      </c>
      <c r="D432" s="3">
        <v>0.011</v>
      </c>
      <c r="E432" s="3">
        <v>0.021</v>
      </c>
      <c r="F432" s="3">
        <v>0.091</v>
      </c>
      <c r="G432" s="3">
        <v>0.156</v>
      </c>
      <c r="H432" s="3">
        <v>0.108</v>
      </c>
      <c r="I432" s="3">
        <v>0.04</v>
      </c>
      <c r="J432" s="3">
        <v>0.096</v>
      </c>
      <c r="K432" s="3">
        <v>0.054</v>
      </c>
      <c r="L432" s="3">
        <v>0.086</v>
      </c>
      <c r="M432" s="13">
        <v>0.093</v>
      </c>
      <c r="N432" s="37"/>
      <c r="O432" s="37"/>
      <c r="P432" s="37"/>
      <c r="Q432" s="37"/>
      <c r="R432" s="4"/>
      <c r="S432" s="4"/>
      <c r="T432" s="4"/>
      <c r="U432" s="4"/>
      <c r="V432" s="4"/>
      <c r="W432" s="4"/>
      <c r="X432" s="4"/>
      <c r="Y432" s="1"/>
      <c r="Z432" s="1"/>
      <c r="AA432" s="1"/>
      <c r="AB432" s="1"/>
      <c r="AC432" s="1"/>
    </row>
    <row x14ac:dyDescent="0.25" r="433" customHeight="1" ht="18.75">
      <c r="A433" s="1" t="s">
        <v>1066</v>
      </c>
      <c r="B433" s="39">
        <v>0.207</v>
      </c>
      <c r="C433" s="3">
        <v>0.206</v>
      </c>
      <c r="D433" s="3">
        <v>0.599</v>
      </c>
      <c r="E433" s="3">
        <v>0.529</v>
      </c>
      <c r="F433" s="3">
        <v>0.698</v>
      </c>
      <c r="G433" s="3">
        <v>0.632</v>
      </c>
      <c r="H433" s="13">
        <v>0.447</v>
      </c>
      <c r="I433" s="37"/>
      <c r="J433" s="37"/>
      <c r="K433" s="37"/>
      <c r="L433" s="37"/>
      <c r="M433" s="37"/>
      <c r="N433" s="37"/>
      <c r="O433" s="37"/>
      <c r="P433" s="37"/>
      <c r="Q433" s="37"/>
      <c r="R433" s="4"/>
      <c r="S433" s="4"/>
      <c r="T433" s="4"/>
      <c r="U433" s="4"/>
      <c r="V433" s="4"/>
      <c r="W433" s="4"/>
      <c r="X433" s="4"/>
      <c r="Y433" s="1"/>
      <c r="Z433" s="1"/>
      <c r="AA433" s="1"/>
      <c r="AB433" s="1"/>
      <c r="AC433" s="1"/>
    </row>
    <row x14ac:dyDescent="0.25" r="434" customHeight="1" ht="18.75">
      <c r="A434" s="1" t="s">
        <v>1074</v>
      </c>
      <c r="B434" s="39">
        <v>0.2405</v>
      </c>
      <c r="C434" s="3">
        <v>0.7517999999999999</v>
      </c>
      <c r="D434" s="3">
        <v>1.284</v>
      </c>
      <c r="E434" s="3">
        <v>0.9282999999999999</v>
      </c>
      <c r="F434" s="3">
        <v>1.018</v>
      </c>
      <c r="G434" s="3">
        <v>0.8002</v>
      </c>
      <c r="H434" s="13">
        <v>0.4987</v>
      </c>
      <c r="I434" s="37"/>
      <c r="J434" s="37"/>
      <c r="K434" s="37"/>
      <c r="L434" s="37"/>
      <c r="M434" s="37"/>
      <c r="N434" s="37"/>
      <c r="O434" s="37"/>
      <c r="P434" s="37"/>
      <c r="Q434" s="37"/>
      <c r="R434" s="4"/>
      <c r="S434" s="4"/>
      <c r="T434" s="4"/>
      <c r="U434" s="4"/>
      <c r="V434" s="4"/>
      <c r="W434" s="4"/>
      <c r="X434" s="4"/>
      <c r="Y434" s="1"/>
      <c r="Z434" s="1"/>
      <c r="AA434" s="1"/>
      <c r="AB434" s="1"/>
      <c r="AC434" s="1"/>
    </row>
    <row x14ac:dyDescent="0.25" r="435" customHeight="1" ht="18.75">
      <c r="A435" s="1" t="s">
        <v>1082</v>
      </c>
      <c r="B435" s="39">
        <v>1.136</v>
      </c>
      <c r="C435" s="3">
        <v>2.835</v>
      </c>
      <c r="D435" s="3">
        <v>2.781</v>
      </c>
      <c r="E435" s="3">
        <v>1.943</v>
      </c>
      <c r="F435" s="3">
        <v>2.209</v>
      </c>
      <c r="G435" s="3">
        <v>2.523</v>
      </c>
      <c r="H435" s="3">
        <v>1.856</v>
      </c>
      <c r="I435" s="3">
        <v>1.165</v>
      </c>
      <c r="J435" s="3">
        <v>0.5273</v>
      </c>
      <c r="K435" s="3">
        <v>0.2546</v>
      </c>
      <c r="L435" s="3">
        <v>0.10890000000000001</v>
      </c>
      <c r="M435" s="13">
        <v>0.0538</v>
      </c>
      <c r="N435" s="37"/>
      <c r="O435" s="37"/>
      <c r="P435" s="37"/>
      <c r="Q435" s="37"/>
      <c r="R435" s="4"/>
      <c r="S435" s="4"/>
      <c r="T435" s="4"/>
      <c r="U435" s="4"/>
      <c r="V435" s="4"/>
      <c r="W435" s="4"/>
      <c r="X435" s="4"/>
      <c r="Y435" s="1"/>
      <c r="Z435" s="1"/>
      <c r="AA435" s="1"/>
      <c r="AB435" s="1"/>
      <c r="AC435" s="1"/>
    </row>
    <row x14ac:dyDescent="0.25" r="436" customHeight="1" ht="18.75">
      <c r="A436" s="1" t="s">
        <v>1095</v>
      </c>
      <c r="B436" s="39">
        <v>0.249</v>
      </c>
      <c r="C436" s="3">
        <v>0.36</v>
      </c>
      <c r="D436" s="3">
        <v>0.356</v>
      </c>
      <c r="E436" s="3">
        <v>0.276</v>
      </c>
      <c r="F436" s="3">
        <v>0.343</v>
      </c>
      <c r="G436" s="3">
        <v>0.357</v>
      </c>
      <c r="H436" s="3">
        <v>0.251</v>
      </c>
      <c r="I436" s="3">
        <v>0.145</v>
      </c>
      <c r="J436" s="13">
        <v>0.006</v>
      </c>
      <c r="K436" s="37"/>
      <c r="L436" s="37"/>
      <c r="M436" s="37"/>
      <c r="N436" s="37"/>
      <c r="O436" s="37"/>
      <c r="P436" s="37"/>
      <c r="Q436" s="37"/>
      <c r="R436" s="4"/>
      <c r="S436" s="4"/>
      <c r="T436" s="4"/>
      <c r="U436" s="4"/>
      <c r="V436" s="4"/>
      <c r="W436" s="4"/>
      <c r="X436" s="4"/>
      <c r="Y436" s="1"/>
      <c r="Z436" s="1"/>
      <c r="AA436" s="1"/>
      <c r="AB436" s="1"/>
      <c r="AC436" s="1"/>
    </row>
    <row x14ac:dyDescent="0.25" r="437" customHeight="1" ht="18.75">
      <c r="A437" s="1" t="s">
        <v>1104</v>
      </c>
      <c r="B437" s="39">
        <v>0.557</v>
      </c>
      <c r="C437" s="3">
        <v>1.49</v>
      </c>
      <c r="D437" s="3">
        <v>0.666</v>
      </c>
      <c r="E437" s="3">
        <v>0.724</v>
      </c>
      <c r="F437" s="3">
        <v>0.748</v>
      </c>
      <c r="G437" s="3">
        <v>0.791</v>
      </c>
      <c r="H437" s="3">
        <v>0.601</v>
      </c>
      <c r="I437" s="13">
        <v>0.429</v>
      </c>
      <c r="J437" s="37"/>
      <c r="K437" s="37"/>
      <c r="L437" s="37"/>
      <c r="M437" s="37"/>
      <c r="N437" s="37"/>
      <c r="O437" s="37"/>
      <c r="P437" s="37"/>
      <c r="Q437" s="37"/>
      <c r="R437" s="4"/>
      <c r="S437" s="4"/>
      <c r="T437" s="4"/>
      <c r="U437" s="4"/>
      <c r="V437" s="4"/>
      <c r="W437" s="4"/>
      <c r="X437" s="4"/>
      <c r="Y437" s="1"/>
      <c r="Z437" s="1"/>
      <c r="AA437" s="1"/>
      <c r="AB437" s="1"/>
      <c r="AC437" s="1"/>
    </row>
    <row x14ac:dyDescent="0.25" r="438" customHeight="1" ht="18.75">
      <c r="A438" s="1" t="s">
        <v>1113</v>
      </c>
      <c r="B438" s="39">
        <v>0.094</v>
      </c>
      <c r="C438" s="3">
        <v>0.224</v>
      </c>
      <c r="D438" s="3">
        <v>0.308</v>
      </c>
      <c r="E438" s="3">
        <v>0.28</v>
      </c>
      <c r="F438" s="3">
        <v>0.324</v>
      </c>
      <c r="G438" s="3">
        <v>0.342</v>
      </c>
      <c r="H438" s="13">
        <v>0.337</v>
      </c>
      <c r="I438" s="37"/>
      <c r="J438" s="37"/>
      <c r="K438" s="37"/>
      <c r="L438" s="37"/>
      <c r="M438" s="37"/>
      <c r="N438" s="37"/>
      <c r="O438" s="37"/>
      <c r="P438" s="37"/>
      <c r="Q438" s="37"/>
      <c r="R438" s="4"/>
      <c r="S438" s="4"/>
      <c r="T438" s="4"/>
      <c r="U438" s="4"/>
      <c r="V438" s="4"/>
      <c r="W438" s="4"/>
      <c r="X438" s="4"/>
      <c r="Y438" s="1"/>
      <c r="Z438" s="1"/>
      <c r="AA438" s="1"/>
      <c r="AB438" s="1"/>
      <c r="AC438" s="1"/>
    </row>
    <row x14ac:dyDescent="0.25" r="439" customHeight="1" ht="18.75">
      <c r="A439" s="1" t="s">
        <v>1121</v>
      </c>
      <c r="B439" s="39">
        <v>0.0978</v>
      </c>
      <c r="C439" s="3">
        <v>0.07740000000000001</v>
      </c>
      <c r="D439" s="3">
        <v>0.0837</v>
      </c>
      <c r="E439" s="3">
        <v>0.0668</v>
      </c>
      <c r="F439" s="3">
        <v>0.052700000000000004</v>
      </c>
      <c r="G439" s="3">
        <v>0.0361</v>
      </c>
      <c r="H439" s="3">
        <v>0.0678</v>
      </c>
      <c r="I439" s="3">
        <v>0.098</v>
      </c>
      <c r="J439" s="3">
        <v>0.07970000000000001</v>
      </c>
      <c r="K439" s="13">
        <v>0.0713</v>
      </c>
      <c r="L439" s="37"/>
      <c r="M439" s="37"/>
      <c r="N439" s="37"/>
      <c r="O439" s="37"/>
      <c r="P439" s="37"/>
      <c r="Q439" s="37"/>
      <c r="R439" s="4"/>
      <c r="S439" s="4"/>
      <c r="T439" s="4"/>
      <c r="U439" s="4"/>
      <c r="V439" s="4"/>
      <c r="W439" s="4"/>
      <c r="X439" s="4"/>
      <c r="Y439" s="1"/>
      <c r="Z439" s="1"/>
      <c r="AA439" s="1"/>
      <c r="AB439" s="1"/>
      <c r="AC439" s="1"/>
    </row>
    <row x14ac:dyDescent="0.25" r="440" customHeight="1" ht="18.75">
      <c r="A440" s="1" t="s">
        <v>1132</v>
      </c>
      <c r="B440" s="39">
        <v>0.2837</v>
      </c>
      <c r="C440" s="3">
        <v>0.2381</v>
      </c>
      <c r="D440" s="3">
        <v>0.305</v>
      </c>
      <c r="E440" s="3">
        <v>0.1835</v>
      </c>
      <c r="F440" s="13">
        <v>0.18919999999999998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4"/>
      <c r="S440" s="4"/>
      <c r="T440" s="4"/>
      <c r="U440" s="4"/>
      <c r="V440" s="4"/>
      <c r="W440" s="4"/>
      <c r="X440" s="4"/>
      <c r="Y440" s="1"/>
      <c r="Z440" s="1"/>
      <c r="AA440" s="1"/>
      <c r="AB440" s="1"/>
      <c r="AC440" s="1"/>
    </row>
    <row x14ac:dyDescent="0.25" r="441" customHeight="1" ht="18.75">
      <c r="A441" s="1" t="s">
        <v>1136</v>
      </c>
      <c r="B441" s="39">
        <v>0.24530000000000002</v>
      </c>
      <c r="C441" s="3">
        <v>0.30219999999999997</v>
      </c>
      <c r="D441" s="3">
        <v>0.3937</v>
      </c>
      <c r="E441" s="3">
        <v>0.2539</v>
      </c>
      <c r="F441" s="3">
        <v>0.2859</v>
      </c>
      <c r="G441" s="3">
        <v>0.32430000000000003</v>
      </c>
      <c r="H441" s="13">
        <v>0.1812</v>
      </c>
      <c r="I441" s="37"/>
      <c r="J441" s="37"/>
      <c r="K441" s="37"/>
      <c r="L441" s="37"/>
      <c r="M441" s="37"/>
      <c r="N441" s="37"/>
      <c r="O441" s="37"/>
      <c r="P441" s="37"/>
      <c r="Q441" s="37"/>
      <c r="R441" s="4"/>
      <c r="S441" s="4"/>
      <c r="T441" s="4"/>
      <c r="U441" s="4"/>
      <c r="V441" s="4"/>
      <c r="W441" s="4"/>
      <c r="X441" s="4"/>
      <c r="Y441" s="1"/>
      <c r="Z441" s="1"/>
      <c r="AA441" s="1"/>
      <c r="AB441" s="1"/>
      <c r="AC441" s="1"/>
    </row>
    <row x14ac:dyDescent="0.25" r="442" customHeight="1" ht="18.75">
      <c r="A442" s="1" t="s">
        <v>1139</v>
      </c>
      <c r="B442" s="39">
        <v>0.0997</v>
      </c>
      <c r="C442" s="37"/>
      <c r="D442" s="3">
        <v>0.4614</v>
      </c>
      <c r="E442" s="3">
        <v>0.3812</v>
      </c>
      <c r="F442" s="3">
        <v>0.4395</v>
      </c>
      <c r="G442" s="3">
        <v>0.49339999999999995</v>
      </c>
      <c r="H442" s="3">
        <v>0.4702</v>
      </c>
      <c r="I442" s="13">
        <v>0.31560000000000005</v>
      </c>
      <c r="J442" s="37"/>
      <c r="K442" s="37"/>
      <c r="L442" s="37"/>
      <c r="M442" s="37"/>
      <c r="N442" s="37"/>
      <c r="O442" s="37"/>
      <c r="P442" s="37"/>
      <c r="Q442" s="37"/>
      <c r="R442" s="4"/>
      <c r="S442" s="4"/>
      <c r="T442" s="4"/>
      <c r="U442" s="4"/>
      <c r="V442" s="4"/>
      <c r="W442" s="4"/>
      <c r="X442" s="4"/>
      <c r="Y442" s="1"/>
      <c r="Z442" s="1"/>
      <c r="AA442" s="1"/>
      <c r="AB442" s="1"/>
      <c r="AC442" s="1"/>
    </row>
    <row x14ac:dyDescent="0.25" r="443" customHeight="1" ht="18.75">
      <c r="A443" s="1" t="s">
        <v>1143</v>
      </c>
      <c r="B443" s="39">
        <v>1.189</v>
      </c>
      <c r="C443" s="3">
        <v>0.8827</v>
      </c>
      <c r="D443" s="3">
        <v>0.6079</v>
      </c>
      <c r="E443" s="3">
        <v>0.3697</v>
      </c>
      <c r="F443" s="3">
        <v>0.1576</v>
      </c>
      <c r="G443" s="3">
        <v>0.0847</v>
      </c>
      <c r="H443" s="3">
        <v>0.0594</v>
      </c>
      <c r="I443" s="13">
        <v>0.0405</v>
      </c>
      <c r="J443" s="37"/>
      <c r="K443" s="37"/>
      <c r="L443" s="37"/>
      <c r="M443" s="37"/>
      <c r="N443" s="37"/>
      <c r="O443" s="37"/>
      <c r="P443" s="37"/>
      <c r="Q443" s="37"/>
      <c r="R443" s="4"/>
      <c r="S443" s="4"/>
      <c r="T443" s="4"/>
      <c r="U443" s="4"/>
      <c r="V443" s="4"/>
      <c r="W443" s="4"/>
      <c r="X443" s="4"/>
      <c r="Y443" s="1"/>
      <c r="Z443" s="1"/>
      <c r="AA443" s="1"/>
      <c r="AB443" s="1"/>
      <c r="AC443" s="1"/>
    </row>
    <row x14ac:dyDescent="0.25" r="444" customHeight="1" ht="18.75">
      <c r="A444" s="1" t="s">
        <v>1152</v>
      </c>
      <c r="B444" s="39">
        <v>0.035</v>
      </c>
      <c r="C444" s="3">
        <v>5.61</v>
      </c>
      <c r="D444" s="3">
        <v>6.17</v>
      </c>
      <c r="E444" s="3">
        <v>3.09</v>
      </c>
      <c r="F444" s="3">
        <v>3.16</v>
      </c>
      <c r="G444" s="3">
        <v>3.87</v>
      </c>
      <c r="H444" s="3">
        <v>3.79</v>
      </c>
      <c r="I444" s="3">
        <v>3.1</v>
      </c>
      <c r="J444" s="13">
        <v>1.43</v>
      </c>
      <c r="K444" s="37"/>
      <c r="L444" s="37"/>
      <c r="M444" s="37"/>
      <c r="N444" s="37"/>
      <c r="O444" s="37"/>
      <c r="P444" s="37"/>
      <c r="Q444" s="37"/>
      <c r="R444" s="4"/>
      <c r="S444" s="4"/>
      <c r="T444" s="4"/>
      <c r="U444" s="4"/>
      <c r="V444" s="4"/>
      <c r="W444" s="4"/>
      <c r="X444" s="4"/>
      <c r="Y444" s="1"/>
      <c r="Z444" s="1"/>
      <c r="AA444" s="1"/>
      <c r="AB444" s="1"/>
      <c r="AC444" s="1"/>
    </row>
    <row x14ac:dyDescent="0.25" r="445" customHeight="1" ht="18.75">
      <c r="A445" s="1" t="s">
        <v>1162</v>
      </c>
      <c r="B445" s="39">
        <v>0.096</v>
      </c>
      <c r="C445" s="3">
        <v>0.233</v>
      </c>
      <c r="D445" s="3">
        <v>0.178</v>
      </c>
      <c r="E445" s="3">
        <v>0.168</v>
      </c>
      <c r="F445" s="13">
        <v>0.182</v>
      </c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4"/>
      <c r="S445" s="4"/>
      <c r="T445" s="4"/>
      <c r="U445" s="4"/>
      <c r="V445" s="4"/>
      <c r="W445" s="4"/>
      <c r="X445" s="4"/>
      <c r="Y445" s="1"/>
      <c r="Z445" s="1"/>
      <c r="AA445" s="1"/>
      <c r="AB445" s="1"/>
      <c r="AC445" s="1"/>
    </row>
    <row x14ac:dyDescent="0.25" r="446" customHeight="1" ht="18.75">
      <c r="A446" s="1" t="s">
        <v>1167</v>
      </c>
      <c r="B446" s="39">
        <v>0.315</v>
      </c>
      <c r="C446" s="3">
        <v>0.318</v>
      </c>
      <c r="D446" s="3">
        <v>0.267</v>
      </c>
      <c r="E446" s="3">
        <v>0.394</v>
      </c>
      <c r="F446" s="13">
        <v>0.418</v>
      </c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4"/>
      <c r="S446" s="4"/>
      <c r="T446" s="4"/>
      <c r="U446" s="4"/>
      <c r="V446" s="4"/>
      <c r="W446" s="4"/>
      <c r="X446" s="4"/>
      <c r="Y446" s="1"/>
      <c r="Z446" s="1"/>
      <c r="AA446" s="1"/>
      <c r="AB446" s="1"/>
      <c r="AC446" s="1"/>
    </row>
    <row x14ac:dyDescent="0.25" r="447" customHeight="1" ht="18.75">
      <c r="A447" s="1" t="s">
        <v>1171</v>
      </c>
      <c r="B447" s="39">
        <v>0.0546</v>
      </c>
      <c r="C447" s="3">
        <v>0.053899999999999997</v>
      </c>
      <c r="D447" s="3">
        <v>0.047700000000000006</v>
      </c>
      <c r="E447" s="3">
        <v>0.0595</v>
      </c>
      <c r="F447" s="3">
        <v>0.044700000000000004</v>
      </c>
      <c r="G447" s="3">
        <v>0.0396</v>
      </c>
      <c r="H447" s="13">
        <v>0.0265</v>
      </c>
      <c r="I447" s="37"/>
      <c r="J447" s="37"/>
      <c r="K447" s="37"/>
      <c r="L447" s="37"/>
      <c r="M447" s="37"/>
      <c r="N447" s="37"/>
      <c r="O447" s="37"/>
      <c r="P447" s="37"/>
      <c r="Q447" s="37"/>
      <c r="R447" s="4"/>
      <c r="S447" s="4"/>
      <c r="T447" s="4"/>
      <c r="U447" s="4"/>
      <c r="V447" s="4"/>
      <c r="W447" s="4"/>
      <c r="X447" s="4"/>
      <c r="Y447" s="1"/>
      <c r="Z447" s="1"/>
      <c r="AA447" s="1"/>
      <c r="AB447" s="1"/>
      <c r="AC447" s="1"/>
    </row>
    <row x14ac:dyDescent="0.25" r="448" customHeight="1" ht="18.75">
      <c r="A448" s="1" t="s">
        <v>1179</v>
      </c>
      <c r="B448" s="39">
        <v>0.13319999999999999</v>
      </c>
      <c r="C448" s="3">
        <v>0.1183</v>
      </c>
      <c r="D448" s="3">
        <v>0.279</v>
      </c>
      <c r="E448" s="3">
        <v>0.1715</v>
      </c>
      <c r="F448" s="13">
        <v>0.1512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4"/>
      <c r="S448" s="4"/>
      <c r="T448" s="4"/>
      <c r="U448" s="4"/>
      <c r="V448" s="4"/>
      <c r="W448" s="4"/>
      <c r="X448" s="4"/>
      <c r="Y448" s="1"/>
      <c r="Z448" s="1"/>
      <c r="AA448" s="1"/>
      <c r="AB448" s="1"/>
      <c r="AC448" s="1"/>
    </row>
    <row x14ac:dyDescent="0.25" r="449" customHeight="1" ht="18.75">
      <c r="A449" s="1" t="s">
        <v>1185</v>
      </c>
      <c r="B449" s="39">
        <v>0.047</v>
      </c>
      <c r="C449" s="3">
        <v>1.57</v>
      </c>
      <c r="D449" s="3">
        <v>1.52</v>
      </c>
      <c r="E449" s="3">
        <v>0.609</v>
      </c>
      <c r="F449" s="3">
        <v>0.636</v>
      </c>
      <c r="G449" s="3">
        <v>0.684</v>
      </c>
      <c r="H449" s="3">
        <v>0.65</v>
      </c>
      <c r="I449" s="13">
        <v>0.587</v>
      </c>
      <c r="J449" s="37"/>
      <c r="K449" s="37"/>
      <c r="L449" s="37"/>
      <c r="M449" s="37"/>
      <c r="N449" s="37"/>
      <c r="O449" s="37"/>
      <c r="P449" s="37"/>
      <c r="Q449" s="37"/>
      <c r="R449" s="4"/>
      <c r="S449" s="4"/>
      <c r="T449" s="4"/>
      <c r="U449" s="4"/>
      <c r="V449" s="4"/>
      <c r="W449" s="4"/>
      <c r="X449" s="4"/>
      <c r="Y449" s="1"/>
      <c r="Z449" s="1"/>
      <c r="AA449" s="1"/>
      <c r="AB449" s="1"/>
      <c r="AC449" s="1"/>
    </row>
    <row x14ac:dyDescent="0.25" r="450" customHeight="1" ht="18.75">
      <c r="A450" s="1" t="s">
        <v>1194</v>
      </c>
      <c r="B450" s="39">
        <v>0.0054</v>
      </c>
      <c r="C450" s="3">
        <v>0.0092</v>
      </c>
      <c r="D450" s="3">
        <v>0.0221</v>
      </c>
      <c r="E450" s="3">
        <v>0.0183</v>
      </c>
      <c r="F450" s="13">
        <v>0.024300000000000002</v>
      </c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4"/>
      <c r="S450" s="4"/>
      <c r="T450" s="4"/>
      <c r="U450" s="4"/>
      <c r="V450" s="4"/>
      <c r="W450" s="4"/>
      <c r="X450" s="4"/>
      <c r="Y450" s="1"/>
      <c r="Z450" s="1"/>
      <c r="AA450" s="1"/>
      <c r="AB450" s="1"/>
      <c r="AC450" s="1"/>
    </row>
    <row x14ac:dyDescent="0.25" r="451" customHeight="1" ht="18.75">
      <c r="A451" s="1" t="s">
        <v>1197</v>
      </c>
      <c r="B451" s="39">
        <v>1.793</v>
      </c>
      <c r="C451" s="3">
        <v>0.7837999999999999</v>
      </c>
      <c r="D451" s="3">
        <v>0.6373</v>
      </c>
      <c r="E451" s="3">
        <v>0.5736</v>
      </c>
      <c r="F451" s="3">
        <v>0.5296000000000001</v>
      </c>
      <c r="G451" s="3">
        <v>0.6695</v>
      </c>
      <c r="H451" s="3">
        <v>0.5649</v>
      </c>
      <c r="I451" s="3">
        <v>0.3866</v>
      </c>
      <c r="J451" s="3">
        <v>0.198</v>
      </c>
      <c r="K451" s="3">
        <v>0.1517</v>
      </c>
      <c r="L451" s="3">
        <v>0.1799</v>
      </c>
      <c r="M451" s="13">
        <v>0.12459999999999999</v>
      </c>
      <c r="N451" s="37"/>
      <c r="O451" s="37"/>
      <c r="P451" s="37"/>
      <c r="Q451" s="37"/>
      <c r="R451" s="4"/>
      <c r="S451" s="4"/>
      <c r="T451" s="4"/>
      <c r="U451" s="4"/>
      <c r="V451" s="4"/>
      <c r="W451" s="4"/>
      <c r="X451" s="4"/>
      <c r="Y451" s="1"/>
      <c r="Z451" s="1"/>
      <c r="AA451" s="1"/>
      <c r="AB451" s="1"/>
      <c r="AC451" s="1"/>
    </row>
    <row x14ac:dyDescent="0.25" r="452" customHeight="1" ht="18.75">
      <c r="A452" s="1" t="s">
        <v>1210</v>
      </c>
      <c r="B452" s="39">
        <v>0.01</v>
      </c>
      <c r="C452" s="3">
        <v>0.011</v>
      </c>
      <c r="D452" s="37"/>
      <c r="E452" s="3">
        <v>0.01</v>
      </c>
      <c r="F452" s="3">
        <v>0.01</v>
      </c>
      <c r="G452" s="3">
        <v>0.011</v>
      </c>
      <c r="H452" s="3">
        <v>0.015</v>
      </c>
      <c r="I452" s="13">
        <v>0.015</v>
      </c>
      <c r="J452" s="37"/>
      <c r="K452" s="37"/>
      <c r="L452" s="37"/>
      <c r="M452" s="37"/>
      <c r="N452" s="37"/>
      <c r="O452" s="37"/>
      <c r="P452" s="37"/>
      <c r="Q452" s="37"/>
      <c r="R452" s="4"/>
      <c r="S452" s="4"/>
      <c r="T452" s="4"/>
      <c r="U452" s="4"/>
      <c r="V452" s="4"/>
      <c r="W452" s="4"/>
      <c r="X452" s="4"/>
      <c r="Y452" s="1"/>
      <c r="Z452" s="1"/>
      <c r="AA452" s="1"/>
      <c r="AB452" s="1"/>
      <c r="AC452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355"/>
  <sheetViews>
    <sheetView workbookViewId="0"/>
  </sheetViews>
  <sheetFormatPr defaultRowHeight="15" x14ac:dyDescent="0.25"/>
  <cols>
    <col min="1" max="1" style="8" width="13.576428571428572" customWidth="1" bestFit="1"/>
    <col min="2" max="2" style="8" width="13.576428571428572" customWidth="1" bestFit="1"/>
    <col min="3" max="3" style="8" width="13.576428571428572" customWidth="1" bestFit="1"/>
    <col min="4" max="4" style="8" width="13.576428571428572" customWidth="1" bestFit="1"/>
    <col min="5" max="5" style="8" width="13.576428571428572" customWidth="1" bestFit="1"/>
    <col min="6" max="6" style="8" width="13.576428571428572" customWidth="1" bestFit="1"/>
    <col min="7" max="7" style="8" width="13.576428571428572" customWidth="1" bestFit="1"/>
    <col min="8" max="8" style="8" width="13.576428571428572" customWidth="1" bestFit="1"/>
    <col min="9" max="9" style="8" width="13.576428571428572" customWidth="1" bestFit="1"/>
    <col min="10" max="10" style="8" width="13.576428571428572" customWidth="1" bestFit="1"/>
    <col min="11" max="11" style="8" width="13.576428571428572" customWidth="1" bestFit="1"/>
    <col min="12" max="12" style="8" width="13.576428571428572" customWidth="1" bestFit="1"/>
    <col min="13" max="13" style="8" width="13.576428571428572" customWidth="1" bestFit="1"/>
    <col min="14" max="14" style="8" width="13.576428571428572" customWidth="1" bestFit="1"/>
    <col min="15" max="15" style="8" width="13.576428571428572" customWidth="1" bestFit="1"/>
    <col min="16" max="16" style="8" width="13.576428571428572" customWidth="1" bestFit="1"/>
    <col min="17" max="17" style="8" width="13.576428571428572" customWidth="1" bestFit="1"/>
    <col min="18" max="18" style="8" width="13.576428571428572" customWidth="1" bestFit="1"/>
    <col min="19" max="19" style="8" width="13.576428571428572" customWidth="1" bestFit="1"/>
    <col min="20" max="20" style="8" width="13.576428571428572" customWidth="1" bestFit="1"/>
  </cols>
  <sheetData>
    <row x14ac:dyDescent="0.25" r="1" customHeight="1" ht="18.75">
      <c r="A1" s="1" t="s">
        <v>864</v>
      </c>
      <c r="B1" s="1"/>
      <c r="C1" s="1"/>
      <c r="D1" s="1" t="s">
        <v>863</v>
      </c>
      <c r="E1" s="1" t="s">
        <v>864</v>
      </c>
      <c r="F1" s="1" t="s">
        <v>865</v>
      </c>
      <c r="G1" s="1" t="s">
        <v>866</v>
      </c>
      <c r="H1" s="1" t="s">
        <v>867</v>
      </c>
      <c r="I1" s="1" t="s">
        <v>868</v>
      </c>
      <c r="J1" s="1" t="s">
        <v>869</v>
      </c>
      <c r="K1" s="1" t="s">
        <v>870</v>
      </c>
      <c r="L1" s="38" t="s">
        <v>871</v>
      </c>
      <c r="M1" s="1"/>
      <c r="N1" s="1"/>
      <c r="O1" s="1"/>
      <c r="P1" s="1"/>
      <c r="Q1" s="1"/>
      <c r="R1" s="1"/>
      <c r="S1" s="1"/>
      <c r="T1" s="1"/>
    </row>
    <row x14ac:dyDescent="0.25" r="2" customHeight="1" ht="18.75">
      <c r="A2" s="1" t="s">
        <v>865</v>
      </c>
      <c r="B2" s="1"/>
      <c r="C2" s="1"/>
      <c r="D2" s="1" t="s">
        <v>872</v>
      </c>
      <c r="E2" s="1" t="s">
        <v>873</v>
      </c>
      <c r="F2" s="1" t="s">
        <v>874</v>
      </c>
      <c r="G2" s="1" t="s">
        <v>875</v>
      </c>
      <c r="H2" s="1" t="s">
        <v>876</v>
      </c>
      <c r="I2" s="1" t="s">
        <v>877</v>
      </c>
      <c r="J2" s="1" t="s">
        <v>878</v>
      </c>
      <c r="K2" s="38" t="s">
        <v>879</v>
      </c>
      <c r="L2" s="1"/>
      <c r="M2" s="1"/>
      <c r="N2" s="1"/>
      <c r="O2" s="1"/>
      <c r="P2" s="1"/>
      <c r="Q2" s="1"/>
      <c r="R2" s="1"/>
      <c r="S2" s="1"/>
      <c r="T2" s="1"/>
    </row>
    <row x14ac:dyDescent="0.25" r="3" customHeight="1" ht="18.75">
      <c r="A3" s="1" t="s">
        <v>866</v>
      </c>
      <c r="B3" s="1"/>
      <c r="C3" s="1"/>
      <c r="D3" s="1" t="s">
        <v>880</v>
      </c>
      <c r="E3" s="1" t="s">
        <v>881</v>
      </c>
      <c r="F3" s="1" t="s">
        <v>882</v>
      </c>
      <c r="G3" s="1" t="s">
        <v>883</v>
      </c>
      <c r="H3" s="1" t="s">
        <v>884</v>
      </c>
      <c r="I3" s="1" t="s">
        <v>885</v>
      </c>
      <c r="J3" s="38" t="s">
        <v>886</v>
      </c>
      <c r="K3" s="1"/>
      <c r="L3" s="1"/>
      <c r="M3" s="1"/>
      <c r="N3" s="1"/>
      <c r="O3" s="1"/>
      <c r="P3" s="1"/>
      <c r="Q3" s="1"/>
      <c r="R3" s="1"/>
      <c r="S3" s="1"/>
      <c r="T3" s="1"/>
    </row>
    <row x14ac:dyDescent="0.25" r="4" customHeight="1" ht="18.75">
      <c r="A4" s="1" t="s">
        <v>867</v>
      </c>
      <c r="B4" s="1"/>
      <c r="C4" s="1"/>
      <c r="D4" s="1" t="s">
        <v>887</v>
      </c>
      <c r="E4" s="1" t="s">
        <v>888</v>
      </c>
      <c r="F4" s="1" t="s">
        <v>889</v>
      </c>
      <c r="G4" s="1" t="s">
        <v>890</v>
      </c>
      <c r="H4" s="1" t="s">
        <v>891</v>
      </c>
      <c r="I4" s="1" t="s">
        <v>892</v>
      </c>
      <c r="J4" s="38" t="s">
        <v>893</v>
      </c>
      <c r="K4" s="1"/>
      <c r="L4" s="1"/>
      <c r="M4" s="1"/>
      <c r="N4" s="1"/>
      <c r="O4" s="1"/>
      <c r="P4" s="1"/>
      <c r="Q4" s="1"/>
      <c r="R4" s="1"/>
      <c r="S4" s="1"/>
      <c r="T4" s="1"/>
    </row>
    <row x14ac:dyDescent="0.25" r="5" customHeight="1" ht="18.75">
      <c r="A5" s="1" t="s">
        <v>868</v>
      </c>
      <c r="B5" s="1"/>
      <c r="C5" s="1"/>
      <c r="D5" s="1" t="s">
        <v>894</v>
      </c>
      <c r="E5" s="1" t="s">
        <v>895</v>
      </c>
      <c r="F5" s="1" t="s">
        <v>896</v>
      </c>
      <c r="G5" s="1" t="s">
        <v>897</v>
      </c>
      <c r="H5" s="1" t="s">
        <v>898</v>
      </c>
      <c r="I5" s="1" t="s">
        <v>899</v>
      </c>
      <c r="J5" s="38" t="s">
        <v>900</v>
      </c>
      <c r="K5" s="1"/>
      <c r="L5" s="1"/>
      <c r="M5" s="1"/>
      <c r="N5" s="1"/>
      <c r="O5" s="1"/>
      <c r="P5" s="1"/>
      <c r="Q5" s="1"/>
      <c r="R5" s="1"/>
      <c r="S5" s="1"/>
      <c r="T5" s="1"/>
    </row>
    <row x14ac:dyDescent="0.25" r="6" customHeight="1" ht="18.75">
      <c r="A6" s="1" t="s">
        <v>869</v>
      </c>
      <c r="B6" s="1"/>
      <c r="C6" s="1"/>
      <c r="D6" s="1" t="s">
        <v>901</v>
      </c>
      <c r="E6" s="1" t="s">
        <v>902</v>
      </c>
      <c r="F6" s="1" t="s">
        <v>903</v>
      </c>
      <c r="G6" s="1" t="s">
        <v>904</v>
      </c>
      <c r="H6" s="1" t="s">
        <v>905</v>
      </c>
      <c r="I6" s="1" t="s">
        <v>906</v>
      </c>
      <c r="J6" s="38" t="s">
        <v>907</v>
      </c>
      <c r="K6" s="1"/>
      <c r="L6" s="1"/>
      <c r="M6" s="1"/>
      <c r="N6" s="1"/>
      <c r="O6" s="1"/>
      <c r="P6" s="1"/>
      <c r="Q6" s="1"/>
      <c r="R6" s="1"/>
      <c r="S6" s="1"/>
      <c r="T6" s="1"/>
    </row>
    <row x14ac:dyDescent="0.25" r="7" customHeight="1" ht="18.75">
      <c r="A7" s="1" t="s">
        <v>870</v>
      </c>
      <c r="B7" s="1"/>
      <c r="C7" s="1"/>
      <c r="D7" s="1" t="s">
        <v>908</v>
      </c>
      <c r="E7" s="1" t="s">
        <v>909</v>
      </c>
      <c r="F7" s="1" t="s">
        <v>910</v>
      </c>
      <c r="G7" s="1" t="s">
        <v>911</v>
      </c>
      <c r="H7" s="1" t="s">
        <v>912</v>
      </c>
      <c r="I7" s="1" t="s">
        <v>913</v>
      </c>
      <c r="J7" s="1" t="s">
        <v>914</v>
      </c>
      <c r="K7" s="1" t="s">
        <v>915</v>
      </c>
      <c r="L7" s="1" t="s">
        <v>916</v>
      </c>
      <c r="M7" s="1" t="s">
        <v>917</v>
      </c>
      <c r="N7" s="1" t="s">
        <v>918</v>
      </c>
      <c r="O7" s="1" t="s">
        <v>919</v>
      </c>
      <c r="P7" s="1" t="s">
        <v>920</v>
      </c>
      <c r="Q7" s="1" t="s">
        <v>889</v>
      </c>
      <c r="R7" s="1" t="s">
        <v>891</v>
      </c>
      <c r="S7" s="1" t="s">
        <v>892</v>
      </c>
      <c r="T7" s="38" t="s">
        <v>893</v>
      </c>
    </row>
    <row x14ac:dyDescent="0.25" r="8" customHeight="1" ht="18.75">
      <c r="A8" s="38" t="s">
        <v>871</v>
      </c>
      <c r="B8" s="1"/>
      <c r="C8" s="1"/>
      <c r="D8" s="1" t="s">
        <v>921</v>
      </c>
      <c r="E8" s="1" t="s">
        <v>922</v>
      </c>
      <c r="F8" s="1" t="s">
        <v>923</v>
      </c>
      <c r="G8" s="1" t="s">
        <v>504</v>
      </c>
      <c r="H8" s="1" t="s">
        <v>924</v>
      </c>
      <c r="I8" s="1" t="s">
        <v>506</v>
      </c>
      <c r="J8" s="1" t="s">
        <v>507</v>
      </c>
      <c r="K8" s="1" t="s">
        <v>925</v>
      </c>
      <c r="L8" s="1" t="s">
        <v>926</v>
      </c>
      <c r="M8" s="38" t="s">
        <v>927</v>
      </c>
      <c r="N8" s="1"/>
      <c r="O8" s="1"/>
      <c r="P8" s="1"/>
      <c r="Q8" s="1"/>
      <c r="R8" s="1"/>
      <c r="S8" s="1"/>
      <c r="T8" s="1"/>
    </row>
    <row x14ac:dyDescent="0.25" r="9" customHeight="1" ht="18.75">
      <c r="A9" s="1" t="s">
        <v>873</v>
      </c>
      <c r="B9" s="1"/>
      <c r="C9" s="1"/>
      <c r="D9" s="1" t="s">
        <v>928</v>
      </c>
      <c r="E9" s="1" t="s">
        <v>929</v>
      </c>
      <c r="F9" s="1" t="s">
        <v>929</v>
      </c>
      <c r="G9" s="1" t="s">
        <v>930</v>
      </c>
      <c r="H9" s="1" t="s">
        <v>931</v>
      </c>
      <c r="I9" s="1" t="s">
        <v>932</v>
      </c>
      <c r="J9" s="1" t="s">
        <v>933</v>
      </c>
      <c r="K9" s="1" t="s">
        <v>934</v>
      </c>
      <c r="L9" s="38" t="s">
        <v>935</v>
      </c>
      <c r="M9" s="1"/>
      <c r="N9" s="1"/>
      <c r="O9" s="1"/>
      <c r="P9" s="1"/>
      <c r="Q9" s="1"/>
      <c r="R9" s="1"/>
      <c r="S9" s="1"/>
      <c r="T9" s="1"/>
    </row>
    <row x14ac:dyDescent="0.25" r="10" customHeight="1" ht="18.75">
      <c r="A10" s="1" t="s">
        <v>874</v>
      </c>
      <c r="B10" s="1"/>
      <c r="C10" s="1"/>
      <c r="D10" s="1" t="s">
        <v>936</v>
      </c>
      <c r="E10" s="1" t="s">
        <v>937</v>
      </c>
      <c r="F10" s="1" t="s">
        <v>938</v>
      </c>
      <c r="G10" s="1" t="s">
        <v>939</v>
      </c>
      <c r="H10" s="1" t="s">
        <v>940</v>
      </c>
      <c r="I10" s="1" t="s">
        <v>941</v>
      </c>
      <c r="J10" s="1" t="s">
        <v>942</v>
      </c>
      <c r="K10" s="1" t="s">
        <v>943</v>
      </c>
      <c r="L10" s="38" t="s">
        <v>944</v>
      </c>
      <c r="M10" s="1"/>
      <c r="N10" s="1"/>
      <c r="O10" s="1"/>
      <c r="P10" s="1"/>
      <c r="Q10" s="1"/>
      <c r="R10" s="1"/>
      <c r="S10" s="1"/>
      <c r="T10" s="1"/>
    </row>
    <row x14ac:dyDescent="0.25" r="11" customHeight="1" ht="18.75">
      <c r="A11" s="1" t="s">
        <v>875</v>
      </c>
      <c r="B11" s="1"/>
      <c r="C11" s="1"/>
      <c r="D11" s="1" t="s">
        <v>945</v>
      </c>
      <c r="E11" s="1" t="s">
        <v>946</v>
      </c>
      <c r="F11" s="1" t="s">
        <v>947</v>
      </c>
      <c r="G11" s="1" t="s">
        <v>948</v>
      </c>
      <c r="H11" s="1" t="s">
        <v>949</v>
      </c>
      <c r="I11" s="1" t="s">
        <v>950</v>
      </c>
      <c r="J11" s="1" t="s">
        <v>951</v>
      </c>
      <c r="K11" s="38" t="s">
        <v>952</v>
      </c>
      <c r="L11" s="1"/>
      <c r="M11" s="1"/>
      <c r="N11" s="1"/>
      <c r="O11" s="1"/>
      <c r="P11" s="1"/>
      <c r="Q11" s="1"/>
      <c r="R11" s="1"/>
      <c r="S11" s="1"/>
      <c r="T11" s="1"/>
    </row>
    <row x14ac:dyDescent="0.25" r="12" customHeight="1" ht="18.75">
      <c r="A12" s="1" t="s">
        <v>876</v>
      </c>
      <c r="B12" s="1"/>
      <c r="C12" s="1"/>
      <c r="D12" s="1" t="s">
        <v>953</v>
      </c>
      <c r="E12" s="1" t="s">
        <v>954</v>
      </c>
      <c r="F12" s="1" t="s">
        <v>955</v>
      </c>
      <c r="G12" s="1" t="s">
        <v>956</v>
      </c>
      <c r="H12" s="1" t="s">
        <v>93</v>
      </c>
      <c r="I12" s="1" t="s">
        <v>957</v>
      </c>
      <c r="J12" s="1" t="s">
        <v>94</v>
      </c>
      <c r="K12" s="1" t="s">
        <v>95</v>
      </c>
      <c r="L12" s="1" t="s">
        <v>958</v>
      </c>
      <c r="M12" s="1" t="s">
        <v>96</v>
      </c>
      <c r="N12" s="1" t="s">
        <v>959</v>
      </c>
      <c r="O12" s="1" t="s">
        <v>98</v>
      </c>
      <c r="P12" s="1" t="s">
        <v>99</v>
      </c>
      <c r="Q12" s="38" t="s">
        <v>960</v>
      </c>
      <c r="R12" s="1"/>
      <c r="S12" s="1"/>
      <c r="T12" s="1"/>
    </row>
    <row x14ac:dyDescent="0.25" r="13" customHeight="1" ht="18.75">
      <c r="A13" s="1" t="s">
        <v>877</v>
      </c>
      <c r="B13" s="1"/>
      <c r="C13" s="1"/>
      <c r="D13" s="1" t="s">
        <v>961</v>
      </c>
      <c r="E13" s="1" t="s">
        <v>962</v>
      </c>
      <c r="F13" s="1" t="s">
        <v>963</v>
      </c>
      <c r="G13" s="1" t="s">
        <v>964</v>
      </c>
      <c r="H13" s="1" t="s">
        <v>965</v>
      </c>
      <c r="I13" s="1" t="s">
        <v>966</v>
      </c>
      <c r="J13" s="1" t="s">
        <v>967</v>
      </c>
      <c r="K13" s="1" t="s">
        <v>968</v>
      </c>
      <c r="L13" s="1" t="s">
        <v>969</v>
      </c>
      <c r="M13" s="1" t="s">
        <v>970</v>
      </c>
      <c r="N13" s="38" t="s">
        <v>971</v>
      </c>
      <c r="O13" s="1"/>
      <c r="P13" s="1"/>
      <c r="Q13" s="1"/>
      <c r="R13" s="1"/>
      <c r="S13" s="1"/>
      <c r="T13" s="1"/>
    </row>
    <row x14ac:dyDescent="0.25" r="14" customHeight="1" ht="18.75">
      <c r="A14" s="1" t="s">
        <v>878</v>
      </c>
      <c r="B14" s="1"/>
      <c r="C14" s="1"/>
      <c r="D14" s="1" t="s">
        <v>972</v>
      </c>
      <c r="E14" s="1" t="s">
        <v>973</v>
      </c>
      <c r="F14" s="1" t="s">
        <v>974</v>
      </c>
      <c r="G14" s="1" t="s">
        <v>975</v>
      </c>
      <c r="H14" s="1" t="s">
        <v>976</v>
      </c>
      <c r="I14" s="38" t="s">
        <v>977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x14ac:dyDescent="0.25" r="15" customHeight="1" ht="18.75">
      <c r="A15" s="38" t="s">
        <v>879</v>
      </c>
      <c r="B15" s="1"/>
      <c r="C15" s="1"/>
      <c r="D15" s="1" t="s">
        <v>978</v>
      </c>
      <c r="E15" s="1" t="s">
        <v>979</v>
      </c>
      <c r="F15" s="1" t="s">
        <v>980</v>
      </c>
      <c r="G15" s="1" t="s">
        <v>181</v>
      </c>
      <c r="H15" s="1" t="s">
        <v>182</v>
      </c>
      <c r="I15" s="1" t="s">
        <v>981</v>
      </c>
      <c r="J15" s="1" t="s">
        <v>983</v>
      </c>
      <c r="K15" s="1" t="s">
        <v>984</v>
      </c>
      <c r="L15" s="1" t="s">
        <v>985</v>
      </c>
      <c r="M15" s="1" t="s">
        <v>140</v>
      </c>
      <c r="N15" s="1" t="s">
        <v>986</v>
      </c>
      <c r="O15" s="1" t="s">
        <v>987</v>
      </c>
      <c r="P15" s="38" t="s">
        <v>988</v>
      </c>
      <c r="Q15" s="1"/>
      <c r="R15" s="1"/>
      <c r="S15" s="1"/>
      <c r="T15" s="1"/>
    </row>
    <row x14ac:dyDescent="0.25" r="16" customHeight="1" ht="18.75">
      <c r="A16" s="1" t="s">
        <v>881</v>
      </c>
      <c r="B16" s="1"/>
      <c r="C16" s="1"/>
      <c r="D16" s="1" t="s">
        <v>982</v>
      </c>
      <c r="E16" s="1" t="s">
        <v>990</v>
      </c>
      <c r="F16" s="1" t="s">
        <v>991</v>
      </c>
      <c r="G16" s="1" t="s">
        <v>992</v>
      </c>
      <c r="H16" s="1" t="s">
        <v>993</v>
      </c>
      <c r="I16" s="38" t="s">
        <v>994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x14ac:dyDescent="0.25" r="17" customHeight="1" ht="18.75">
      <c r="A17" s="1" t="s">
        <v>882</v>
      </c>
      <c r="B17" s="1"/>
      <c r="C17" s="1"/>
      <c r="D17" s="1" t="s">
        <v>989</v>
      </c>
      <c r="E17" s="1" t="s">
        <v>996</v>
      </c>
      <c r="F17" s="1" t="s">
        <v>997</v>
      </c>
      <c r="G17" s="1" t="s">
        <v>943</v>
      </c>
      <c r="H17" s="1" t="s">
        <v>944</v>
      </c>
      <c r="I17" s="1" t="s">
        <v>998</v>
      </c>
      <c r="J17" s="1" t="s">
        <v>999</v>
      </c>
      <c r="K17" s="1" t="s">
        <v>1000</v>
      </c>
      <c r="L17" s="1" t="s">
        <v>1001</v>
      </c>
      <c r="M17" s="1" t="s">
        <v>1002</v>
      </c>
      <c r="N17" s="1" t="s">
        <v>1003</v>
      </c>
      <c r="O17" s="38" t="s">
        <v>1004</v>
      </c>
      <c r="P17" s="1"/>
      <c r="Q17" s="1"/>
      <c r="R17" s="1"/>
      <c r="S17" s="1"/>
      <c r="T17" s="1"/>
    </row>
    <row x14ac:dyDescent="0.25" r="18" customHeight="1" ht="18.75">
      <c r="A18" s="1" t="s">
        <v>883</v>
      </c>
      <c r="B18" s="1"/>
      <c r="C18" s="1"/>
      <c r="D18" s="1" t="s">
        <v>995</v>
      </c>
      <c r="E18" s="1" t="s">
        <v>1006</v>
      </c>
      <c r="F18" s="1" t="s">
        <v>1007</v>
      </c>
      <c r="G18" s="1" t="s">
        <v>1008</v>
      </c>
      <c r="H18" s="1" t="s">
        <v>1009</v>
      </c>
      <c r="I18" s="1" t="s">
        <v>1010</v>
      </c>
      <c r="J18" s="1" t="s">
        <v>1011</v>
      </c>
      <c r="K18" s="1" t="s">
        <v>1012</v>
      </c>
      <c r="L18" s="1" t="s">
        <v>1013</v>
      </c>
      <c r="M18" s="1" t="s">
        <v>1014</v>
      </c>
      <c r="N18" s="1" t="s">
        <v>1015</v>
      </c>
      <c r="O18" s="38" t="s">
        <v>1016</v>
      </c>
      <c r="P18" s="1"/>
      <c r="Q18" s="1"/>
      <c r="R18" s="1"/>
      <c r="S18" s="1"/>
      <c r="T18" s="1"/>
    </row>
    <row x14ac:dyDescent="0.25" r="19" customHeight="1" ht="18.75">
      <c r="A19" s="1" t="s">
        <v>884</v>
      </c>
      <c r="B19" s="1"/>
      <c r="C19" s="1"/>
      <c r="D19" s="1" t="s">
        <v>1005</v>
      </c>
      <c r="E19" s="1" t="s">
        <v>1018</v>
      </c>
      <c r="F19" s="1" t="s">
        <v>1019</v>
      </c>
      <c r="G19" s="1" t="s">
        <v>1020</v>
      </c>
      <c r="H19" s="1" t="s">
        <v>543</v>
      </c>
      <c r="I19" s="1" t="s">
        <v>544</v>
      </c>
      <c r="J19" s="38" t="s">
        <v>545</v>
      </c>
      <c r="K19" s="1"/>
      <c r="L19" s="1"/>
      <c r="M19" s="1"/>
      <c r="N19" s="1"/>
      <c r="O19" s="1"/>
      <c r="P19" s="1"/>
      <c r="Q19" s="1"/>
      <c r="R19" s="1"/>
      <c r="S19" s="1"/>
      <c r="T19" s="1"/>
    </row>
    <row x14ac:dyDescent="0.25" r="20" customHeight="1" ht="18.75">
      <c r="A20" s="1" t="s">
        <v>885</v>
      </c>
      <c r="B20" s="1"/>
      <c r="C20" s="1"/>
      <c r="D20" s="1" t="s">
        <v>1017</v>
      </c>
      <c r="E20" s="1" t="s">
        <v>1022</v>
      </c>
      <c r="F20" s="1" t="s">
        <v>1023</v>
      </c>
      <c r="G20" s="1" t="s">
        <v>1024</v>
      </c>
      <c r="H20" s="38" t="s">
        <v>405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x14ac:dyDescent="0.25" r="21" customHeight="1" ht="18.75">
      <c r="A21" s="38" t="s">
        <v>886</v>
      </c>
      <c r="B21" s="1"/>
      <c r="C21" s="1"/>
      <c r="D21" s="1" t="s">
        <v>1021</v>
      </c>
      <c r="E21" s="1" t="s">
        <v>1026</v>
      </c>
      <c r="F21" s="1" t="s">
        <v>1218</v>
      </c>
      <c r="G21" s="1" t="s">
        <v>1027</v>
      </c>
      <c r="H21" s="1" t="s">
        <v>1028</v>
      </c>
      <c r="I21" s="1" t="s">
        <v>1029</v>
      </c>
      <c r="J21" s="1" t="s">
        <v>1030</v>
      </c>
      <c r="K21" s="1" t="s">
        <v>1031</v>
      </c>
      <c r="L21" s="1" t="s">
        <v>1032</v>
      </c>
      <c r="M21" s="38" t="s">
        <v>1033</v>
      </c>
      <c r="N21" s="1"/>
      <c r="O21" s="1"/>
      <c r="P21" s="1"/>
      <c r="Q21" s="1"/>
      <c r="R21" s="1"/>
      <c r="S21" s="1"/>
      <c r="T21" s="1"/>
    </row>
    <row x14ac:dyDescent="0.25" r="22" customHeight="1" ht="18.75">
      <c r="A22" s="1" t="s">
        <v>888</v>
      </c>
      <c r="B22" s="1"/>
      <c r="C22" s="1"/>
      <c r="D22" s="1" t="s">
        <v>1025</v>
      </c>
      <c r="E22" s="1" t="s">
        <v>1035</v>
      </c>
      <c r="F22" s="1" t="s">
        <v>1036</v>
      </c>
      <c r="G22" s="1" t="s">
        <v>1037</v>
      </c>
      <c r="H22" s="1" t="s">
        <v>1038</v>
      </c>
      <c r="I22" s="1" t="s">
        <v>1039</v>
      </c>
      <c r="J22" s="1" t="s">
        <v>1040</v>
      </c>
      <c r="K22" s="1" t="s">
        <v>1041</v>
      </c>
      <c r="L22" s="1" t="s">
        <v>1042</v>
      </c>
      <c r="M22" s="1" t="s">
        <v>1043</v>
      </c>
      <c r="N22" s="1" t="s">
        <v>1044</v>
      </c>
      <c r="O22" s="1" t="s">
        <v>1045</v>
      </c>
      <c r="P22" s="1" t="s">
        <v>1046</v>
      </c>
      <c r="Q22" s="38" t="s">
        <v>1047</v>
      </c>
      <c r="R22" s="1"/>
      <c r="S22" s="1"/>
      <c r="T22" s="1"/>
    </row>
    <row x14ac:dyDescent="0.25" r="23" customHeight="1" ht="18.75">
      <c r="A23" s="1" t="s">
        <v>889</v>
      </c>
      <c r="B23" s="1"/>
      <c r="C23" s="1"/>
      <c r="D23" s="1" t="s">
        <v>1034</v>
      </c>
      <c r="E23" s="1" t="s">
        <v>1049</v>
      </c>
      <c r="F23" s="1" t="s">
        <v>1050</v>
      </c>
      <c r="G23" s="1" t="s">
        <v>1051</v>
      </c>
      <c r="H23" s="1" t="s">
        <v>1007</v>
      </c>
      <c r="I23" s="38" t="s">
        <v>1052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x14ac:dyDescent="0.25" r="24" customHeight="1" ht="18.75">
      <c r="A24" s="1" t="s">
        <v>890</v>
      </c>
      <c r="B24" s="1"/>
      <c r="C24" s="1"/>
      <c r="D24" s="1" t="s">
        <v>1048</v>
      </c>
      <c r="E24" s="1" t="s">
        <v>1054</v>
      </c>
      <c r="F24" s="1" t="s">
        <v>1055</v>
      </c>
      <c r="G24" s="1" t="s">
        <v>1056</v>
      </c>
      <c r="H24" s="1" t="s">
        <v>1057</v>
      </c>
      <c r="I24" s="1" t="s">
        <v>1058</v>
      </c>
      <c r="J24" s="1" t="s">
        <v>1059</v>
      </c>
      <c r="K24" s="1" t="s">
        <v>1060</v>
      </c>
      <c r="L24" s="1" t="s">
        <v>1061</v>
      </c>
      <c r="M24" s="1" t="s">
        <v>1062</v>
      </c>
      <c r="N24" s="1" t="s">
        <v>1063</v>
      </c>
      <c r="O24" s="1" t="s">
        <v>1064</v>
      </c>
      <c r="P24" s="38" t="s">
        <v>1065</v>
      </c>
      <c r="Q24" s="1"/>
      <c r="R24" s="1"/>
      <c r="S24" s="1"/>
      <c r="T24" s="1"/>
    </row>
    <row x14ac:dyDescent="0.25" r="25" customHeight="1" ht="18.75">
      <c r="A25" s="1" t="s">
        <v>891</v>
      </c>
      <c r="B25" s="1"/>
      <c r="C25" s="1"/>
      <c r="D25" s="1" t="s">
        <v>1053</v>
      </c>
      <c r="E25" s="1" t="s">
        <v>1067</v>
      </c>
      <c r="F25" s="1" t="s">
        <v>1068</v>
      </c>
      <c r="G25" s="1" t="s">
        <v>1069</v>
      </c>
      <c r="H25" s="1" t="s">
        <v>1070</v>
      </c>
      <c r="I25" s="1" t="s">
        <v>1071</v>
      </c>
      <c r="J25" s="1" t="s">
        <v>1072</v>
      </c>
      <c r="K25" s="38" t="s">
        <v>1073</v>
      </c>
      <c r="L25" s="1"/>
      <c r="M25" s="1"/>
      <c r="N25" s="1"/>
      <c r="O25" s="1"/>
      <c r="P25" s="1"/>
      <c r="Q25" s="1"/>
      <c r="R25" s="1"/>
      <c r="S25" s="1"/>
      <c r="T25" s="1"/>
    </row>
    <row x14ac:dyDescent="0.25" r="26" customHeight="1" ht="18.75">
      <c r="A26" s="1" t="s">
        <v>892</v>
      </c>
      <c r="B26" s="1"/>
      <c r="C26" s="1"/>
      <c r="D26" s="1" t="s">
        <v>1066</v>
      </c>
      <c r="E26" s="1" t="s">
        <v>1075</v>
      </c>
      <c r="F26" s="1" t="s">
        <v>1076</v>
      </c>
      <c r="G26" s="1" t="s">
        <v>1077</v>
      </c>
      <c r="H26" s="1" t="s">
        <v>1078</v>
      </c>
      <c r="I26" s="1" t="s">
        <v>1079</v>
      </c>
      <c r="J26" s="1" t="s">
        <v>1080</v>
      </c>
      <c r="K26" s="38" t="s">
        <v>1081</v>
      </c>
      <c r="L26" s="1"/>
      <c r="M26" s="1"/>
      <c r="N26" s="1"/>
      <c r="O26" s="1"/>
      <c r="P26" s="1"/>
      <c r="Q26" s="1"/>
      <c r="R26" s="1"/>
      <c r="S26" s="1"/>
      <c r="T26" s="1"/>
    </row>
    <row x14ac:dyDescent="0.25" r="27" customHeight="1" ht="18.75">
      <c r="A27" s="38" t="s">
        <v>893</v>
      </c>
      <c r="B27" s="1"/>
      <c r="C27" s="1"/>
      <c r="D27" s="1" t="s">
        <v>1074</v>
      </c>
      <c r="E27" s="1" t="s">
        <v>1083</v>
      </c>
      <c r="F27" s="1" t="s">
        <v>1084</v>
      </c>
      <c r="G27" s="1" t="s">
        <v>1085</v>
      </c>
      <c r="H27" s="1" t="s">
        <v>1086</v>
      </c>
      <c r="I27" s="1" t="s">
        <v>1087</v>
      </c>
      <c r="J27" s="1" t="s">
        <v>1088</v>
      </c>
      <c r="K27" s="1" t="s">
        <v>1089</v>
      </c>
      <c r="L27" s="1" t="s">
        <v>1090</v>
      </c>
      <c r="M27" s="1" t="s">
        <v>1091</v>
      </c>
      <c r="N27" s="1" t="s">
        <v>1092</v>
      </c>
      <c r="O27" s="1" t="s">
        <v>1093</v>
      </c>
      <c r="P27" s="38" t="s">
        <v>1094</v>
      </c>
      <c r="Q27" s="1"/>
      <c r="R27" s="1"/>
      <c r="S27" s="1"/>
      <c r="T27" s="1"/>
    </row>
    <row x14ac:dyDescent="0.25" r="28" customHeight="1" ht="18.75">
      <c r="A28" s="1" t="s">
        <v>895</v>
      </c>
      <c r="B28" s="1"/>
      <c r="C28" s="1"/>
      <c r="D28" s="1" t="s">
        <v>1082</v>
      </c>
      <c r="E28" s="1" t="s">
        <v>1096</v>
      </c>
      <c r="F28" s="1" t="s">
        <v>1097</v>
      </c>
      <c r="G28" s="1" t="s">
        <v>1097</v>
      </c>
      <c r="H28" s="1" t="s">
        <v>1098</v>
      </c>
      <c r="I28" s="1" t="s">
        <v>1099</v>
      </c>
      <c r="J28" s="1" t="s">
        <v>1100</v>
      </c>
      <c r="K28" s="1" t="s">
        <v>1101</v>
      </c>
      <c r="L28" s="1" t="s">
        <v>1102</v>
      </c>
      <c r="M28" s="38" t="s">
        <v>1103</v>
      </c>
      <c r="N28" s="1"/>
      <c r="O28" s="1"/>
      <c r="P28" s="1"/>
      <c r="Q28" s="1"/>
      <c r="R28" s="1"/>
      <c r="S28" s="1"/>
      <c r="T28" s="1"/>
    </row>
    <row x14ac:dyDescent="0.25" r="29" customHeight="1" ht="18.75">
      <c r="A29" s="1" t="s">
        <v>896</v>
      </c>
      <c r="B29" s="1"/>
      <c r="C29" s="1"/>
      <c r="D29" s="1" t="s">
        <v>1095</v>
      </c>
      <c r="E29" s="1" t="s">
        <v>1105</v>
      </c>
      <c r="F29" s="1" t="s">
        <v>1106</v>
      </c>
      <c r="G29" s="1" t="s">
        <v>1107</v>
      </c>
      <c r="H29" s="1" t="s">
        <v>1108</v>
      </c>
      <c r="I29" s="1" t="s">
        <v>1109</v>
      </c>
      <c r="J29" s="1" t="s">
        <v>1110</v>
      </c>
      <c r="K29" s="1" t="s">
        <v>1111</v>
      </c>
      <c r="L29" s="38" t="s">
        <v>1112</v>
      </c>
      <c r="M29" s="1"/>
      <c r="N29" s="1"/>
      <c r="O29" s="1"/>
      <c r="P29" s="1"/>
      <c r="Q29" s="1"/>
      <c r="R29" s="1"/>
      <c r="S29" s="1"/>
      <c r="T29" s="1"/>
    </row>
    <row x14ac:dyDescent="0.25" r="30" customHeight="1" ht="18.75">
      <c r="A30" s="1" t="s">
        <v>897</v>
      </c>
      <c r="B30" s="1"/>
      <c r="C30" s="1"/>
      <c r="D30" s="1" t="s">
        <v>1104</v>
      </c>
      <c r="E30" s="1" t="s">
        <v>1114</v>
      </c>
      <c r="F30" s="1" t="s">
        <v>1115</v>
      </c>
      <c r="G30" s="1" t="s">
        <v>1116</v>
      </c>
      <c r="H30" s="1" t="s">
        <v>1117</v>
      </c>
      <c r="I30" s="1" t="s">
        <v>1118</v>
      </c>
      <c r="J30" s="1" t="s">
        <v>1119</v>
      </c>
      <c r="K30" s="38" t="s">
        <v>1120</v>
      </c>
      <c r="L30" s="1"/>
      <c r="M30" s="1"/>
      <c r="N30" s="1"/>
      <c r="O30" s="1"/>
      <c r="P30" s="1"/>
      <c r="Q30" s="1"/>
      <c r="R30" s="1"/>
      <c r="S30" s="1"/>
      <c r="T30" s="1"/>
    </row>
    <row x14ac:dyDescent="0.25" r="31" customHeight="1" ht="18.75">
      <c r="A31" s="1" t="s">
        <v>898</v>
      </c>
      <c r="B31" s="1"/>
      <c r="C31" s="1"/>
      <c r="D31" s="1" t="s">
        <v>1113</v>
      </c>
      <c r="E31" s="1" t="s">
        <v>1122</v>
      </c>
      <c r="F31" s="1" t="s">
        <v>1123</v>
      </c>
      <c r="G31" s="1" t="s">
        <v>1124</v>
      </c>
      <c r="H31" s="1" t="s">
        <v>1125</v>
      </c>
      <c r="I31" s="1" t="s">
        <v>1126</v>
      </c>
      <c r="J31" s="1" t="s">
        <v>1127</v>
      </c>
      <c r="K31" s="1" t="s">
        <v>1128</v>
      </c>
      <c r="L31" s="1" t="s">
        <v>1129</v>
      </c>
      <c r="M31" s="1" t="s">
        <v>1130</v>
      </c>
      <c r="N31" s="38" t="s">
        <v>1131</v>
      </c>
      <c r="O31" s="1"/>
      <c r="P31" s="1"/>
      <c r="Q31" s="1"/>
      <c r="R31" s="1"/>
      <c r="S31" s="1"/>
      <c r="T31" s="1"/>
    </row>
    <row x14ac:dyDescent="0.25" r="32" customHeight="1" ht="18.75">
      <c r="A32" s="1" t="s">
        <v>899</v>
      </c>
      <c r="B32" s="1"/>
      <c r="C32" s="1"/>
      <c r="D32" s="1" t="s">
        <v>1121</v>
      </c>
      <c r="E32" s="1" t="s">
        <v>1133</v>
      </c>
      <c r="F32" s="1" t="s">
        <v>1134</v>
      </c>
      <c r="G32" s="1" t="s">
        <v>322</v>
      </c>
      <c r="H32" s="1" t="s">
        <v>323</v>
      </c>
      <c r="I32" s="38" t="s">
        <v>1135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x14ac:dyDescent="0.25" r="33" customHeight="1" ht="18.75">
      <c r="A33" s="38" t="s">
        <v>900</v>
      </c>
      <c r="B33" s="1"/>
      <c r="C33" s="1"/>
      <c r="D33" s="1" t="s">
        <v>1132</v>
      </c>
      <c r="E33" s="1" t="s">
        <v>1137</v>
      </c>
      <c r="F33" s="1" t="s">
        <v>1125</v>
      </c>
      <c r="G33" s="1" t="s">
        <v>1138</v>
      </c>
      <c r="H33" s="1" t="s">
        <v>1126</v>
      </c>
      <c r="I33" s="1" t="s">
        <v>1127</v>
      </c>
      <c r="J33" s="1" t="s">
        <v>1129</v>
      </c>
      <c r="K33" s="38" t="s">
        <v>1130</v>
      </c>
      <c r="L33" s="1"/>
      <c r="M33" s="1"/>
      <c r="N33" s="1"/>
      <c r="O33" s="1"/>
      <c r="P33" s="1"/>
      <c r="Q33" s="1"/>
      <c r="R33" s="1"/>
      <c r="S33" s="1"/>
      <c r="T33" s="1"/>
    </row>
    <row x14ac:dyDescent="0.25" r="34" customHeight="1" ht="18.75">
      <c r="A34" s="1" t="s">
        <v>902</v>
      </c>
      <c r="B34" s="1"/>
      <c r="C34" s="1"/>
      <c r="D34" s="1" t="s">
        <v>1136</v>
      </c>
      <c r="E34" s="1" t="s">
        <v>1140</v>
      </c>
      <c r="F34" s="1" t="s">
        <v>1219</v>
      </c>
      <c r="G34" s="1" t="s">
        <v>1141</v>
      </c>
      <c r="H34" s="1" t="s">
        <v>1142</v>
      </c>
      <c r="I34" s="1" t="s">
        <v>340</v>
      </c>
      <c r="J34" s="1" t="s">
        <v>341</v>
      </c>
      <c r="K34" s="1" t="s">
        <v>342</v>
      </c>
      <c r="L34" s="38" t="s">
        <v>343</v>
      </c>
      <c r="M34" s="1"/>
      <c r="N34" s="1"/>
      <c r="O34" s="1"/>
      <c r="P34" s="1"/>
      <c r="Q34" s="1"/>
      <c r="R34" s="1"/>
      <c r="S34" s="1"/>
      <c r="T34" s="1"/>
    </row>
    <row x14ac:dyDescent="0.25" r="35" customHeight="1" ht="18.75">
      <c r="A35" s="1" t="s">
        <v>903</v>
      </c>
      <c r="B35" s="1"/>
      <c r="C35" s="1"/>
      <c r="D35" s="1" t="s">
        <v>1139</v>
      </c>
      <c r="E35" s="1" t="s">
        <v>1144</v>
      </c>
      <c r="F35" s="1" t="s">
        <v>1145</v>
      </c>
      <c r="G35" s="1" t="s">
        <v>1146</v>
      </c>
      <c r="H35" s="1" t="s">
        <v>1147</v>
      </c>
      <c r="I35" s="1" t="s">
        <v>1148</v>
      </c>
      <c r="J35" s="1" t="s">
        <v>1149</v>
      </c>
      <c r="K35" s="1" t="s">
        <v>1150</v>
      </c>
      <c r="L35" s="38" t="s">
        <v>1151</v>
      </c>
      <c r="M35" s="1"/>
      <c r="N35" s="1"/>
      <c r="O35" s="1"/>
      <c r="P35" s="1"/>
      <c r="Q35" s="1"/>
      <c r="R35" s="1"/>
      <c r="S35" s="1"/>
      <c r="T35" s="1"/>
    </row>
    <row x14ac:dyDescent="0.25" r="36" customHeight="1" ht="18.75">
      <c r="A36" s="1" t="s">
        <v>904</v>
      </c>
      <c r="B36" s="1"/>
      <c r="C36" s="1"/>
      <c r="D36" s="1" t="s">
        <v>1143</v>
      </c>
      <c r="E36" s="1" t="s">
        <v>1153</v>
      </c>
      <c r="F36" s="1" t="s">
        <v>1154</v>
      </c>
      <c r="G36" s="1" t="s">
        <v>1155</v>
      </c>
      <c r="H36" s="1" t="s">
        <v>1156</v>
      </c>
      <c r="I36" s="1" t="s">
        <v>1157</v>
      </c>
      <c r="J36" s="1" t="s">
        <v>1158</v>
      </c>
      <c r="K36" s="1" t="s">
        <v>1159</v>
      </c>
      <c r="L36" s="1" t="s">
        <v>1160</v>
      </c>
      <c r="M36" s="38" t="s">
        <v>1161</v>
      </c>
      <c r="N36" s="1"/>
      <c r="O36" s="1"/>
      <c r="P36" s="1"/>
      <c r="Q36" s="1"/>
      <c r="R36" s="1"/>
      <c r="S36" s="1"/>
      <c r="T36" s="1"/>
    </row>
    <row x14ac:dyDescent="0.25" r="37" customHeight="1" ht="18.75">
      <c r="A37" s="1" t="s">
        <v>905</v>
      </c>
      <c r="B37" s="1"/>
      <c r="C37" s="1"/>
      <c r="D37" s="1" t="s">
        <v>1152</v>
      </c>
      <c r="E37" s="1" t="s">
        <v>1163</v>
      </c>
      <c r="F37" s="1" t="s">
        <v>1164</v>
      </c>
      <c r="G37" s="1" t="s">
        <v>1165</v>
      </c>
      <c r="H37" s="1" t="s">
        <v>1166</v>
      </c>
      <c r="I37" s="38" t="s">
        <v>202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x14ac:dyDescent="0.25" r="38" customHeight="1" ht="18.75">
      <c r="A38" s="1" t="s">
        <v>906</v>
      </c>
      <c r="B38" s="1"/>
      <c r="C38" s="1"/>
      <c r="D38" s="1" t="s">
        <v>1162</v>
      </c>
      <c r="E38" s="1" t="s">
        <v>1168</v>
      </c>
      <c r="F38" s="1" t="s">
        <v>1169</v>
      </c>
      <c r="G38" s="1" t="s">
        <v>1170</v>
      </c>
      <c r="H38" s="1" t="s">
        <v>993</v>
      </c>
      <c r="I38" s="38" t="s">
        <v>994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x14ac:dyDescent="0.25" r="39" customHeight="1" ht="18.75">
      <c r="A39" s="38" t="s">
        <v>907</v>
      </c>
      <c r="B39" s="1"/>
      <c r="C39" s="1"/>
      <c r="D39" s="1" t="s">
        <v>1167</v>
      </c>
      <c r="E39" s="1" t="s">
        <v>1172</v>
      </c>
      <c r="F39" s="1" t="s">
        <v>1173</v>
      </c>
      <c r="G39" s="1" t="s">
        <v>1174</v>
      </c>
      <c r="H39" s="1" t="s">
        <v>1175</v>
      </c>
      <c r="I39" s="1" t="s">
        <v>1176</v>
      </c>
      <c r="J39" s="1" t="s">
        <v>1177</v>
      </c>
      <c r="K39" s="38" t="s">
        <v>1178</v>
      </c>
      <c r="L39" s="1"/>
      <c r="M39" s="1"/>
      <c r="N39" s="1"/>
      <c r="O39" s="1"/>
      <c r="P39" s="1"/>
      <c r="Q39" s="1"/>
      <c r="R39" s="1"/>
      <c r="S39" s="1"/>
      <c r="T39" s="1"/>
    </row>
    <row x14ac:dyDescent="0.25" r="40" customHeight="1" ht="18.75">
      <c r="A40" s="1" t="s">
        <v>909</v>
      </c>
      <c r="B40" s="1"/>
      <c r="C40" s="1"/>
      <c r="D40" s="1" t="s">
        <v>1171</v>
      </c>
      <c r="E40" s="1" t="s">
        <v>1180</v>
      </c>
      <c r="F40" s="1" t="s">
        <v>1181</v>
      </c>
      <c r="G40" s="1" t="s">
        <v>1182</v>
      </c>
      <c r="H40" s="1" t="s">
        <v>1183</v>
      </c>
      <c r="I40" s="38" t="s">
        <v>1184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x14ac:dyDescent="0.25" r="41" customHeight="1" ht="18.75">
      <c r="A41" s="1" t="s">
        <v>910</v>
      </c>
      <c r="B41" s="1"/>
      <c r="C41" s="1"/>
      <c r="D41" s="1" t="s">
        <v>1179</v>
      </c>
      <c r="E41" s="1" t="s">
        <v>1186</v>
      </c>
      <c r="F41" s="1" t="s">
        <v>1187</v>
      </c>
      <c r="G41" s="1" t="s">
        <v>1188</v>
      </c>
      <c r="H41" s="1" t="s">
        <v>1189</v>
      </c>
      <c r="I41" s="1" t="s">
        <v>1190</v>
      </c>
      <c r="J41" s="1" t="s">
        <v>1191</v>
      </c>
      <c r="K41" s="1" t="s">
        <v>1192</v>
      </c>
      <c r="L41" s="38" t="s">
        <v>1193</v>
      </c>
      <c r="M41" s="1"/>
      <c r="N41" s="1"/>
      <c r="O41" s="1"/>
      <c r="P41" s="1"/>
      <c r="Q41" s="1"/>
      <c r="R41" s="1"/>
      <c r="S41" s="1"/>
      <c r="T41" s="1"/>
    </row>
    <row x14ac:dyDescent="0.25" r="42" customHeight="1" ht="18.75">
      <c r="A42" s="1" t="s">
        <v>911</v>
      </c>
      <c r="B42" s="1"/>
      <c r="C42" s="1"/>
      <c r="D42" s="1" t="s">
        <v>1185</v>
      </c>
      <c r="E42" s="1" t="s">
        <v>1195</v>
      </c>
      <c r="F42" s="1" t="s">
        <v>1196</v>
      </c>
      <c r="G42" s="1" t="s">
        <v>874</v>
      </c>
      <c r="H42" s="1" t="s">
        <v>875</v>
      </c>
      <c r="I42" s="38" t="s">
        <v>876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x14ac:dyDescent="0.25" r="43" customHeight="1" ht="18.75">
      <c r="A43" s="1" t="s">
        <v>912</v>
      </c>
      <c r="B43" s="1"/>
      <c r="C43" s="1"/>
      <c r="D43" s="1" t="s">
        <v>1194</v>
      </c>
      <c r="E43" s="1" t="s">
        <v>1198</v>
      </c>
      <c r="F43" s="1" t="s">
        <v>1199</v>
      </c>
      <c r="G43" s="1" t="s">
        <v>1200</v>
      </c>
      <c r="H43" s="1" t="s">
        <v>1201</v>
      </c>
      <c r="I43" s="1" t="s">
        <v>1202</v>
      </c>
      <c r="J43" s="1" t="s">
        <v>1203</v>
      </c>
      <c r="K43" s="1" t="s">
        <v>1204</v>
      </c>
      <c r="L43" s="1" t="s">
        <v>1205</v>
      </c>
      <c r="M43" s="1" t="s">
        <v>1206</v>
      </c>
      <c r="N43" s="1" t="s">
        <v>1207</v>
      </c>
      <c r="O43" s="1" t="s">
        <v>1208</v>
      </c>
      <c r="P43" s="38" t="s">
        <v>1209</v>
      </c>
      <c r="Q43" s="1"/>
      <c r="R43" s="1"/>
      <c r="S43" s="1"/>
      <c r="T43" s="1"/>
    </row>
    <row x14ac:dyDescent="0.25" r="44" customHeight="1" ht="18.75">
      <c r="A44" s="1" t="s">
        <v>913</v>
      </c>
      <c r="B44" s="1"/>
      <c r="C44" s="1"/>
      <c r="D44" s="1" t="s">
        <v>1197</v>
      </c>
      <c r="E44" s="1" t="s">
        <v>1211</v>
      </c>
      <c r="F44" s="1" t="s">
        <v>1212</v>
      </c>
      <c r="G44" s="1" t="s">
        <v>1220</v>
      </c>
      <c r="H44" s="1" t="s">
        <v>1213</v>
      </c>
      <c r="I44" s="1" t="s">
        <v>1214</v>
      </c>
      <c r="J44" s="1" t="s">
        <v>1215</v>
      </c>
      <c r="K44" s="1" t="s">
        <v>1216</v>
      </c>
      <c r="L44" s="38" t="s">
        <v>1217</v>
      </c>
      <c r="M44" s="1"/>
      <c r="N44" s="1"/>
      <c r="O44" s="1"/>
      <c r="P44" s="1"/>
      <c r="Q44" s="1"/>
      <c r="R44" s="1"/>
      <c r="S44" s="1"/>
      <c r="T44" s="1"/>
    </row>
    <row x14ac:dyDescent="0.25" r="45" customHeight="1" ht="18.75">
      <c r="A45" s="1" t="s">
        <v>914</v>
      </c>
      <c r="B45" s="1"/>
      <c r="C45" s="1"/>
      <c r="D45" s="1" t="s">
        <v>1210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x14ac:dyDescent="0.25" r="46" customHeight="1" ht="18.75">
      <c r="A46" s="1" t="s">
        <v>915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x14ac:dyDescent="0.25" r="47" customHeight="1" ht="18.75">
      <c r="A47" s="1" t="s">
        <v>916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x14ac:dyDescent="0.25" r="48" customHeight="1" ht="18.75">
      <c r="A48" s="1" t="s">
        <v>917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x14ac:dyDescent="0.25" r="49" customHeight="1" ht="18.75">
      <c r="A49" s="1" t="s">
        <v>918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x14ac:dyDescent="0.25" r="50" customHeight="1" ht="18.75">
      <c r="A50" s="1" t="s">
        <v>919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x14ac:dyDescent="0.25" r="51" customHeight="1" ht="18.75">
      <c r="A51" s="1" t="s">
        <v>920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x14ac:dyDescent="0.25" r="52" customHeight="1" ht="18.75">
      <c r="A52" s="1" t="s">
        <v>889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x14ac:dyDescent="0.25" r="53" customHeight="1" ht="18.75">
      <c r="A53" s="1" t="s">
        <v>891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x14ac:dyDescent="0.25" r="54" customHeight="1" ht="18.75">
      <c r="A54" s="1" t="s">
        <v>892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x14ac:dyDescent="0.25" r="55" customHeight="1" ht="18.75">
      <c r="A55" s="38" t="s">
        <v>893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x14ac:dyDescent="0.25" r="56" customHeight="1" ht="18.75">
      <c r="A56" s="1" t="s">
        <v>922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x14ac:dyDescent="0.25" r="57" customHeight="1" ht="18.75">
      <c r="A57" s="1" t="s">
        <v>923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x14ac:dyDescent="0.25" r="58" customHeight="1" ht="18.75">
      <c r="A58" s="1" t="s">
        <v>504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x14ac:dyDescent="0.25" r="59" customHeight="1" ht="18.75">
      <c r="A59" s="1" t="s">
        <v>924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x14ac:dyDescent="0.25" r="60" customHeight="1" ht="18.75">
      <c r="A60" s="1" t="s">
        <v>506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x14ac:dyDescent="0.25" r="61" customHeight="1" ht="18.75">
      <c r="A61" s="1" t="s">
        <v>507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x14ac:dyDescent="0.25" r="62" customHeight="1" ht="18.75">
      <c r="A62" s="1" t="s">
        <v>925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x14ac:dyDescent="0.25" r="63" customHeight="1" ht="18.75">
      <c r="A63" s="1" t="s">
        <v>926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x14ac:dyDescent="0.25" r="64" customHeight="1" ht="18.75">
      <c r="A64" s="38" t="s">
        <v>927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x14ac:dyDescent="0.25" r="65" customHeight="1" ht="18.75">
      <c r="A65" s="1" t="s">
        <v>929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x14ac:dyDescent="0.25" r="66" customHeight="1" ht="18.75">
      <c r="A66" s="1" t="s">
        <v>929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x14ac:dyDescent="0.25" r="67" customHeight="1" ht="18.75">
      <c r="A67" s="1" t="s">
        <v>930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x14ac:dyDescent="0.25" r="68" customHeight="1" ht="18.75">
      <c r="A68" s="1" t="s">
        <v>931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x14ac:dyDescent="0.25" r="69" customHeight="1" ht="18.75">
      <c r="A69" s="1" t="s">
        <v>932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x14ac:dyDescent="0.25" r="70" customHeight="1" ht="18.75">
      <c r="A70" s="1" t="s">
        <v>933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x14ac:dyDescent="0.25" r="71" customHeight="1" ht="18.75">
      <c r="A71" s="1" t="s">
        <v>934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x14ac:dyDescent="0.25" r="72" customHeight="1" ht="18.75">
      <c r="A72" s="38" t="s">
        <v>935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x14ac:dyDescent="0.25" r="73" customHeight="1" ht="18.75">
      <c r="A73" s="1" t="s">
        <v>937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x14ac:dyDescent="0.25" r="74" customHeight="1" ht="18.75">
      <c r="A74" s="1" t="s">
        <v>938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x14ac:dyDescent="0.25" r="75" customHeight="1" ht="18.75">
      <c r="A75" s="1" t="s">
        <v>939</v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x14ac:dyDescent="0.25" r="76" customHeight="1" ht="18.75">
      <c r="A76" s="1" t="s">
        <v>940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x14ac:dyDescent="0.25" r="77" customHeight="1" ht="18.75">
      <c r="A77" s="1" t="s">
        <v>941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x14ac:dyDescent="0.25" r="78" customHeight="1" ht="18.75">
      <c r="A78" s="1" t="s">
        <v>942</v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x14ac:dyDescent="0.25" r="79" customHeight="1" ht="18.75">
      <c r="A79" s="1" t="s">
        <v>943</v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x14ac:dyDescent="0.25" r="80" customHeight="1" ht="18.75">
      <c r="A80" s="38" t="s">
        <v>944</v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x14ac:dyDescent="0.25" r="81" customHeight="1" ht="18.75">
      <c r="A81" s="1" t="s">
        <v>946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x14ac:dyDescent="0.25" r="82" customHeight="1" ht="18.75">
      <c r="A82" s="1" t="s">
        <v>947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x14ac:dyDescent="0.25" r="83" customHeight="1" ht="18.75">
      <c r="A83" s="1" t="s">
        <v>948</v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x14ac:dyDescent="0.25" r="84" customHeight="1" ht="18.75">
      <c r="A84" s="1" t="s">
        <v>949</v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x14ac:dyDescent="0.25" r="85" customHeight="1" ht="18.75">
      <c r="A85" s="1" t="s">
        <v>950</v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x14ac:dyDescent="0.25" r="86" customHeight="1" ht="18.75">
      <c r="A86" s="1" t="s">
        <v>951</v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x14ac:dyDescent="0.25" r="87" customHeight="1" ht="18.75">
      <c r="A87" s="38" t="s">
        <v>952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x14ac:dyDescent="0.25" r="88" customHeight="1" ht="18.75">
      <c r="A88" s="1" t="s">
        <v>954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x14ac:dyDescent="0.25" r="89" customHeight="1" ht="18.75">
      <c r="A89" s="1" t="s">
        <v>955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x14ac:dyDescent="0.25" r="90" customHeight="1" ht="18.75">
      <c r="A90" s="1" t="s">
        <v>956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x14ac:dyDescent="0.25" r="91" customHeight="1" ht="18.75">
      <c r="A91" s="1" t="s">
        <v>93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x14ac:dyDescent="0.25" r="92" customHeight="1" ht="18.75">
      <c r="A92" s="1" t="s">
        <v>957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x14ac:dyDescent="0.25" r="93" customHeight="1" ht="18.75">
      <c r="A93" s="1" t="s">
        <v>94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x14ac:dyDescent="0.25" r="94" customHeight="1" ht="18.75">
      <c r="A94" s="1" t="s">
        <v>95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x14ac:dyDescent="0.25" r="95" customHeight="1" ht="18.75">
      <c r="A95" s="1" t="s">
        <v>958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x14ac:dyDescent="0.25" r="96" customHeight="1" ht="18.75">
      <c r="A96" s="1" t="s">
        <v>96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x14ac:dyDescent="0.25" r="97" customHeight="1" ht="18.75">
      <c r="A97" s="1" t="s">
        <v>959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x14ac:dyDescent="0.25" r="98" customHeight="1" ht="18.75">
      <c r="A98" s="1" t="s">
        <v>98</v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x14ac:dyDescent="0.25" r="99" customHeight="1" ht="18.75">
      <c r="A99" s="1" t="s">
        <v>99</v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x14ac:dyDescent="0.25" r="100" customHeight="1" ht="18.75">
      <c r="A100" s="38" t="s">
        <v>960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x14ac:dyDescent="0.25" r="101" customHeight="1" ht="18.75">
      <c r="A101" s="1" t="s">
        <v>962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x14ac:dyDescent="0.25" r="102" customHeight="1" ht="18.75">
      <c r="A102" s="1" t="s">
        <v>963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x14ac:dyDescent="0.25" r="103" customHeight="1" ht="18.75">
      <c r="A103" s="1" t="s">
        <v>964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x14ac:dyDescent="0.25" r="104" customHeight="1" ht="18.75">
      <c r="A104" s="1" t="s">
        <v>965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x14ac:dyDescent="0.25" r="105" customHeight="1" ht="18.75">
      <c r="A105" s="1" t="s">
        <v>966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x14ac:dyDescent="0.25" r="106" customHeight="1" ht="18.75">
      <c r="A106" s="1" t="s">
        <v>967</v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x14ac:dyDescent="0.25" r="107" customHeight="1" ht="18.75">
      <c r="A107" s="1" t="s">
        <v>968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x14ac:dyDescent="0.25" r="108" customHeight="1" ht="18.75">
      <c r="A108" s="1" t="s">
        <v>969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x14ac:dyDescent="0.25" r="109" customHeight="1" ht="18.75">
      <c r="A109" s="1" t="s">
        <v>970</v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x14ac:dyDescent="0.25" r="110" customHeight="1" ht="18.75">
      <c r="A110" s="38" t="s">
        <v>971</v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x14ac:dyDescent="0.25" r="111" customHeight="1" ht="18.75">
      <c r="A111" s="1" t="s">
        <v>973</v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x14ac:dyDescent="0.25" r="112" customHeight="1" ht="18.75">
      <c r="A112" s="1" t="s">
        <v>974</v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x14ac:dyDescent="0.25" r="113" customHeight="1" ht="18.75">
      <c r="A113" s="1" t="s">
        <v>975</v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x14ac:dyDescent="0.25" r="114" customHeight="1" ht="18.75">
      <c r="A114" s="1" t="s">
        <v>976</v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x14ac:dyDescent="0.25" r="115" customHeight="1" ht="18.75">
      <c r="A115" s="38" t="s">
        <v>977</v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x14ac:dyDescent="0.25" r="116" customHeight="1" ht="18.75">
      <c r="A116" s="1" t="s">
        <v>979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x14ac:dyDescent="0.25" r="117" customHeight="1" ht="18.75">
      <c r="A117" s="1" t="s">
        <v>980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x14ac:dyDescent="0.25" r="118" customHeight="1" ht="18.75">
      <c r="A118" s="1" t="s">
        <v>181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x14ac:dyDescent="0.25" r="119" customHeight="1" ht="18.75">
      <c r="A119" s="1" t="s">
        <v>182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x14ac:dyDescent="0.25" r="120" customHeight="1" ht="18.75">
      <c r="A120" s="1" t="s">
        <v>981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x14ac:dyDescent="0.25" r="121" customHeight="1" ht="18.75">
      <c r="A121" s="1" t="s">
        <v>983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x14ac:dyDescent="0.25" r="122" customHeight="1" ht="18.75">
      <c r="A122" s="1" t="s">
        <v>984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x14ac:dyDescent="0.25" r="123" customHeight="1" ht="18.75">
      <c r="A123" s="1" t="s">
        <v>985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x14ac:dyDescent="0.25" r="124" customHeight="1" ht="18.75">
      <c r="A124" s="1" t="s">
        <v>140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x14ac:dyDescent="0.25" r="125" customHeight="1" ht="18.75">
      <c r="A125" s="1" t="s">
        <v>986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x14ac:dyDescent="0.25" r="126" customHeight="1" ht="18.75">
      <c r="A126" s="1" t="s">
        <v>987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x14ac:dyDescent="0.25" r="127" customHeight="1" ht="18.75">
      <c r="A127" s="38" t="s">
        <v>988</v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x14ac:dyDescent="0.25" r="128" customHeight="1" ht="18.75">
      <c r="A128" s="1" t="s">
        <v>990</v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x14ac:dyDescent="0.25" r="129" customHeight="1" ht="18.75">
      <c r="A129" s="1" t="s">
        <v>991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x14ac:dyDescent="0.25" r="130" customHeight="1" ht="18.75">
      <c r="A130" s="1" t="s">
        <v>992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x14ac:dyDescent="0.25" r="131" customHeight="1" ht="18.75">
      <c r="A131" s="1" t="s">
        <v>993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x14ac:dyDescent="0.25" r="132" customHeight="1" ht="18.75">
      <c r="A132" s="38" t="s">
        <v>994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x14ac:dyDescent="0.25" r="133" customHeight="1" ht="18.75">
      <c r="A133" s="1" t="s">
        <v>996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x14ac:dyDescent="0.25" r="134" customHeight="1" ht="18.75">
      <c r="A134" s="1" t="s">
        <v>997</v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x14ac:dyDescent="0.25" r="135" customHeight="1" ht="18.75">
      <c r="A135" s="1" t="s">
        <v>943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x14ac:dyDescent="0.25" r="136" customHeight="1" ht="18.75">
      <c r="A136" s="1" t="s">
        <v>944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x14ac:dyDescent="0.25" r="137" customHeight="1" ht="18.75">
      <c r="A137" s="1" t="s">
        <v>998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x14ac:dyDescent="0.25" r="138" customHeight="1" ht="18.75">
      <c r="A138" s="1" t="s">
        <v>999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x14ac:dyDescent="0.25" r="139" customHeight="1" ht="18.75">
      <c r="A139" s="1" t="s">
        <v>1000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x14ac:dyDescent="0.25" r="140" customHeight="1" ht="18.75">
      <c r="A140" s="1" t="s">
        <v>1001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x14ac:dyDescent="0.25" r="141" customHeight="1" ht="18.75">
      <c r="A141" s="1" t="s">
        <v>1002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x14ac:dyDescent="0.25" r="142" customHeight="1" ht="18.75">
      <c r="A142" s="1" t="s">
        <v>1003</v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x14ac:dyDescent="0.25" r="143" customHeight="1" ht="18.75">
      <c r="A143" s="38" t="s">
        <v>1004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x14ac:dyDescent="0.25" r="144" customHeight="1" ht="18.75">
      <c r="A144" s="1" t="s">
        <v>1006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x14ac:dyDescent="0.25" r="145" customHeight="1" ht="18.75">
      <c r="A145" s="1" t="s">
        <v>1007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x14ac:dyDescent="0.25" r="146" customHeight="1" ht="18.75">
      <c r="A146" s="1" t="s">
        <v>1008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x14ac:dyDescent="0.25" r="147" customHeight="1" ht="18.75">
      <c r="A147" s="1" t="s">
        <v>1009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x14ac:dyDescent="0.25" r="148" customHeight="1" ht="18.75">
      <c r="A148" s="1" t="s">
        <v>1010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x14ac:dyDescent="0.25" r="149" customHeight="1" ht="18.75">
      <c r="A149" s="1" t="s">
        <v>1011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x14ac:dyDescent="0.25" r="150" customHeight="1" ht="18.75">
      <c r="A150" s="1" t="s">
        <v>1012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x14ac:dyDescent="0.25" r="151" customHeight="1" ht="18.75">
      <c r="A151" s="1" t="s">
        <v>1013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x14ac:dyDescent="0.25" r="152" customHeight="1" ht="18.75">
      <c r="A152" s="1" t="s">
        <v>1014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x14ac:dyDescent="0.25" r="153" customHeight="1" ht="18.75">
      <c r="A153" s="1" t="s">
        <v>1015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x14ac:dyDescent="0.25" r="154" customHeight="1" ht="18.75">
      <c r="A154" s="38" t="s">
        <v>1016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x14ac:dyDescent="0.25" r="155" customHeight="1" ht="18.75">
      <c r="A155" s="1" t="s">
        <v>1018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x14ac:dyDescent="0.25" r="156" customHeight="1" ht="18.75">
      <c r="A156" s="1" t="s">
        <v>1019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x14ac:dyDescent="0.25" r="157" customHeight="1" ht="18.75">
      <c r="A157" s="1" t="s">
        <v>1020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x14ac:dyDescent="0.25" r="158" customHeight="1" ht="18.75">
      <c r="A158" s="1" t="s">
        <v>543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x14ac:dyDescent="0.25" r="159" customHeight="1" ht="18.75">
      <c r="A159" s="1" t="s">
        <v>544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x14ac:dyDescent="0.25" r="160" customHeight="1" ht="18.75">
      <c r="A160" s="38" t="s">
        <v>545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x14ac:dyDescent="0.25" r="161" customHeight="1" ht="18.75">
      <c r="A161" s="1" t="s">
        <v>1022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x14ac:dyDescent="0.25" r="162" customHeight="1" ht="18.75">
      <c r="A162" s="1" t="s">
        <v>1023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x14ac:dyDescent="0.25" r="163" customHeight="1" ht="18.75">
      <c r="A163" s="1" t="s">
        <v>1024</v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x14ac:dyDescent="0.25" r="164" customHeight="1" ht="18.75">
      <c r="A164" s="38" t="s">
        <v>405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x14ac:dyDescent="0.25" r="165" customHeight="1" ht="18.75">
      <c r="A165" s="1" t="s">
        <v>1026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x14ac:dyDescent="0.25" r="166" customHeight="1" ht="18.75">
      <c r="A166" s="1" t="s">
        <v>1218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x14ac:dyDescent="0.25" r="167" customHeight="1" ht="18.75">
      <c r="A167" s="1" t="s">
        <v>1027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x14ac:dyDescent="0.25" r="168" customHeight="1" ht="18.75">
      <c r="A168" s="1" t="s">
        <v>1028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x14ac:dyDescent="0.25" r="169" customHeight="1" ht="18.75">
      <c r="A169" s="1" t="s">
        <v>1029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x14ac:dyDescent="0.25" r="170" customHeight="1" ht="18.75">
      <c r="A170" s="1" t="s">
        <v>1030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x14ac:dyDescent="0.25" r="171" customHeight="1" ht="18.75">
      <c r="A171" s="1" t="s">
        <v>1031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x14ac:dyDescent="0.25" r="172" customHeight="1" ht="18.75">
      <c r="A172" s="1" t="s">
        <v>1032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x14ac:dyDescent="0.25" r="173" customHeight="1" ht="18.75">
      <c r="A173" s="38" t="s">
        <v>1033</v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x14ac:dyDescent="0.25" r="174" customHeight="1" ht="18.75">
      <c r="A174" s="1" t="s">
        <v>1035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x14ac:dyDescent="0.25" r="175" customHeight="1" ht="18.75">
      <c r="A175" s="1" t="s">
        <v>1036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x14ac:dyDescent="0.25" r="176" customHeight="1" ht="18.75">
      <c r="A176" s="1" t="s">
        <v>1037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x14ac:dyDescent="0.25" r="177" customHeight="1" ht="18.75">
      <c r="A177" s="1" t="s">
        <v>1038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x14ac:dyDescent="0.25" r="178" customHeight="1" ht="18.75">
      <c r="A178" s="1" t="s">
        <v>1039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x14ac:dyDescent="0.25" r="179" customHeight="1" ht="18.75">
      <c r="A179" s="1" t="s">
        <v>1040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x14ac:dyDescent="0.25" r="180" customHeight="1" ht="18.75">
      <c r="A180" s="1" t="s">
        <v>1041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x14ac:dyDescent="0.25" r="181" customHeight="1" ht="18.75">
      <c r="A181" s="1" t="s">
        <v>1042</v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x14ac:dyDescent="0.25" r="182" customHeight="1" ht="18.75">
      <c r="A182" s="1" t="s">
        <v>1043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x14ac:dyDescent="0.25" r="183" customHeight="1" ht="18.75">
      <c r="A183" s="1" t="s">
        <v>1044</v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x14ac:dyDescent="0.25" r="184" customHeight="1" ht="18.75">
      <c r="A184" s="1" t="s">
        <v>1045</v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x14ac:dyDescent="0.25" r="185" customHeight="1" ht="18.75">
      <c r="A185" s="1" t="s">
        <v>1046</v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x14ac:dyDescent="0.25" r="186" customHeight="1" ht="18.75">
      <c r="A186" s="38" t="s">
        <v>1047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x14ac:dyDescent="0.25" r="187" customHeight="1" ht="18.75">
      <c r="A187" s="1" t="s">
        <v>1049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x14ac:dyDescent="0.25" r="188" customHeight="1" ht="18.75">
      <c r="A188" s="1" t="s">
        <v>1050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x14ac:dyDescent="0.25" r="189" customHeight="1" ht="18.75">
      <c r="A189" s="1" t="s">
        <v>1051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x14ac:dyDescent="0.25" r="190" customHeight="1" ht="18.75">
      <c r="A190" s="1" t="s">
        <v>1007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x14ac:dyDescent="0.25" r="191" customHeight="1" ht="18.75">
      <c r="A191" s="38" t="s">
        <v>1052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x14ac:dyDescent="0.25" r="192" customHeight="1" ht="18.75">
      <c r="A192" s="1" t="s">
        <v>1054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x14ac:dyDescent="0.25" r="193" customHeight="1" ht="18.75">
      <c r="A193" s="1" t="s">
        <v>1055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x14ac:dyDescent="0.25" r="194" customHeight="1" ht="18.75">
      <c r="A194" s="1" t="s">
        <v>1056</v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x14ac:dyDescent="0.25" r="195" customHeight="1" ht="18.75">
      <c r="A195" s="1" t="s">
        <v>1057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x14ac:dyDescent="0.25" r="196" customHeight="1" ht="18.75">
      <c r="A196" s="1" t="s">
        <v>1058</v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x14ac:dyDescent="0.25" r="197" customHeight="1" ht="18.75">
      <c r="A197" s="1" t="s">
        <v>1059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x14ac:dyDescent="0.25" r="198" customHeight="1" ht="18.75">
      <c r="A198" s="1" t="s">
        <v>1060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x14ac:dyDescent="0.25" r="199" customHeight="1" ht="18.75">
      <c r="A199" s="1" t="s">
        <v>1061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x14ac:dyDescent="0.25" r="200" customHeight="1" ht="18.75">
      <c r="A200" s="1" t="s">
        <v>1062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x14ac:dyDescent="0.25" r="201" customHeight="1" ht="18.75">
      <c r="A201" s="1" t="s">
        <v>1063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x14ac:dyDescent="0.25" r="202" customHeight="1" ht="18.75">
      <c r="A202" s="1" t="s">
        <v>1064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x14ac:dyDescent="0.25" r="203" customHeight="1" ht="18.75">
      <c r="A203" s="38" t="s">
        <v>1065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x14ac:dyDescent="0.25" r="204" customHeight="1" ht="18.75">
      <c r="A204" s="1" t="s">
        <v>1067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x14ac:dyDescent="0.25" r="205" customHeight="1" ht="18.75">
      <c r="A205" s="1" t="s">
        <v>1068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x14ac:dyDescent="0.25" r="206" customHeight="1" ht="18.75">
      <c r="A206" s="1" t="s">
        <v>1069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x14ac:dyDescent="0.25" r="207" customHeight="1" ht="18.75">
      <c r="A207" s="1" t="s">
        <v>1070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x14ac:dyDescent="0.25" r="208" customHeight="1" ht="18.75">
      <c r="A208" s="1" t="s">
        <v>1071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x14ac:dyDescent="0.25" r="209" customHeight="1" ht="18.75">
      <c r="A209" s="1" t="s">
        <v>1072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x14ac:dyDescent="0.25" r="210" customHeight="1" ht="18.75">
      <c r="A210" s="38" t="s">
        <v>1073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x14ac:dyDescent="0.25" r="211" customHeight="1" ht="18.75">
      <c r="A211" s="1" t="s">
        <v>1075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x14ac:dyDescent="0.25" r="212" customHeight="1" ht="18.75">
      <c r="A212" s="1" t="s">
        <v>1076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x14ac:dyDescent="0.25" r="213" customHeight="1" ht="18.75">
      <c r="A213" s="1" t="s">
        <v>1077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x14ac:dyDescent="0.25" r="214" customHeight="1" ht="18.75">
      <c r="A214" s="1" t="s">
        <v>1078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x14ac:dyDescent="0.25" r="215" customHeight="1" ht="18.75">
      <c r="A215" s="1" t="s">
        <v>1079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x14ac:dyDescent="0.25" r="216" customHeight="1" ht="18.75">
      <c r="A216" s="1" t="s">
        <v>1080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x14ac:dyDescent="0.25" r="217" customHeight="1" ht="18.75">
      <c r="A217" s="38" t="s">
        <v>1081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x14ac:dyDescent="0.25" r="218" customHeight="1" ht="18.75">
      <c r="A218" s="1" t="s">
        <v>1083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x14ac:dyDescent="0.25" r="219" customHeight="1" ht="18.75">
      <c r="A219" s="1" t="s">
        <v>1084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x14ac:dyDescent="0.25" r="220" customHeight="1" ht="18.75">
      <c r="A220" s="1" t="s">
        <v>1085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x14ac:dyDescent="0.25" r="221" customHeight="1" ht="18.75">
      <c r="A221" s="1" t="s">
        <v>1086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x14ac:dyDescent="0.25" r="222" customHeight="1" ht="18.75">
      <c r="A222" s="1" t="s">
        <v>1087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x14ac:dyDescent="0.25" r="223" customHeight="1" ht="18.75">
      <c r="A223" s="1" t="s">
        <v>1088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x14ac:dyDescent="0.25" r="224" customHeight="1" ht="18.75">
      <c r="A224" s="1" t="s">
        <v>1089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x14ac:dyDescent="0.25" r="225" customHeight="1" ht="18.75">
      <c r="A225" s="1" t="s">
        <v>1090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x14ac:dyDescent="0.25" r="226" customHeight="1" ht="18.75">
      <c r="A226" s="1" t="s">
        <v>1091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x14ac:dyDescent="0.25" r="227" customHeight="1" ht="18.75">
      <c r="A227" s="1" t="s">
        <v>1092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x14ac:dyDescent="0.25" r="228" customHeight="1" ht="18.75">
      <c r="A228" s="1" t="s">
        <v>1093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x14ac:dyDescent="0.25" r="229" customHeight="1" ht="18.75">
      <c r="A229" s="38" t="s">
        <v>1094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x14ac:dyDescent="0.25" r="230" customHeight="1" ht="18.75">
      <c r="A230" s="1" t="s">
        <v>1096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x14ac:dyDescent="0.25" r="231" customHeight="1" ht="18.75">
      <c r="A231" s="1" t="s">
        <v>1097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x14ac:dyDescent="0.25" r="232" customHeight="1" ht="18.75">
      <c r="A232" s="1" t="s">
        <v>1097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x14ac:dyDescent="0.25" r="233" customHeight="1" ht="18.75">
      <c r="A233" s="1" t="s">
        <v>1098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x14ac:dyDescent="0.25" r="234" customHeight="1" ht="18.75">
      <c r="A234" s="1" t="s">
        <v>1099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x14ac:dyDescent="0.25" r="235" customHeight="1" ht="18.75">
      <c r="A235" s="1" t="s">
        <v>1100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x14ac:dyDescent="0.25" r="236" customHeight="1" ht="18.75">
      <c r="A236" s="1" t="s">
        <v>1101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x14ac:dyDescent="0.25" r="237" customHeight="1" ht="18.75">
      <c r="A237" s="1" t="s">
        <v>1102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x14ac:dyDescent="0.25" r="238" customHeight="1" ht="18.75">
      <c r="A238" s="38" t="s">
        <v>1103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x14ac:dyDescent="0.25" r="239" customHeight="1" ht="18.75">
      <c r="A239" s="1" t="s">
        <v>1105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x14ac:dyDescent="0.25" r="240" customHeight="1" ht="18.75">
      <c r="A240" s="1" t="s">
        <v>1106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x14ac:dyDescent="0.25" r="241" customHeight="1" ht="18.75">
      <c r="A241" s="1" t="s">
        <v>1107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x14ac:dyDescent="0.25" r="242" customHeight="1" ht="18.75">
      <c r="A242" s="1" t="s">
        <v>1108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x14ac:dyDescent="0.25" r="243" customHeight="1" ht="18.75">
      <c r="A243" s="1" t="s">
        <v>1109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x14ac:dyDescent="0.25" r="244" customHeight="1" ht="18.75">
      <c r="A244" s="1" t="s">
        <v>1110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x14ac:dyDescent="0.25" r="245" customHeight="1" ht="18.75">
      <c r="A245" s="1" t="s">
        <v>1111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x14ac:dyDescent="0.25" r="246" customHeight="1" ht="18.75">
      <c r="A246" s="38" t="s">
        <v>1112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x14ac:dyDescent="0.25" r="247" customHeight="1" ht="18.75">
      <c r="A247" s="1" t="s">
        <v>1114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x14ac:dyDescent="0.25" r="248" customHeight="1" ht="18.75">
      <c r="A248" s="1" t="s">
        <v>1115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x14ac:dyDescent="0.25" r="249" customHeight="1" ht="18.75">
      <c r="A249" s="1" t="s">
        <v>1116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x14ac:dyDescent="0.25" r="250" customHeight="1" ht="18.75">
      <c r="A250" s="1" t="s">
        <v>1117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x14ac:dyDescent="0.25" r="251" customHeight="1" ht="18.75">
      <c r="A251" s="1" t="s">
        <v>1118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x14ac:dyDescent="0.25" r="252" customHeight="1" ht="18.75">
      <c r="A252" s="1" t="s">
        <v>1119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x14ac:dyDescent="0.25" r="253" customHeight="1" ht="18.75">
      <c r="A253" s="38" t="s">
        <v>1120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x14ac:dyDescent="0.25" r="254" customHeight="1" ht="18.75">
      <c r="A254" s="1" t="s">
        <v>1122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x14ac:dyDescent="0.25" r="255" customHeight="1" ht="18.75">
      <c r="A255" s="1" t="s">
        <v>1123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x14ac:dyDescent="0.25" r="256" customHeight="1" ht="18.75">
      <c r="A256" s="1" t="s">
        <v>1124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x14ac:dyDescent="0.25" r="257" customHeight="1" ht="18.75">
      <c r="A257" s="1" t="s">
        <v>1125</v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x14ac:dyDescent="0.25" r="258" customHeight="1" ht="18.75">
      <c r="A258" s="1" t="s">
        <v>1126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x14ac:dyDescent="0.25" r="259" customHeight="1" ht="18.75">
      <c r="A259" s="1" t="s">
        <v>1127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x14ac:dyDescent="0.25" r="260" customHeight="1" ht="18.75">
      <c r="A260" s="1" t="s">
        <v>1128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x14ac:dyDescent="0.25" r="261" customHeight="1" ht="18.75">
      <c r="A261" s="1" t="s">
        <v>1129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x14ac:dyDescent="0.25" r="262" customHeight="1" ht="18.75">
      <c r="A262" s="1" t="s">
        <v>1130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x14ac:dyDescent="0.25" r="263" customHeight="1" ht="18.75">
      <c r="A263" s="38" t="s">
        <v>1131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x14ac:dyDescent="0.25" r="264" customHeight="1" ht="18.75">
      <c r="A264" s="1" t="s">
        <v>1133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x14ac:dyDescent="0.25" r="265" customHeight="1" ht="18.75">
      <c r="A265" s="1" t="s">
        <v>1134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x14ac:dyDescent="0.25" r="266" customHeight="1" ht="18.75">
      <c r="A266" s="1" t="s">
        <v>322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x14ac:dyDescent="0.25" r="267" customHeight="1" ht="18.75">
      <c r="A267" s="1" t="s">
        <v>323</v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x14ac:dyDescent="0.25" r="268" customHeight="1" ht="18.75">
      <c r="A268" s="38" t="s">
        <v>1135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x14ac:dyDescent="0.25" r="269" customHeight="1" ht="18.75">
      <c r="A269" s="1" t="s">
        <v>1137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x14ac:dyDescent="0.25" r="270" customHeight="1" ht="18.75">
      <c r="A270" s="1" t="s">
        <v>1125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x14ac:dyDescent="0.25" r="271" customHeight="1" ht="18.75">
      <c r="A271" s="1" t="s">
        <v>1138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x14ac:dyDescent="0.25" r="272" customHeight="1" ht="18.75">
      <c r="A272" s="1" t="s">
        <v>1126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x14ac:dyDescent="0.25" r="273" customHeight="1" ht="18.75">
      <c r="A273" s="1" t="s">
        <v>1127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x14ac:dyDescent="0.25" r="274" customHeight="1" ht="18.75">
      <c r="A274" s="1" t="s">
        <v>1129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x14ac:dyDescent="0.25" r="275" customHeight="1" ht="18.75">
      <c r="A275" s="38" t="s">
        <v>1130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x14ac:dyDescent="0.25" r="276" customHeight="1" ht="18.75">
      <c r="A276" s="1" t="s">
        <v>1140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x14ac:dyDescent="0.25" r="277" customHeight="1" ht="18.75">
      <c r="A277" s="1" t="s">
        <v>1219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x14ac:dyDescent="0.25" r="278" customHeight="1" ht="18.75">
      <c r="A278" s="1" t="s">
        <v>1141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x14ac:dyDescent="0.25" r="279" customHeight="1" ht="18.75">
      <c r="A279" s="1" t="s">
        <v>1142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x14ac:dyDescent="0.25" r="280" customHeight="1" ht="18.75">
      <c r="A280" s="1" t="s">
        <v>340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x14ac:dyDescent="0.25" r="281" customHeight="1" ht="18.75">
      <c r="A281" s="1" t="s">
        <v>341</v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x14ac:dyDescent="0.25" r="282" customHeight="1" ht="18.75">
      <c r="A282" s="1" t="s">
        <v>342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x14ac:dyDescent="0.25" r="283" customHeight="1" ht="18.75">
      <c r="A283" s="38" t="s">
        <v>343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x14ac:dyDescent="0.25" r="284" customHeight="1" ht="18.75">
      <c r="A284" s="1" t="s">
        <v>1144</v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x14ac:dyDescent="0.25" r="285" customHeight="1" ht="18.75">
      <c r="A285" s="1" t="s">
        <v>1145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x14ac:dyDescent="0.25" r="286" customHeight="1" ht="18.75">
      <c r="A286" s="1" t="s">
        <v>1146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x14ac:dyDescent="0.25" r="287" customHeight="1" ht="18.75">
      <c r="A287" s="1" t="s">
        <v>1147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x14ac:dyDescent="0.25" r="288" customHeight="1" ht="18.75">
      <c r="A288" s="1" t="s">
        <v>1148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x14ac:dyDescent="0.25" r="289" customHeight="1" ht="18.75">
      <c r="A289" s="1" t="s">
        <v>1149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x14ac:dyDescent="0.25" r="290" customHeight="1" ht="18.75">
      <c r="A290" s="1" t="s">
        <v>1150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x14ac:dyDescent="0.25" r="291" customHeight="1" ht="18.75">
      <c r="A291" s="38" t="s">
        <v>1151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x14ac:dyDescent="0.25" r="292" customHeight="1" ht="18.75">
      <c r="A292" s="1" t="s">
        <v>1153</v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x14ac:dyDescent="0.25" r="293" customHeight="1" ht="18.75">
      <c r="A293" s="1" t="s">
        <v>1154</v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x14ac:dyDescent="0.25" r="294" customHeight="1" ht="18.75">
      <c r="A294" s="1" t="s">
        <v>1155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x14ac:dyDescent="0.25" r="295" customHeight="1" ht="18.75">
      <c r="A295" s="1" t="s">
        <v>1156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x14ac:dyDescent="0.25" r="296" customHeight="1" ht="18.75">
      <c r="A296" s="1" t="s">
        <v>1157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x14ac:dyDescent="0.25" r="297" customHeight="1" ht="18.75">
      <c r="A297" s="1" t="s">
        <v>1158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x14ac:dyDescent="0.25" r="298" customHeight="1" ht="18.75">
      <c r="A298" s="1" t="s">
        <v>1159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x14ac:dyDescent="0.25" r="299" customHeight="1" ht="18.75">
      <c r="A299" s="1" t="s">
        <v>1160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x14ac:dyDescent="0.25" r="300" customHeight="1" ht="18.75">
      <c r="A300" s="38" t="s">
        <v>1161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x14ac:dyDescent="0.25" r="301" customHeight="1" ht="18.75">
      <c r="A301" s="1" t="s">
        <v>1163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x14ac:dyDescent="0.25" r="302" customHeight="1" ht="18.75">
      <c r="A302" s="1" t="s">
        <v>1164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x14ac:dyDescent="0.25" r="303" customHeight="1" ht="18.75">
      <c r="A303" s="1" t="s">
        <v>1165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x14ac:dyDescent="0.25" r="304" customHeight="1" ht="18.75">
      <c r="A304" s="1" t="s">
        <v>1166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x14ac:dyDescent="0.25" r="305" customHeight="1" ht="18.75">
      <c r="A305" s="38" t="s">
        <v>202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x14ac:dyDescent="0.25" r="306" customHeight="1" ht="18.75">
      <c r="A306" s="1" t="s">
        <v>1168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x14ac:dyDescent="0.25" r="307" customHeight="1" ht="18.75">
      <c r="A307" s="1" t="s">
        <v>1169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x14ac:dyDescent="0.25" r="308" customHeight="1" ht="18.75">
      <c r="A308" s="1" t="s">
        <v>1170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x14ac:dyDescent="0.25" r="309" customHeight="1" ht="18.75">
      <c r="A309" s="1" t="s">
        <v>993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x14ac:dyDescent="0.25" r="310" customHeight="1" ht="18.75">
      <c r="A310" s="38" t="s">
        <v>994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x14ac:dyDescent="0.25" r="311" customHeight="1" ht="18.75">
      <c r="A311" s="1" t="s">
        <v>1172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x14ac:dyDescent="0.25" r="312" customHeight="1" ht="18.75">
      <c r="A312" s="1" t="s">
        <v>1173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x14ac:dyDescent="0.25" r="313" customHeight="1" ht="18.75">
      <c r="A313" s="1" t="s">
        <v>1174</v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x14ac:dyDescent="0.25" r="314" customHeight="1" ht="18.75">
      <c r="A314" s="1" t="s">
        <v>1175</v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x14ac:dyDescent="0.25" r="315" customHeight="1" ht="18.75">
      <c r="A315" s="1" t="s">
        <v>1176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x14ac:dyDescent="0.25" r="316" customHeight="1" ht="18.75">
      <c r="A316" s="1" t="s">
        <v>1177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x14ac:dyDescent="0.25" r="317" customHeight="1" ht="18.75">
      <c r="A317" s="38" t="s">
        <v>1178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x14ac:dyDescent="0.25" r="318" customHeight="1" ht="18.75">
      <c r="A318" s="1" t="s">
        <v>1180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x14ac:dyDescent="0.25" r="319" customHeight="1" ht="18.75">
      <c r="A319" s="1" t="s">
        <v>1181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x14ac:dyDescent="0.25" r="320" customHeight="1" ht="18.75">
      <c r="A320" s="1" t="s">
        <v>1182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x14ac:dyDescent="0.25" r="321" customHeight="1" ht="18.75">
      <c r="A321" s="1" t="s">
        <v>1183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x14ac:dyDescent="0.25" r="322" customHeight="1" ht="18.75">
      <c r="A322" s="38" t="s">
        <v>1184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x14ac:dyDescent="0.25" r="323" customHeight="1" ht="18.75">
      <c r="A323" s="1" t="s">
        <v>1186</v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x14ac:dyDescent="0.25" r="324" customHeight="1" ht="18.75">
      <c r="A324" s="1" t="s">
        <v>1187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x14ac:dyDescent="0.25" r="325" customHeight="1" ht="18.75">
      <c r="A325" s="1" t="s">
        <v>1188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x14ac:dyDescent="0.25" r="326" customHeight="1" ht="18.75">
      <c r="A326" s="1" t="s">
        <v>1189</v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x14ac:dyDescent="0.25" r="327" customHeight="1" ht="18.75">
      <c r="A327" s="1" t="s">
        <v>1190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x14ac:dyDescent="0.25" r="328" customHeight="1" ht="18.75">
      <c r="A328" s="1" t="s">
        <v>1191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x14ac:dyDescent="0.25" r="329" customHeight="1" ht="18.75">
      <c r="A329" s="1" t="s">
        <v>1192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x14ac:dyDescent="0.25" r="330" customHeight="1" ht="18.75">
      <c r="A330" s="38" t="s">
        <v>1193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x14ac:dyDescent="0.25" r="331" customHeight="1" ht="18.75">
      <c r="A331" s="1" t="s">
        <v>1195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x14ac:dyDescent="0.25" r="332" customHeight="1" ht="18.75">
      <c r="A332" s="1" t="s">
        <v>1196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x14ac:dyDescent="0.25" r="333" customHeight="1" ht="18.75">
      <c r="A333" s="1" t="s">
        <v>874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x14ac:dyDescent="0.25" r="334" customHeight="1" ht="18.75">
      <c r="A334" s="1" t="s">
        <v>875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x14ac:dyDescent="0.25" r="335" customHeight="1" ht="18.75">
      <c r="A335" s="38" t="s">
        <v>876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x14ac:dyDescent="0.25" r="336" customHeight="1" ht="18.75">
      <c r="A336" s="1" t="s">
        <v>1198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x14ac:dyDescent="0.25" r="337" customHeight="1" ht="18.75">
      <c r="A337" s="1" t="s">
        <v>1199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x14ac:dyDescent="0.25" r="338" customHeight="1" ht="18.75">
      <c r="A338" s="1" t="s">
        <v>1200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x14ac:dyDescent="0.25" r="339" customHeight="1" ht="18.75">
      <c r="A339" s="1" t="s">
        <v>1201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x14ac:dyDescent="0.25" r="340" customHeight="1" ht="18.75">
      <c r="A340" s="1" t="s">
        <v>1202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x14ac:dyDescent="0.25" r="341" customHeight="1" ht="18.75">
      <c r="A341" s="1" t="s">
        <v>1203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x14ac:dyDescent="0.25" r="342" customHeight="1" ht="18.75">
      <c r="A342" s="1" t="s">
        <v>1204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x14ac:dyDescent="0.25" r="343" customHeight="1" ht="18.75">
      <c r="A343" s="1" t="s">
        <v>1205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x14ac:dyDescent="0.25" r="344" customHeight="1" ht="18.75">
      <c r="A344" s="1" t="s">
        <v>1206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x14ac:dyDescent="0.25" r="345" customHeight="1" ht="18.75">
      <c r="A345" s="1" t="s">
        <v>1207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x14ac:dyDescent="0.25" r="346" customHeight="1" ht="18.75">
      <c r="A346" s="1" t="s">
        <v>1208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x14ac:dyDescent="0.25" r="347" customHeight="1" ht="18.75">
      <c r="A347" s="38" t="s">
        <v>1209</v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x14ac:dyDescent="0.25" r="348" customHeight="1" ht="18.75">
      <c r="A348" s="1" t="s">
        <v>1211</v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x14ac:dyDescent="0.25" r="349" customHeight="1" ht="18.75">
      <c r="A349" s="1" t="s">
        <v>1212</v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x14ac:dyDescent="0.25" r="350" customHeight="1" ht="18.75">
      <c r="A350" s="1" t="s">
        <v>1220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x14ac:dyDescent="0.25" r="351" customHeight="1" ht="18.75">
      <c r="A351" s="1" t="s">
        <v>1213</v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x14ac:dyDescent="0.25" r="352" customHeight="1" ht="18.75">
      <c r="A352" s="1" t="s">
        <v>1214</v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x14ac:dyDescent="0.25" r="353" customHeight="1" ht="18.75">
      <c r="A353" s="1" t="s">
        <v>1215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x14ac:dyDescent="0.25" r="354" customHeight="1" ht="18.75">
      <c r="A354" s="1" t="s">
        <v>1216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x14ac:dyDescent="0.25" r="355" customHeight="1" ht="18.75">
      <c r="A355" s="38" t="s">
        <v>1217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139"/>
  <sheetViews>
    <sheetView workbookViewId="0"/>
  </sheetViews>
  <sheetFormatPr defaultRowHeight="15" x14ac:dyDescent="0.25"/>
  <cols>
    <col min="1" max="1" style="8" width="13.576428571428572" customWidth="1" bestFit="1"/>
    <col min="2" max="2" style="9" width="19.14785714285714" customWidth="1" bestFit="1"/>
    <col min="3" max="3" style="9" width="25.290714285714284" customWidth="1" bestFit="1"/>
    <col min="4" max="4" style="9" width="22.576428571428572" customWidth="1" bestFit="1"/>
    <col min="5" max="5" style="9" width="29.14785714285714" customWidth="1" bestFit="1"/>
    <col min="6" max="6" style="9" width="19.576428571428572" customWidth="1" bestFit="1"/>
    <col min="7" max="7" style="9" width="25.862142857142857" customWidth="1" bestFit="1"/>
    <col min="8" max="8" style="9" width="27.719285714285714" customWidth="1" bestFit="1"/>
    <col min="9" max="9" style="10" width="24.14785714285714" customWidth="1" bestFit="1"/>
    <col min="10" max="10" style="10" width="25.862142857142857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0.43357142857143" customWidth="1" bestFit="1"/>
    <col min="15" max="15" style="10" width="13.576428571428572" customWidth="1" bestFit="1"/>
    <col min="16" max="16" style="10" width="13.576428571428572" customWidth="1" bestFit="1"/>
    <col min="17" max="17" style="10" width="9.147857142857141" customWidth="1" bestFit="1"/>
    <col min="18" max="18" style="8" width="13.576428571428572" customWidth="1" bestFit="1"/>
    <col min="19" max="19" style="8" width="13.576428571428572" customWidth="1" bestFit="1"/>
    <col min="20" max="20" style="8" width="13.576428571428572" customWidth="1" bestFit="1"/>
    <col min="21" max="21" style="8" width="13.576428571428572" customWidth="1" bestFit="1"/>
  </cols>
  <sheetData>
    <row x14ac:dyDescent="0.25" r="1" customHeight="1" ht="18.75">
      <c r="A1" s="1" t="s">
        <v>18</v>
      </c>
      <c r="B1" s="5" t="s">
        <v>862</v>
      </c>
      <c r="C1" s="5"/>
      <c r="D1" s="5"/>
      <c r="E1" s="5"/>
      <c r="F1" s="5"/>
      <c r="G1" s="5"/>
      <c r="H1" s="5"/>
      <c r="I1" s="4"/>
      <c r="J1" s="4"/>
      <c r="K1" s="4"/>
      <c r="L1" s="4"/>
      <c r="M1" s="4"/>
      <c r="N1" s="4"/>
      <c r="O1" s="4"/>
      <c r="P1" s="4"/>
      <c r="Q1" s="4"/>
      <c r="R1" s="1"/>
      <c r="S1" s="1"/>
      <c r="T1" s="1"/>
      <c r="U1" s="1"/>
    </row>
    <row x14ac:dyDescent="0.25" r="2" customHeight="1" ht="18.75">
      <c r="A2" s="1" t="s">
        <v>863</v>
      </c>
      <c r="B2" s="31">
        <f>DATE(YEAR(C2), MONTH(C2), DAY(C2))</f>
        <v>25569.041666666668</v>
      </c>
      <c r="C2" s="15" t="s">
        <v>864</v>
      </c>
      <c r="D2" s="15" t="s">
        <v>865</v>
      </c>
      <c r="E2" s="15" t="s">
        <v>866</v>
      </c>
      <c r="F2" s="15" t="s">
        <v>867</v>
      </c>
      <c r="G2" s="15" t="s">
        <v>868</v>
      </c>
      <c r="H2" s="15" t="s">
        <v>869</v>
      </c>
      <c r="I2" s="15" t="s">
        <v>870</v>
      </c>
      <c r="J2" s="15" t="s">
        <v>871</v>
      </c>
      <c r="K2" s="31"/>
      <c r="L2" s="31"/>
      <c r="M2" s="31"/>
      <c r="N2" s="31"/>
      <c r="O2" s="31"/>
      <c r="P2" s="31"/>
      <c r="Q2" s="32"/>
      <c r="R2" s="31"/>
      <c r="S2" s="31"/>
      <c r="T2" s="1"/>
      <c r="U2" s="33"/>
    </row>
    <row x14ac:dyDescent="0.25" r="3" customHeight="1" ht="18.75">
      <c r="A3" s="1" t="s">
        <v>872</v>
      </c>
      <c r="B3" s="31">
        <f>DATE(YEAR(C3), MONTH(C3), DAY(C3))</f>
        <v>25569.041666666668</v>
      </c>
      <c r="C3" s="15" t="s">
        <v>873</v>
      </c>
      <c r="D3" s="15" t="s">
        <v>874</v>
      </c>
      <c r="E3" s="15" t="s">
        <v>875</v>
      </c>
      <c r="F3" s="15" t="s">
        <v>876</v>
      </c>
      <c r="G3" s="15" t="s">
        <v>877</v>
      </c>
      <c r="H3" s="15" t="s">
        <v>878</v>
      </c>
      <c r="I3" s="15" t="s">
        <v>879</v>
      </c>
      <c r="J3" s="31"/>
      <c r="K3" s="31"/>
      <c r="L3" s="31"/>
      <c r="M3" s="31"/>
      <c r="N3" s="31"/>
      <c r="O3" s="31"/>
      <c r="P3" s="31"/>
      <c r="Q3" s="32"/>
      <c r="R3" s="31"/>
      <c r="S3" s="31"/>
      <c r="T3" s="1"/>
      <c r="U3" s="1"/>
    </row>
    <row x14ac:dyDescent="0.25" r="4" customHeight="1" ht="18.75">
      <c r="A4" s="1" t="s">
        <v>880</v>
      </c>
      <c r="B4" s="31">
        <f>DATE(YEAR(C4), MONTH(C4), DAY(C4))</f>
        <v>25569.041666666668</v>
      </c>
      <c r="C4" s="15" t="s">
        <v>881</v>
      </c>
      <c r="D4" s="15" t="s">
        <v>882</v>
      </c>
      <c r="E4" s="15" t="s">
        <v>883</v>
      </c>
      <c r="F4" s="15" t="s">
        <v>884</v>
      </c>
      <c r="G4" s="15" t="s">
        <v>885</v>
      </c>
      <c r="H4" s="15" t="s">
        <v>886</v>
      </c>
      <c r="I4" s="31"/>
      <c r="J4" s="31"/>
      <c r="K4" s="31"/>
      <c r="L4" s="31"/>
      <c r="M4" s="31"/>
      <c r="N4" s="31"/>
      <c r="O4" s="31"/>
      <c r="P4" s="31"/>
      <c r="Q4" s="32"/>
      <c r="R4" s="31"/>
      <c r="S4" s="31"/>
      <c r="T4" s="1"/>
      <c r="U4" s="1"/>
    </row>
    <row x14ac:dyDescent="0.25" r="5" customHeight="1" ht="18.75">
      <c r="A5" s="1" t="s">
        <v>887</v>
      </c>
      <c r="B5" s="31">
        <f>DATE(YEAR(C5), MONTH(C5), DAY(C5))</f>
        <v>25569.041666666668</v>
      </c>
      <c r="C5" s="15" t="s">
        <v>888</v>
      </c>
      <c r="D5" s="15" t="s">
        <v>889</v>
      </c>
      <c r="E5" s="15" t="s">
        <v>890</v>
      </c>
      <c r="F5" s="15" t="s">
        <v>891</v>
      </c>
      <c r="G5" s="15" t="s">
        <v>892</v>
      </c>
      <c r="H5" s="15" t="s">
        <v>893</v>
      </c>
      <c r="I5" s="31"/>
      <c r="J5" s="31"/>
      <c r="K5" s="31"/>
      <c r="L5" s="31"/>
      <c r="M5" s="31"/>
      <c r="N5" s="31"/>
      <c r="O5" s="31"/>
      <c r="P5" s="31"/>
      <c r="Q5" s="32"/>
      <c r="R5" s="31"/>
      <c r="S5" s="31"/>
      <c r="T5" s="1"/>
      <c r="U5" s="1"/>
    </row>
    <row x14ac:dyDescent="0.25" r="6" customHeight="1" ht="18.75">
      <c r="A6" s="1" t="s">
        <v>894</v>
      </c>
      <c r="B6" s="31">
        <f>DATE(YEAR(C6), MONTH(C6), DAY(C6))</f>
        <v>25569.041666666668</v>
      </c>
      <c r="C6" s="15" t="s">
        <v>895</v>
      </c>
      <c r="D6" s="15" t="s">
        <v>896</v>
      </c>
      <c r="E6" s="15" t="s">
        <v>897</v>
      </c>
      <c r="F6" s="15" t="s">
        <v>898</v>
      </c>
      <c r="G6" s="15" t="s">
        <v>899</v>
      </c>
      <c r="H6" s="15" t="s">
        <v>900</v>
      </c>
      <c r="I6" s="31"/>
      <c r="J6" s="31"/>
      <c r="K6" s="31"/>
      <c r="L6" s="31"/>
      <c r="M6" s="31"/>
      <c r="N6" s="31"/>
      <c r="O6" s="31"/>
      <c r="P6" s="31"/>
      <c r="Q6" s="32"/>
      <c r="R6" s="31"/>
      <c r="S6" s="31"/>
      <c r="T6" s="1"/>
      <c r="U6" s="1"/>
    </row>
    <row x14ac:dyDescent="0.25" r="7" customHeight="1" ht="18.75">
      <c r="A7" s="1" t="s">
        <v>901</v>
      </c>
      <c r="B7" s="31">
        <f>DATE(YEAR(C7), MONTH(C7), DAY(C7))</f>
        <v>25569.041666666668</v>
      </c>
      <c r="C7" s="15" t="s">
        <v>902</v>
      </c>
      <c r="D7" s="15" t="s">
        <v>903</v>
      </c>
      <c r="E7" s="15" t="s">
        <v>904</v>
      </c>
      <c r="F7" s="15" t="s">
        <v>905</v>
      </c>
      <c r="G7" s="15" t="s">
        <v>906</v>
      </c>
      <c r="H7" s="15" t="s">
        <v>907</v>
      </c>
      <c r="I7" s="31"/>
      <c r="J7" s="31"/>
      <c r="K7" s="31"/>
      <c r="L7" s="31"/>
      <c r="M7" s="31"/>
      <c r="N7" s="31"/>
      <c r="O7" s="31"/>
      <c r="P7" s="31"/>
      <c r="Q7" s="32"/>
      <c r="R7" s="31"/>
      <c r="S7" s="31"/>
      <c r="T7" s="1"/>
      <c r="U7" s="1"/>
    </row>
    <row x14ac:dyDescent="0.25" r="8" customHeight="1" ht="18.75">
      <c r="A8" s="1" t="s">
        <v>908</v>
      </c>
      <c r="B8" s="31">
        <f>DATE(YEAR(C8), MONTH(C8), DAY(C8))</f>
        <v>25569.041666666668</v>
      </c>
      <c r="C8" s="15" t="s">
        <v>909</v>
      </c>
      <c r="D8" s="15" t="s">
        <v>910</v>
      </c>
      <c r="E8" s="15" t="s">
        <v>911</v>
      </c>
      <c r="F8" s="15" t="s">
        <v>912</v>
      </c>
      <c r="G8" s="15" t="s">
        <v>913</v>
      </c>
      <c r="H8" s="15" t="s">
        <v>914</v>
      </c>
      <c r="I8" s="15" t="s">
        <v>915</v>
      </c>
      <c r="J8" s="15" t="s">
        <v>916</v>
      </c>
      <c r="K8" s="15" t="s">
        <v>917</v>
      </c>
      <c r="L8" s="15" t="s">
        <v>918</v>
      </c>
      <c r="M8" s="15" t="s">
        <v>919</v>
      </c>
      <c r="N8" s="15" t="s">
        <v>920</v>
      </c>
      <c r="O8" s="15" t="s">
        <v>889</v>
      </c>
      <c r="P8" s="15" t="s">
        <v>891</v>
      </c>
      <c r="Q8" s="20" t="s">
        <v>892</v>
      </c>
      <c r="R8" s="28" t="s">
        <v>893</v>
      </c>
      <c r="S8" s="31"/>
      <c r="T8" s="1"/>
      <c r="U8" s="1"/>
    </row>
    <row x14ac:dyDescent="0.25" r="9" customHeight="1" ht="18.75">
      <c r="A9" s="1" t="s">
        <v>921</v>
      </c>
      <c r="B9" s="31">
        <f>DATE(YEAR(C9), MONTH(C9), DAY(C9))</f>
        <v>25569.041666666668</v>
      </c>
      <c r="C9" s="15" t="s">
        <v>922</v>
      </c>
      <c r="D9" s="15" t="s">
        <v>923</v>
      </c>
      <c r="E9" s="15" t="s">
        <v>504</v>
      </c>
      <c r="F9" s="15" t="s">
        <v>924</v>
      </c>
      <c r="G9" s="15" t="s">
        <v>506</v>
      </c>
      <c r="H9" s="15" t="s">
        <v>507</v>
      </c>
      <c r="I9" s="15" t="s">
        <v>925</v>
      </c>
      <c r="J9" s="15" t="s">
        <v>926</v>
      </c>
      <c r="K9" s="15" t="s">
        <v>927</v>
      </c>
      <c r="L9" s="31"/>
      <c r="M9" s="31"/>
      <c r="N9" s="31"/>
      <c r="O9" s="31"/>
      <c r="P9" s="31"/>
      <c r="Q9" s="32"/>
      <c r="R9" s="31"/>
      <c r="S9" s="31"/>
      <c r="T9" s="1"/>
      <c r="U9" s="1"/>
    </row>
    <row x14ac:dyDescent="0.25" r="10" customHeight="1" ht="18.75">
      <c r="A10" s="34" t="s">
        <v>928</v>
      </c>
      <c r="B10" s="35">
        <f>DATE(YEAR(C10), MONTH(C10), DAY(C10))</f>
        <v>25569.041666666668</v>
      </c>
      <c r="C10" s="36" t="s">
        <v>929</v>
      </c>
      <c r="D10" s="36" t="s">
        <v>929</v>
      </c>
      <c r="E10" s="37" t="s">
        <v>930</v>
      </c>
      <c r="F10" s="37" t="s">
        <v>931</v>
      </c>
      <c r="G10" s="37" t="s">
        <v>932</v>
      </c>
      <c r="H10" s="37" t="s">
        <v>933</v>
      </c>
      <c r="I10" s="37" t="s">
        <v>934</v>
      </c>
      <c r="J10" s="37" t="s">
        <v>935</v>
      </c>
      <c r="K10" s="35"/>
      <c r="L10" s="35"/>
      <c r="M10" s="35"/>
      <c r="N10" s="35"/>
      <c r="O10" s="35"/>
      <c r="P10" s="35"/>
      <c r="Q10" s="35"/>
      <c r="R10" s="35"/>
      <c r="S10" s="35"/>
      <c r="T10" s="1"/>
      <c r="U10" s="1"/>
    </row>
    <row x14ac:dyDescent="0.25" r="11" customHeight="1" ht="18.75">
      <c r="A11" s="1" t="s">
        <v>936</v>
      </c>
      <c r="B11" s="31">
        <f>DATE(YEAR(C11), MONTH(C11), DAY(C11))</f>
        <v>25569.041666666668</v>
      </c>
      <c r="C11" s="15" t="s">
        <v>937</v>
      </c>
      <c r="D11" s="15" t="s">
        <v>938</v>
      </c>
      <c r="E11" s="15" t="s">
        <v>939</v>
      </c>
      <c r="F11" s="15" t="s">
        <v>940</v>
      </c>
      <c r="G11" s="15" t="s">
        <v>941</v>
      </c>
      <c r="H11" s="15" t="s">
        <v>942</v>
      </c>
      <c r="I11" s="15" t="s">
        <v>943</v>
      </c>
      <c r="J11" s="15" t="s">
        <v>944</v>
      </c>
      <c r="K11" s="31"/>
      <c r="L11" s="31"/>
      <c r="M11" s="31"/>
      <c r="N11" s="31"/>
      <c r="O11" s="31"/>
      <c r="P11" s="31"/>
      <c r="Q11" s="32"/>
      <c r="R11" s="31"/>
      <c r="S11" s="31"/>
      <c r="T11" s="1"/>
      <c r="U11" s="1"/>
    </row>
    <row x14ac:dyDescent="0.25" r="12" customHeight="1" ht="18.75">
      <c r="A12" s="1" t="s">
        <v>945</v>
      </c>
      <c r="B12" s="31">
        <f>DATE(YEAR(C12), MONTH(C12), DAY(C12))</f>
        <v>25569.041666666668</v>
      </c>
      <c r="C12" s="15" t="s">
        <v>946</v>
      </c>
      <c r="D12" s="15" t="s">
        <v>947</v>
      </c>
      <c r="E12" s="15" t="s">
        <v>948</v>
      </c>
      <c r="F12" s="15" t="s">
        <v>949</v>
      </c>
      <c r="G12" s="15" t="s">
        <v>950</v>
      </c>
      <c r="H12" s="15" t="s">
        <v>951</v>
      </c>
      <c r="I12" s="15" t="s">
        <v>952</v>
      </c>
      <c r="J12" s="31"/>
      <c r="K12" s="31"/>
      <c r="L12" s="31"/>
      <c r="M12" s="31"/>
      <c r="N12" s="31"/>
      <c r="O12" s="31"/>
      <c r="P12" s="31"/>
      <c r="Q12" s="32"/>
      <c r="R12" s="31"/>
      <c r="S12" s="31"/>
      <c r="T12" s="1"/>
      <c r="U12" s="1"/>
    </row>
    <row x14ac:dyDescent="0.25" r="13" customHeight="1" ht="18.75">
      <c r="A13" s="1" t="s">
        <v>953</v>
      </c>
      <c r="B13" s="31">
        <f>DATE(YEAR(C13), MONTH(C13), DAY(C13))</f>
        <v>25569.041666666668</v>
      </c>
      <c r="C13" s="15" t="s">
        <v>954</v>
      </c>
      <c r="D13" s="15" t="s">
        <v>955</v>
      </c>
      <c r="E13" s="15" t="s">
        <v>956</v>
      </c>
      <c r="F13" s="15" t="s">
        <v>93</v>
      </c>
      <c r="G13" s="15" t="s">
        <v>957</v>
      </c>
      <c r="H13" s="15" t="s">
        <v>94</v>
      </c>
      <c r="I13" s="15" t="s">
        <v>95</v>
      </c>
      <c r="J13" s="15" t="s">
        <v>958</v>
      </c>
      <c r="K13" s="15" t="s">
        <v>96</v>
      </c>
      <c r="L13" s="15" t="s">
        <v>959</v>
      </c>
      <c r="M13" s="15" t="s">
        <v>98</v>
      </c>
      <c r="N13" s="15" t="s">
        <v>99</v>
      </c>
      <c r="O13" s="15" t="s">
        <v>960</v>
      </c>
      <c r="P13" s="31"/>
      <c r="Q13" s="32"/>
      <c r="R13" s="31"/>
      <c r="S13" s="31"/>
      <c r="T13" s="1"/>
      <c r="U13" s="1"/>
    </row>
    <row x14ac:dyDescent="0.25" r="14" customHeight="1" ht="18.75">
      <c r="A14" s="1" t="s">
        <v>961</v>
      </c>
      <c r="B14" s="31">
        <f>DATE(YEAR(C14), MONTH(C14), DAY(C14))</f>
        <v>25569.041666666668</v>
      </c>
      <c r="C14" s="15" t="s">
        <v>962</v>
      </c>
      <c r="D14" s="15" t="s">
        <v>963</v>
      </c>
      <c r="E14" s="15" t="s">
        <v>964</v>
      </c>
      <c r="F14" s="15" t="s">
        <v>965</v>
      </c>
      <c r="G14" s="15" t="s">
        <v>966</v>
      </c>
      <c r="H14" s="15" t="s">
        <v>967</v>
      </c>
      <c r="I14" s="15" t="s">
        <v>968</v>
      </c>
      <c r="J14" s="15" t="s">
        <v>969</v>
      </c>
      <c r="K14" s="15" t="s">
        <v>970</v>
      </c>
      <c r="L14" s="15" t="s">
        <v>971</v>
      </c>
      <c r="M14" s="31"/>
      <c r="N14" s="31"/>
      <c r="O14" s="31"/>
      <c r="P14" s="31"/>
      <c r="Q14" s="32"/>
      <c r="R14" s="31"/>
      <c r="S14" s="31"/>
      <c r="T14" s="1"/>
      <c r="U14" s="1"/>
    </row>
    <row x14ac:dyDescent="0.25" r="15" customHeight="1" ht="18.75">
      <c r="A15" s="1" t="s">
        <v>972</v>
      </c>
      <c r="B15" s="31">
        <f>DATE(YEAR(C15), MONTH(C15), DAY(C15))</f>
        <v>25569.041666666668</v>
      </c>
      <c r="C15" s="15" t="s">
        <v>973</v>
      </c>
      <c r="D15" s="15" t="s">
        <v>974</v>
      </c>
      <c r="E15" s="15" t="s">
        <v>975</v>
      </c>
      <c r="F15" s="15" t="s">
        <v>976</v>
      </c>
      <c r="G15" s="15" t="s">
        <v>977</v>
      </c>
      <c r="H15" s="31"/>
      <c r="I15" s="31"/>
      <c r="J15" s="31"/>
      <c r="K15" s="31"/>
      <c r="L15" s="31"/>
      <c r="M15" s="31"/>
      <c r="N15" s="31"/>
      <c r="O15" s="31"/>
      <c r="P15" s="31"/>
      <c r="Q15" s="32"/>
      <c r="R15" s="31"/>
      <c r="S15" s="31"/>
      <c r="T15" s="1"/>
      <c r="U15" s="1"/>
    </row>
    <row x14ac:dyDescent="0.25" r="16" customHeight="1" ht="18.75">
      <c r="A16" s="1" t="s">
        <v>978</v>
      </c>
      <c r="B16" s="31">
        <f>DATE(YEAR(C16), MONTH(C16), DAY(C16))</f>
        <v>25569.041666666668</v>
      </c>
      <c r="C16" s="15" t="s">
        <v>979</v>
      </c>
      <c r="D16" s="15" t="s">
        <v>980</v>
      </c>
      <c r="E16" s="15" t="s">
        <v>181</v>
      </c>
      <c r="F16" s="15" t="s">
        <v>182</v>
      </c>
      <c r="G16" s="15" t="s">
        <v>981</v>
      </c>
      <c r="H16" s="31"/>
      <c r="I16" s="31"/>
      <c r="J16" s="31"/>
      <c r="K16" s="31"/>
      <c r="L16" s="31"/>
      <c r="M16" s="31"/>
      <c r="N16" s="31"/>
      <c r="O16" s="31"/>
      <c r="P16" s="31"/>
      <c r="Q16" s="32"/>
      <c r="R16" s="31"/>
      <c r="S16" s="31"/>
      <c r="T16" s="1"/>
      <c r="U16" s="1"/>
    </row>
    <row x14ac:dyDescent="0.25" r="17" customHeight="1" ht="18.75">
      <c r="A17" s="1" t="s">
        <v>982</v>
      </c>
      <c r="B17" s="31">
        <f>DATE(YEAR(C17), MONTH(C17), DAY(C17))</f>
        <v>25569.041666666668</v>
      </c>
      <c r="C17" s="15" t="s">
        <v>983</v>
      </c>
      <c r="D17" s="15" t="s">
        <v>984</v>
      </c>
      <c r="E17" s="15" t="s">
        <v>985</v>
      </c>
      <c r="F17" s="15" t="s">
        <v>140</v>
      </c>
      <c r="G17" s="15" t="s">
        <v>986</v>
      </c>
      <c r="H17" s="15" t="s">
        <v>987</v>
      </c>
      <c r="I17" s="15" t="s">
        <v>988</v>
      </c>
      <c r="J17" s="31"/>
      <c r="K17" s="31"/>
      <c r="L17" s="31"/>
      <c r="M17" s="31"/>
      <c r="N17" s="31"/>
      <c r="O17" s="31"/>
      <c r="P17" s="31"/>
      <c r="Q17" s="32"/>
      <c r="R17" s="31"/>
      <c r="S17" s="31"/>
      <c r="T17" s="1"/>
      <c r="U17" s="1"/>
    </row>
    <row x14ac:dyDescent="0.25" r="18" customHeight="1" ht="18.75">
      <c r="A18" s="1" t="s">
        <v>989</v>
      </c>
      <c r="B18" s="31">
        <f>DATE(YEAR(C18), MONTH(C18), DAY(C18))</f>
        <v>25569.041666666668</v>
      </c>
      <c r="C18" s="15" t="s">
        <v>990</v>
      </c>
      <c r="D18" s="15" t="s">
        <v>991</v>
      </c>
      <c r="E18" s="15" t="s">
        <v>992</v>
      </c>
      <c r="F18" s="15" t="s">
        <v>993</v>
      </c>
      <c r="G18" s="15" t="s">
        <v>994</v>
      </c>
      <c r="H18" s="31"/>
      <c r="I18" s="31"/>
      <c r="J18" s="31"/>
      <c r="K18" s="31"/>
      <c r="L18" s="31"/>
      <c r="M18" s="31"/>
      <c r="N18" s="31"/>
      <c r="O18" s="31"/>
      <c r="P18" s="31"/>
      <c r="Q18" s="32"/>
      <c r="R18" s="31"/>
      <c r="S18" s="31"/>
      <c r="T18" s="1"/>
      <c r="U18" s="1"/>
    </row>
    <row x14ac:dyDescent="0.25" r="19" customHeight="1" ht="18.75">
      <c r="A19" s="1" t="s">
        <v>995</v>
      </c>
      <c r="B19" s="31">
        <f>DATE(YEAR(C19), MONTH(C19), DAY(C19))</f>
        <v>25569.041666666668</v>
      </c>
      <c r="C19" s="15" t="s">
        <v>996</v>
      </c>
      <c r="D19" s="15" t="s">
        <v>997</v>
      </c>
      <c r="E19" s="15" t="s">
        <v>943</v>
      </c>
      <c r="F19" s="15" t="s">
        <v>944</v>
      </c>
      <c r="G19" s="15" t="s">
        <v>998</v>
      </c>
      <c r="H19" s="15" t="s">
        <v>999</v>
      </c>
      <c r="I19" s="15" t="s">
        <v>1000</v>
      </c>
      <c r="J19" s="15" t="s">
        <v>1001</v>
      </c>
      <c r="K19" s="15" t="s">
        <v>1002</v>
      </c>
      <c r="L19" s="15" t="s">
        <v>1003</v>
      </c>
      <c r="M19" s="15" t="s">
        <v>1004</v>
      </c>
      <c r="N19" s="31"/>
      <c r="O19" s="31"/>
      <c r="P19" s="31"/>
      <c r="Q19" s="32"/>
      <c r="R19" s="31"/>
      <c r="S19" s="31"/>
      <c r="T19" s="1"/>
      <c r="U19" s="1"/>
    </row>
    <row x14ac:dyDescent="0.25" r="20" customHeight="1" ht="18.75">
      <c r="A20" s="1" t="s">
        <v>1005</v>
      </c>
      <c r="B20" s="31">
        <f>DATE(YEAR(C20), MONTH(C20), DAY(C20))</f>
        <v>25569.041666666668</v>
      </c>
      <c r="C20" s="15" t="s">
        <v>1006</v>
      </c>
      <c r="D20" s="15" t="s">
        <v>1007</v>
      </c>
      <c r="E20" s="15" t="s">
        <v>1008</v>
      </c>
      <c r="F20" s="15" t="s">
        <v>1009</v>
      </c>
      <c r="G20" s="15" t="s">
        <v>1010</v>
      </c>
      <c r="H20" s="15" t="s">
        <v>1011</v>
      </c>
      <c r="I20" s="15" t="s">
        <v>1012</v>
      </c>
      <c r="J20" s="15" t="s">
        <v>1013</v>
      </c>
      <c r="K20" s="15" t="s">
        <v>1014</v>
      </c>
      <c r="L20" s="15" t="s">
        <v>1015</v>
      </c>
      <c r="M20" s="15" t="s">
        <v>1016</v>
      </c>
      <c r="N20" s="31"/>
      <c r="O20" s="31"/>
      <c r="P20" s="31"/>
      <c r="Q20" s="32"/>
      <c r="R20" s="31"/>
      <c r="S20" s="31"/>
      <c r="T20" s="1"/>
      <c r="U20" s="1"/>
    </row>
    <row x14ac:dyDescent="0.25" r="21" customHeight="1" ht="18.75">
      <c r="A21" s="1" t="s">
        <v>1017</v>
      </c>
      <c r="B21" s="31">
        <f>DATE(YEAR(C21), MONTH(C21), DAY(C21))</f>
        <v>25569.041666666668</v>
      </c>
      <c r="C21" s="15" t="s">
        <v>1018</v>
      </c>
      <c r="D21" s="15" t="s">
        <v>1019</v>
      </c>
      <c r="E21" s="15" t="s">
        <v>1020</v>
      </c>
      <c r="F21" s="15" t="s">
        <v>543</v>
      </c>
      <c r="G21" s="15" t="s">
        <v>544</v>
      </c>
      <c r="H21" s="15" t="s">
        <v>545</v>
      </c>
      <c r="I21" s="31"/>
      <c r="J21" s="31"/>
      <c r="K21" s="31"/>
      <c r="L21" s="31"/>
      <c r="M21" s="31"/>
      <c r="N21" s="31"/>
      <c r="O21" s="31"/>
      <c r="P21" s="31"/>
      <c r="Q21" s="32"/>
      <c r="R21" s="31"/>
      <c r="S21" s="31"/>
      <c r="T21" s="1"/>
      <c r="U21" s="1"/>
    </row>
    <row x14ac:dyDescent="0.25" r="22" customHeight="1" ht="18.75">
      <c r="A22" s="1" t="s">
        <v>1021</v>
      </c>
      <c r="B22" s="31">
        <f>DATE(YEAR(C22), MONTH(C22), DAY(C22))</f>
        <v>25569.041666666668</v>
      </c>
      <c r="C22" s="15" t="s">
        <v>1022</v>
      </c>
      <c r="D22" s="15" t="s">
        <v>1023</v>
      </c>
      <c r="E22" s="15" t="s">
        <v>1024</v>
      </c>
      <c r="F22" s="15" t="s">
        <v>405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2"/>
      <c r="R22" s="31"/>
      <c r="S22" s="31"/>
      <c r="T22" s="1"/>
      <c r="U22" s="1"/>
    </row>
    <row x14ac:dyDescent="0.25" r="23" customHeight="1" ht="18.75">
      <c r="A23" s="1" t="s">
        <v>1025</v>
      </c>
      <c r="B23" s="31">
        <f>DATE(YEAR(C23), MONTH(C23), DAY(C23))</f>
        <v>25569.041666666668</v>
      </c>
      <c r="C23" s="15" t="s">
        <v>1026</v>
      </c>
      <c r="D23" s="15" t="s">
        <v>1027</v>
      </c>
      <c r="E23" s="15" t="s">
        <v>1028</v>
      </c>
      <c r="F23" s="15" t="s">
        <v>1029</v>
      </c>
      <c r="G23" s="15" t="s">
        <v>1030</v>
      </c>
      <c r="H23" s="15" t="s">
        <v>1031</v>
      </c>
      <c r="I23" s="15" t="s">
        <v>1032</v>
      </c>
      <c r="J23" s="15" t="s">
        <v>1033</v>
      </c>
      <c r="K23" s="31"/>
      <c r="L23" s="31"/>
      <c r="M23" s="31"/>
      <c r="N23" s="31"/>
      <c r="O23" s="31"/>
      <c r="P23" s="32"/>
      <c r="Q23" s="31"/>
      <c r="R23" s="31"/>
      <c r="S23" s="1"/>
      <c r="T23" s="1"/>
      <c r="U23" s="1"/>
    </row>
    <row x14ac:dyDescent="0.25" r="24" customHeight="1" ht="18.75">
      <c r="A24" s="1" t="s">
        <v>1034</v>
      </c>
      <c r="B24" s="31">
        <f>DATE(YEAR(C24), MONTH(C24), DAY(C24))</f>
        <v>25569.041666666668</v>
      </c>
      <c r="C24" s="15" t="s">
        <v>1035</v>
      </c>
      <c r="D24" s="15" t="s">
        <v>1036</v>
      </c>
      <c r="E24" s="15" t="s">
        <v>1037</v>
      </c>
      <c r="F24" s="15" t="s">
        <v>1038</v>
      </c>
      <c r="G24" s="15" t="s">
        <v>1039</v>
      </c>
      <c r="H24" s="15" t="s">
        <v>1040</v>
      </c>
      <c r="I24" s="15" t="s">
        <v>1041</v>
      </c>
      <c r="J24" s="15" t="s">
        <v>1042</v>
      </c>
      <c r="K24" s="15" t="s">
        <v>1043</v>
      </c>
      <c r="L24" s="15" t="s">
        <v>1044</v>
      </c>
      <c r="M24" s="15" t="s">
        <v>1045</v>
      </c>
      <c r="N24" s="15" t="s">
        <v>1046</v>
      </c>
      <c r="O24" s="15" t="s">
        <v>1047</v>
      </c>
      <c r="P24" s="31"/>
      <c r="Q24" s="32"/>
      <c r="R24" s="31"/>
      <c r="S24" s="31"/>
      <c r="T24" s="1"/>
      <c r="U24" s="1"/>
    </row>
    <row x14ac:dyDescent="0.25" r="25" customHeight="1" ht="18.75">
      <c r="A25" s="1" t="s">
        <v>1048</v>
      </c>
      <c r="B25" s="31">
        <f>DATE(YEAR(C25), MONTH(C25), DAY(C25))</f>
        <v>25569.041666666668</v>
      </c>
      <c r="C25" s="15" t="s">
        <v>1049</v>
      </c>
      <c r="D25" s="15" t="s">
        <v>1050</v>
      </c>
      <c r="E25" s="15" t="s">
        <v>1051</v>
      </c>
      <c r="F25" s="15" t="s">
        <v>1007</v>
      </c>
      <c r="G25" s="15" t="s">
        <v>1052</v>
      </c>
      <c r="H25" s="31"/>
      <c r="I25" s="31"/>
      <c r="J25" s="31"/>
      <c r="K25" s="31"/>
      <c r="L25" s="31"/>
      <c r="M25" s="31"/>
      <c r="N25" s="31"/>
      <c r="O25" s="31"/>
      <c r="P25" s="31"/>
      <c r="Q25" s="32"/>
      <c r="R25" s="31"/>
      <c r="S25" s="31"/>
      <c r="T25" s="1"/>
      <c r="U25" s="1"/>
    </row>
    <row x14ac:dyDescent="0.25" r="26" customHeight="1" ht="18.75">
      <c r="A26" s="1" t="s">
        <v>1053</v>
      </c>
      <c r="B26" s="31">
        <f>DATE(YEAR(C26), MONTH(C26), DAY(C26))</f>
        <v>25569.041666666668</v>
      </c>
      <c r="C26" s="15" t="s">
        <v>1054</v>
      </c>
      <c r="D26" s="15" t="s">
        <v>1055</v>
      </c>
      <c r="E26" s="15" t="s">
        <v>1056</v>
      </c>
      <c r="F26" s="15" t="s">
        <v>1057</v>
      </c>
      <c r="G26" s="15" t="s">
        <v>1058</v>
      </c>
      <c r="H26" s="15" t="s">
        <v>1059</v>
      </c>
      <c r="I26" s="15" t="s">
        <v>1060</v>
      </c>
      <c r="J26" s="15" t="s">
        <v>1061</v>
      </c>
      <c r="K26" s="15" t="s">
        <v>1062</v>
      </c>
      <c r="L26" s="15" t="s">
        <v>1063</v>
      </c>
      <c r="M26" s="15" t="s">
        <v>1064</v>
      </c>
      <c r="N26" s="15" t="s">
        <v>1065</v>
      </c>
      <c r="O26" s="31"/>
      <c r="P26" s="31"/>
      <c r="Q26" s="32"/>
      <c r="R26" s="31"/>
      <c r="S26" s="31"/>
      <c r="T26" s="1"/>
      <c r="U26" s="1"/>
    </row>
    <row x14ac:dyDescent="0.25" r="27" customHeight="1" ht="18.75">
      <c r="A27" s="1" t="s">
        <v>1066</v>
      </c>
      <c r="B27" s="31">
        <f>DATE(YEAR(C27), MONTH(C27), DAY(C27))</f>
        <v>25569.041666666668</v>
      </c>
      <c r="C27" s="15" t="s">
        <v>1067</v>
      </c>
      <c r="D27" s="15" t="s">
        <v>1068</v>
      </c>
      <c r="E27" s="15" t="s">
        <v>1069</v>
      </c>
      <c r="F27" s="15" t="s">
        <v>1070</v>
      </c>
      <c r="G27" s="15" t="s">
        <v>1071</v>
      </c>
      <c r="H27" s="15" t="s">
        <v>1072</v>
      </c>
      <c r="I27" s="15" t="s">
        <v>1073</v>
      </c>
      <c r="J27" s="31"/>
      <c r="K27" s="31"/>
      <c r="L27" s="31"/>
      <c r="M27" s="31"/>
      <c r="N27" s="31"/>
      <c r="O27" s="31"/>
      <c r="P27" s="31"/>
      <c r="Q27" s="32"/>
      <c r="R27" s="31"/>
      <c r="S27" s="31"/>
      <c r="T27" s="1"/>
      <c r="U27" s="1"/>
    </row>
    <row x14ac:dyDescent="0.25" r="28" customHeight="1" ht="18.75">
      <c r="A28" s="1" t="s">
        <v>1074</v>
      </c>
      <c r="B28" s="31">
        <f>DATE(YEAR(C28), MONTH(C28), DAY(C28))</f>
        <v>25569.041666666668</v>
      </c>
      <c r="C28" s="15" t="s">
        <v>1075</v>
      </c>
      <c r="D28" s="15" t="s">
        <v>1076</v>
      </c>
      <c r="E28" s="15" t="s">
        <v>1077</v>
      </c>
      <c r="F28" s="15" t="s">
        <v>1078</v>
      </c>
      <c r="G28" s="15" t="s">
        <v>1079</v>
      </c>
      <c r="H28" s="15" t="s">
        <v>1080</v>
      </c>
      <c r="I28" s="15" t="s">
        <v>1081</v>
      </c>
      <c r="J28" s="31"/>
      <c r="K28" s="31"/>
      <c r="L28" s="31"/>
      <c r="M28" s="31"/>
      <c r="N28" s="31"/>
      <c r="O28" s="31"/>
      <c r="P28" s="31"/>
      <c r="Q28" s="32"/>
      <c r="R28" s="31"/>
      <c r="S28" s="31"/>
      <c r="T28" s="1"/>
      <c r="U28" s="1"/>
    </row>
    <row x14ac:dyDescent="0.25" r="29" customHeight="1" ht="18.75">
      <c r="A29" s="1" t="s">
        <v>1082</v>
      </c>
      <c r="B29" s="31">
        <f>DATE(YEAR(C29), MONTH(C29), DAY(C29))</f>
        <v>25569.041666666668</v>
      </c>
      <c r="C29" s="15" t="s">
        <v>1083</v>
      </c>
      <c r="D29" s="15" t="s">
        <v>1084</v>
      </c>
      <c r="E29" s="15" t="s">
        <v>1085</v>
      </c>
      <c r="F29" s="15" t="s">
        <v>1086</v>
      </c>
      <c r="G29" s="15" t="s">
        <v>1087</v>
      </c>
      <c r="H29" s="15" t="s">
        <v>1088</v>
      </c>
      <c r="I29" s="15" t="s">
        <v>1089</v>
      </c>
      <c r="J29" s="15" t="s">
        <v>1090</v>
      </c>
      <c r="K29" s="15" t="s">
        <v>1091</v>
      </c>
      <c r="L29" s="15" t="s">
        <v>1092</v>
      </c>
      <c r="M29" s="15" t="s">
        <v>1093</v>
      </c>
      <c r="N29" s="15" t="s">
        <v>1094</v>
      </c>
      <c r="O29" s="31"/>
      <c r="P29" s="31"/>
      <c r="Q29" s="32"/>
      <c r="R29" s="31"/>
      <c r="S29" s="31"/>
      <c r="T29" s="1"/>
      <c r="U29" s="1"/>
    </row>
    <row x14ac:dyDescent="0.25" r="30" customHeight="1" ht="18.75">
      <c r="A30" s="34" t="s">
        <v>1095</v>
      </c>
      <c r="B30" s="35">
        <f>DATE(YEAR(C30), MONTH(C30), DAY(C30))</f>
        <v>25569.041666666668</v>
      </c>
      <c r="C30" s="37" t="s">
        <v>1096</v>
      </c>
      <c r="D30" s="36" t="s">
        <v>1097</v>
      </c>
      <c r="E30" s="36" t="s">
        <v>1097</v>
      </c>
      <c r="F30" s="37" t="s">
        <v>1098</v>
      </c>
      <c r="G30" s="37" t="s">
        <v>1099</v>
      </c>
      <c r="H30" s="37" t="s">
        <v>1100</v>
      </c>
      <c r="I30" s="37" t="s">
        <v>1101</v>
      </c>
      <c r="J30" s="37" t="s">
        <v>1102</v>
      </c>
      <c r="K30" s="37" t="s">
        <v>1103</v>
      </c>
      <c r="L30" s="35"/>
      <c r="M30" s="35"/>
      <c r="N30" s="35"/>
      <c r="O30" s="35"/>
      <c r="P30" s="35"/>
      <c r="Q30" s="35"/>
      <c r="R30" s="35"/>
      <c r="S30" s="35"/>
      <c r="T30" s="1"/>
      <c r="U30" s="1"/>
    </row>
    <row x14ac:dyDescent="0.25" r="31" customHeight="1" ht="18.75">
      <c r="A31" s="1" t="s">
        <v>1104</v>
      </c>
      <c r="B31" s="31">
        <f>DATE(YEAR(C31), MONTH(C31), DAY(C31))</f>
        <v>25569.041666666668</v>
      </c>
      <c r="C31" s="15" t="s">
        <v>1105</v>
      </c>
      <c r="D31" s="15" t="s">
        <v>1106</v>
      </c>
      <c r="E31" s="15" t="s">
        <v>1107</v>
      </c>
      <c r="F31" s="15" t="s">
        <v>1108</v>
      </c>
      <c r="G31" s="15" t="s">
        <v>1109</v>
      </c>
      <c r="H31" s="15" t="s">
        <v>1110</v>
      </c>
      <c r="I31" s="15" t="s">
        <v>1111</v>
      </c>
      <c r="J31" s="15" t="s">
        <v>1112</v>
      </c>
      <c r="K31" s="31"/>
      <c r="L31" s="31"/>
      <c r="M31" s="31"/>
      <c r="N31" s="31"/>
      <c r="O31" s="31"/>
      <c r="P31" s="31"/>
      <c r="Q31" s="32"/>
      <c r="R31" s="31"/>
      <c r="S31" s="31"/>
      <c r="T31" s="1"/>
      <c r="U31" s="1"/>
    </row>
    <row x14ac:dyDescent="0.25" r="32" customHeight="1" ht="18.75">
      <c r="A32" s="1" t="s">
        <v>1113</v>
      </c>
      <c r="B32" s="31">
        <f>DATE(YEAR(C32), MONTH(C32), DAY(C32))</f>
        <v>25569.041666666668</v>
      </c>
      <c r="C32" s="15" t="s">
        <v>1114</v>
      </c>
      <c r="D32" s="15" t="s">
        <v>1115</v>
      </c>
      <c r="E32" s="15" t="s">
        <v>1116</v>
      </c>
      <c r="F32" s="15" t="s">
        <v>1117</v>
      </c>
      <c r="G32" s="15" t="s">
        <v>1118</v>
      </c>
      <c r="H32" s="15" t="s">
        <v>1119</v>
      </c>
      <c r="I32" s="15" t="s">
        <v>1120</v>
      </c>
      <c r="J32" s="31"/>
      <c r="K32" s="31"/>
      <c r="L32" s="31"/>
      <c r="M32" s="31"/>
      <c r="N32" s="31"/>
      <c r="O32" s="31"/>
      <c r="P32" s="31"/>
      <c r="Q32" s="32"/>
      <c r="R32" s="31"/>
      <c r="S32" s="31"/>
      <c r="T32" s="1"/>
      <c r="U32" s="1"/>
    </row>
    <row x14ac:dyDescent="0.25" r="33" customHeight="1" ht="18.75">
      <c r="A33" s="1" t="s">
        <v>1121</v>
      </c>
      <c r="B33" s="31">
        <f>DATE(YEAR(C33), MONTH(C33), DAY(C33))</f>
        <v>25569.041666666668</v>
      </c>
      <c r="C33" s="15" t="s">
        <v>1122</v>
      </c>
      <c r="D33" s="15" t="s">
        <v>1123</v>
      </c>
      <c r="E33" s="15" t="s">
        <v>1124</v>
      </c>
      <c r="F33" s="15" t="s">
        <v>1125</v>
      </c>
      <c r="G33" s="15" t="s">
        <v>1126</v>
      </c>
      <c r="H33" s="15" t="s">
        <v>1127</v>
      </c>
      <c r="I33" s="15" t="s">
        <v>1128</v>
      </c>
      <c r="J33" s="15" t="s">
        <v>1129</v>
      </c>
      <c r="K33" s="15" t="s">
        <v>1130</v>
      </c>
      <c r="L33" s="15" t="s">
        <v>1131</v>
      </c>
      <c r="M33" s="31"/>
      <c r="N33" s="31"/>
      <c r="O33" s="31"/>
      <c r="P33" s="31"/>
      <c r="Q33" s="32"/>
      <c r="R33" s="31"/>
      <c r="S33" s="31"/>
      <c r="T33" s="1"/>
      <c r="U33" s="1"/>
    </row>
    <row x14ac:dyDescent="0.25" r="34" customHeight="1" ht="18.75">
      <c r="A34" s="1" t="s">
        <v>1132</v>
      </c>
      <c r="B34" s="31">
        <f>DATE(YEAR(C34), MONTH(C34), DAY(C34))</f>
        <v>25569.041666666668</v>
      </c>
      <c r="C34" s="15" t="s">
        <v>1133</v>
      </c>
      <c r="D34" s="15" t="s">
        <v>1134</v>
      </c>
      <c r="E34" s="15" t="s">
        <v>322</v>
      </c>
      <c r="F34" s="15" t="s">
        <v>323</v>
      </c>
      <c r="G34" s="15" t="s">
        <v>1135</v>
      </c>
      <c r="H34" s="31"/>
      <c r="I34" s="31"/>
      <c r="J34" s="31"/>
      <c r="K34" s="31"/>
      <c r="L34" s="31"/>
      <c r="M34" s="31"/>
      <c r="N34" s="31"/>
      <c r="O34" s="31"/>
      <c r="P34" s="31"/>
      <c r="Q34" s="32"/>
      <c r="R34" s="31"/>
      <c r="S34" s="31"/>
      <c r="T34" s="1"/>
      <c r="U34" s="1"/>
    </row>
    <row x14ac:dyDescent="0.25" r="35" customHeight="1" ht="18.75">
      <c r="A35" s="1" t="s">
        <v>1136</v>
      </c>
      <c r="B35" s="31">
        <f>DATE(YEAR(C35), MONTH(C35), DAY(C35))</f>
        <v>25569.041666666668</v>
      </c>
      <c r="C35" s="15" t="s">
        <v>1137</v>
      </c>
      <c r="D35" s="15" t="s">
        <v>1125</v>
      </c>
      <c r="E35" s="15" t="s">
        <v>1138</v>
      </c>
      <c r="F35" s="15" t="s">
        <v>1126</v>
      </c>
      <c r="G35" s="15" t="s">
        <v>1127</v>
      </c>
      <c r="H35" s="15" t="s">
        <v>1129</v>
      </c>
      <c r="I35" s="15" t="s">
        <v>1130</v>
      </c>
      <c r="J35" s="31"/>
      <c r="K35" s="31"/>
      <c r="L35" s="31"/>
      <c r="M35" s="31"/>
      <c r="N35" s="31"/>
      <c r="O35" s="31"/>
      <c r="P35" s="31"/>
      <c r="Q35" s="32"/>
      <c r="R35" s="31"/>
      <c r="S35" s="31"/>
      <c r="T35" s="1"/>
      <c r="U35" s="1"/>
    </row>
    <row x14ac:dyDescent="0.25" r="36" customHeight="1" ht="18.75">
      <c r="A36" s="1" t="s">
        <v>1139</v>
      </c>
      <c r="B36" s="31">
        <f>DATE(YEAR(C36), MONTH(C36), DAY(C36))</f>
        <v>25569.041666666668</v>
      </c>
      <c r="C36" s="15" t="s">
        <v>1140</v>
      </c>
      <c r="D36" s="15" t="s">
        <v>1141</v>
      </c>
      <c r="E36" s="15" t="s">
        <v>1142</v>
      </c>
      <c r="F36" s="15" t="s">
        <v>340</v>
      </c>
      <c r="G36" s="15" t="s">
        <v>341</v>
      </c>
      <c r="H36" s="15" t="s">
        <v>342</v>
      </c>
      <c r="I36" s="15" t="s">
        <v>343</v>
      </c>
      <c r="J36" s="31"/>
      <c r="K36" s="31"/>
      <c r="L36" s="31"/>
      <c r="M36" s="31"/>
      <c r="N36" s="31"/>
      <c r="O36" s="31"/>
      <c r="P36" s="32"/>
      <c r="Q36" s="31"/>
      <c r="R36" s="31"/>
      <c r="S36" s="1"/>
      <c r="T36" s="1"/>
      <c r="U36" s="1"/>
    </row>
    <row x14ac:dyDescent="0.25" r="37" customHeight="1" ht="18.75">
      <c r="A37" s="1" t="s">
        <v>1143</v>
      </c>
      <c r="B37" s="31">
        <f>DATE(YEAR(C37), MONTH(C37), DAY(C37))</f>
        <v>25569.041666666668</v>
      </c>
      <c r="C37" s="15" t="s">
        <v>1144</v>
      </c>
      <c r="D37" s="15" t="s">
        <v>1145</v>
      </c>
      <c r="E37" s="15" t="s">
        <v>1146</v>
      </c>
      <c r="F37" s="15" t="s">
        <v>1147</v>
      </c>
      <c r="G37" s="15" t="s">
        <v>1148</v>
      </c>
      <c r="H37" s="15" t="s">
        <v>1149</v>
      </c>
      <c r="I37" s="15" t="s">
        <v>1150</v>
      </c>
      <c r="J37" s="15" t="s">
        <v>1151</v>
      </c>
      <c r="K37" s="31"/>
      <c r="L37" s="31"/>
      <c r="M37" s="31"/>
      <c r="N37" s="31"/>
      <c r="O37" s="31"/>
      <c r="P37" s="31"/>
      <c r="Q37" s="32"/>
      <c r="R37" s="31"/>
      <c r="S37" s="31"/>
      <c r="T37" s="1"/>
      <c r="U37" s="1"/>
    </row>
    <row x14ac:dyDescent="0.25" r="38" customHeight="1" ht="18.75">
      <c r="A38" s="1" t="s">
        <v>1152</v>
      </c>
      <c r="B38" s="31">
        <f>DATE(YEAR(C38), MONTH(C38), DAY(C38))</f>
        <v>25569.041666666668</v>
      </c>
      <c r="C38" s="15" t="s">
        <v>1153</v>
      </c>
      <c r="D38" s="15" t="s">
        <v>1154</v>
      </c>
      <c r="E38" s="15" t="s">
        <v>1155</v>
      </c>
      <c r="F38" s="15" t="s">
        <v>1156</v>
      </c>
      <c r="G38" s="15" t="s">
        <v>1157</v>
      </c>
      <c r="H38" s="15" t="s">
        <v>1158</v>
      </c>
      <c r="I38" s="15" t="s">
        <v>1159</v>
      </c>
      <c r="J38" s="15" t="s">
        <v>1160</v>
      </c>
      <c r="K38" s="15" t="s">
        <v>1161</v>
      </c>
      <c r="L38" s="31"/>
      <c r="M38" s="31"/>
      <c r="N38" s="31"/>
      <c r="O38" s="31"/>
      <c r="P38" s="31"/>
      <c r="Q38" s="32"/>
      <c r="R38" s="31"/>
      <c r="S38" s="31"/>
      <c r="T38" s="1"/>
      <c r="U38" s="1"/>
    </row>
    <row x14ac:dyDescent="0.25" r="39" customHeight="1" ht="18.75">
      <c r="A39" s="1" t="s">
        <v>1162</v>
      </c>
      <c r="B39" s="31">
        <f>DATE(YEAR(C39), MONTH(C39), DAY(C39))</f>
        <v>25569.041666666668</v>
      </c>
      <c r="C39" s="15" t="s">
        <v>1163</v>
      </c>
      <c r="D39" s="15" t="s">
        <v>1164</v>
      </c>
      <c r="E39" s="15" t="s">
        <v>1165</v>
      </c>
      <c r="F39" s="15" t="s">
        <v>1166</v>
      </c>
      <c r="G39" s="15" t="s">
        <v>202</v>
      </c>
      <c r="H39" s="31"/>
      <c r="I39" s="31"/>
      <c r="J39" s="31"/>
      <c r="K39" s="31"/>
      <c r="L39" s="31"/>
      <c r="M39" s="31"/>
      <c r="N39" s="31"/>
      <c r="O39" s="31"/>
      <c r="P39" s="31"/>
      <c r="Q39" s="32"/>
      <c r="R39" s="31"/>
      <c r="S39" s="31"/>
      <c r="T39" s="1"/>
      <c r="U39" s="1"/>
    </row>
    <row x14ac:dyDescent="0.25" r="40" customHeight="1" ht="18.75">
      <c r="A40" s="1" t="s">
        <v>1167</v>
      </c>
      <c r="B40" s="31">
        <f>DATE(YEAR(C40), MONTH(C40), DAY(C40))</f>
        <v>25569.041666666668</v>
      </c>
      <c r="C40" s="15" t="s">
        <v>1168</v>
      </c>
      <c r="D40" s="15" t="s">
        <v>1169</v>
      </c>
      <c r="E40" s="15" t="s">
        <v>1170</v>
      </c>
      <c r="F40" s="15" t="s">
        <v>993</v>
      </c>
      <c r="G40" s="15" t="s">
        <v>994</v>
      </c>
      <c r="H40" s="31"/>
      <c r="I40" s="31"/>
      <c r="J40" s="31"/>
      <c r="K40" s="31"/>
      <c r="L40" s="31"/>
      <c r="M40" s="31"/>
      <c r="N40" s="31"/>
      <c r="O40" s="31"/>
      <c r="P40" s="31"/>
      <c r="Q40" s="32"/>
      <c r="R40" s="31"/>
      <c r="S40" s="31"/>
      <c r="T40" s="1"/>
      <c r="U40" s="1"/>
    </row>
    <row x14ac:dyDescent="0.25" r="41" customHeight="1" ht="18.75">
      <c r="A41" s="1" t="s">
        <v>1171</v>
      </c>
      <c r="B41" s="31">
        <f>DATE(YEAR(C41), MONTH(C41), DAY(C41))</f>
        <v>25569.041666666668</v>
      </c>
      <c r="C41" s="15" t="s">
        <v>1172</v>
      </c>
      <c r="D41" s="15" t="s">
        <v>1173</v>
      </c>
      <c r="E41" s="15" t="s">
        <v>1174</v>
      </c>
      <c r="F41" s="15" t="s">
        <v>1175</v>
      </c>
      <c r="G41" s="15" t="s">
        <v>1176</v>
      </c>
      <c r="H41" s="15" t="s">
        <v>1177</v>
      </c>
      <c r="I41" s="15" t="s">
        <v>1178</v>
      </c>
      <c r="J41" s="31"/>
      <c r="K41" s="31"/>
      <c r="L41" s="31"/>
      <c r="M41" s="31"/>
      <c r="N41" s="31"/>
      <c r="O41" s="31"/>
      <c r="P41" s="31"/>
      <c r="Q41" s="32"/>
      <c r="R41" s="31"/>
      <c r="S41" s="31"/>
      <c r="T41" s="1"/>
      <c r="U41" s="1"/>
    </row>
    <row x14ac:dyDescent="0.25" r="42" customHeight="1" ht="18.75">
      <c r="A42" s="1" t="s">
        <v>1179</v>
      </c>
      <c r="B42" s="31">
        <f>DATE(YEAR(C42), MONTH(C42), DAY(C42))</f>
        <v>25569.041666666668</v>
      </c>
      <c r="C42" s="15" t="s">
        <v>1180</v>
      </c>
      <c r="D42" s="15" t="s">
        <v>1181</v>
      </c>
      <c r="E42" s="15" t="s">
        <v>1182</v>
      </c>
      <c r="F42" s="15" t="s">
        <v>1183</v>
      </c>
      <c r="G42" s="15" t="s">
        <v>1184</v>
      </c>
      <c r="H42" s="31"/>
      <c r="I42" s="31"/>
      <c r="J42" s="31"/>
      <c r="K42" s="31"/>
      <c r="L42" s="31"/>
      <c r="M42" s="31"/>
      <c r="N42" s="31"/>
      <c r="O42" s="31"/>
      <c r="P42" s="31"/>
      <c r="Q42" s="32"/>
      <c r="R42" s="31"/>
      <c r="S42" s="31"/>
      <c r="T42" s="1"/>
      <c r="U42" s="1"/>
    </row>
    <row x14ac:dyDescent="0.25" r="43" customHeight="1" ht="18.75">
      <c r="A43" s="1" t="s">
        <v>1185</v>
      </c>
      <c r="B43" s="31">
        <f>DATE(YEAR(C43), MONTH(C43), DAY(C43))</f>
        <v>25569.041666666668</v>
      </c>
      <c r="C43" s="15" t="s">
        <v>1186</v>
      </c>
      <c r="D43" s="15" t="s">
        <v>1187</v>
      </c>
      <c r="E43" s="15" t="s">
        <v>1188</v>
      </c>
      <c r="F43" s="15" t="s">
        <v>1189</v>
      </c>
      <c r="G43" s="15" t="s">
        <v>1190</v>
      </c>
      <c r="H43" s="15" t="s">
        <v>1191</v>
      </c>
      <c r="I43" s="15" t="s">
        <v>1192</v>
      </c>
      <c r="J43" s="15" t="s">
        <v>1193</v>
      </c>
      <c r="K43" s="31"/>
      <c r="L43" s="31"/>
      <c r="M43" s="31"/>
      <c r="N43" s="31"/>
      <c r="O43" s="31"/>
      <c r="P43" s="31"/>
      <c r="Q43" s="32"/>
      <c r="R43" s="31"/>
      <c r="S43" s="31"/>
      <c r="T43" s="1"/>
      <c r="U43" s="1"/>
    </row>
    <row x14ac:dyDescent="0.25" r="44" customHeight="1" ht="18.75">
      <c r="A44" s="1" t="s">
        <v>1194</v>
      </c>
      <c r="B44" s="31">
        <f>DATE(YEAR(C44), MONTH(C44), DAY(C44))</f>
        <v>25569.041666666668</v>
      </c>
      <c r="C44" s="15" t="s">
        <v>1195</v>
      </c>
      <c r="D44" s="15" t="s">
        <v>1196</v>
      </c>
      <c r="E44" s="15" t="s">
        <v>874</v>
      </c>
      <c r="F44" s="15" t="s">
        <v>875</v>
      </c>
      <c r="G44" s="15" t="s">
        <v>876</v>
      </c>
      <c r="H44" s="31"/>
      <c r="I44" s="31"/>
      <c r="J44" s="31"/>
      <c r="K44" s="31"/>
      <c r="L44" s="31"/>
      <c r="M44" s="31"/>
      <c r="N44" s="31"/>
      <c r="O44" s="31"/>
      <c r="P44" s="31"/>
      <c r="Q44" s="32"/>
      <c r="R44" s="31"/>
      <c r="S44" s="31"/>
      <c r="T44" s="1"/>
      <c r="U44" s="1"/>
    </row>
    <row x14ac:dyDescent="0.25" r="45" customHeight="1" ht="18.75">
      <c r="A45" s="1" t="s">
        <v>1197</v>
      </c>
      <c r="B45" s="31">
        <f>DATE(YEAR(C45), MONTH(C45), DAY(C45))</f>
        <v>25569.041666666668</v>
      </c>
      <c r="C45" s="15" t="s">
        <v>1198</v>
      </c>
      <c r="D45" s="15" t="s">
        <v>1199</v>
      </c>
      <c r="E45" s="15" t="s">
        <v>1200</v>
      </c>
      <c r="F45" s="15" t="s">
        <v>1201</v>
      </c>
      <c r="G45" s="15" t="s">
        <v>1202</v>
      </c>
      <c r="H45" s="15" t="s">
        <v>1203</v>
      </c>
      <c r="I45" s="15" t="s">
        <v>1204</v>
      </c>
      <c r="J45" s="15" t="s">
        <v>1205</v>
      </c>
      <c r="K45" s="15" t="s">
        <v>1206</v>
      </c>
      <c r="L45" s="15" t="s">
        <v>1207</v>
      </c>
      <c r="M45" s="15" t="s">
        <v>1208</v>
      </c>
      <c r="N45" s="15" t="s">
        <v>1209</v>
      </c>
      <c r="O45" s="31"/>
      <c r="P45" s="31"/>
      <c r="Q45" s="32"/>
      <c r="R45" s="31"/>
      <c r="S45" s="31"/>
      <c r="T45" s="1"/>
      <c r="U45" s="1"/>
    </row>
    <row x14ac:dyDescent="0.25" r="46" customHeight="1" ht="18.75">
      <c r="A46" s="1" t="s">
        <v>1210</v>
      </c>
      <c r="B46" s="31">
        <f>DATE(YEAR(C46), MONTH(C46), DAY(C46))</f>
        <v>25569.041666666668</v>
      </c>
      <c r="C46" s="15" t="s">
        <v>1211</v>
      </c>
      <c r="D46" s="15" t="s">
        <v>1212</v>
      </c>
      <c r="E46" s="15" t="s">
        <v>1213</v>
      </c>
      <c r="F46" s="15" t="s">
        <v>1214</v>
      </c>
      <c r="G46" s="15" t="s">
        <v>1215</v>
      </c>
      <c r="H46" s="15" t="s">
        <v>1216</v>
      </c>
      <c r="I46" s="15" t="s">
        <v>1217</v>
      </c>
      <c r="J46" s="31"/>
      <c r="K46" s="31"/>
      <c r="L46" s="31"/>
      <c r="M46" s="31"/>
      <c r="N46" s="31"/>
      <c r="O46" s="31"/>
      <c r="P46" s="32"/>
      <c r="Q46" s="31"/>
      <c r="R46" s="31"/>
      <c r="S46" s="1"/>
      <c r="T46" s="1"/>
      <c r="U46" s="1"/>
    </row>
    <row x14ac:dyDescent="0.25" r="47" customHeight="1" ht="18.75">
      <c r="A47" s="1"/>
      <c r="B47" s="5"/>
      <c r="C47" s="5"/>
      <c r="D47" s="5"/>
      <c r="E47" s="5"/>
      <c r="F47" s="5"/>
      <c r="G47" s="5"/>
      <c r="H47" s="5"/>
      <c r="I47" s="4"/>
      <c r="J47" s="4"/>
      <c r="K47" s="4"/>
      <c r="L47" s="4"/>
      <c r="M47" s="4"/>
      <c r="N47" s="4"/>
      <c r="O47" s="4"/>
      <c r="P47" s="4"/>
      <c r="Q47" s="4"/>
      <c r="R47" s="1"/>
      <c r="S47" s="1"/>
      <c r="T47" s="1"/>
      <c r="U47" s="1"/>
    </row>
    <row x14ac:dyDescent="0.25" r="48" customHeight="1" ht="18.75">
      <c r="A48" s="1"/>
      <c r="B48" s="5"/>
      <c r="C48" s="5"/>
      <c r="D48" s="5"/>
      <c r="E48" s="5"/>
      <c r="F48" s="5"/>
      <c r="G48" s="5"/>
      <c r="H48" s="5"/>
      <c r="I48" s="4"/>
      <c r="J48" s="4"/>
      <c r="K48" s="4"/>
      <c r="L48" s="4"/>
      <c r="M48" s="4"/>
      <c r="N48" s="4"/>
      <c r="O48" s="4"/>
      <c r="P48" s="4"/>
      <c r="Q48" s="4"/>
      <c r="R48" s="1"/>
      <c r="S48" s="1"/>
      <c r="T48" s="1"/>
      <c r="U48" s="1"/>
    </row>
    <row x14ac:dyDescent="0.25" r="49" customHeight="1" ht="18.75">
      <c r="A49" s="1" t="s">
        <v>863</v>
      </c>
      <c r="B49" s="2">
        <f>C2-$B2</f>
        <v>25569.041666666668</v>
      </c>
      <c r="C49" s="2">
        <f>D2-$B2</f>
        <v>25569.041666666668</v>
      </c>
      <c r="D49" s="2">
        <f>E2-$B2</f>
        <v>25569.041666666668</v>
      </c>
      <c r="E49" s="2">
        <f>F2-$B2</f>
        <v>25569.041666666668</v>
      </c>
      <c r="F49" s="2">
        <f>G2-$B2</f>
        <v>25569.041666666668</v>
      </c>
      <c r="G49" s="2">
        <f>H2-$B2</f>
        <v>25569.041666666668</v>
      </c>
      <c r="H49" s="2">
        <f>I2-$B2</f>
        <v>25569.041666666668</v>
      </c>
      <c r="I49" s="2">
        <f>J2-$B2</f>
        <v>25569.041666666668</v>
      </c>
      <c r="J49" s="2"/>
      <c r="K49" s="2"/>
      <c r="L49" s="2"/>
      <c r="M49" s="2"/>
      <c r="N49" s="2"/>
      <c r="O49" s="2"/>
      <c r="P49" s="2"/>
      <c r="Q49" s="2"/>
      <c r="R49" s="1"/>
      <c r="S49" s="1"/>
      <c r="T49" s="1"/>
      <c r="U49" s="1"/>
    </row>
    <row x14ac:dyDescent="0.25" r="50" customHeight="1" ht="18.75">
      <c r="A50" s="1" t="s">
        <v>872</v>
      </c>
      <c r="B50" s="2">
        <f>C3-$B3</f>
        <v>25569.041666666668</v>
      </c>
      <c r="C50" s="2">
        <f>D3-$B3</f>
        <v>25569.041666666668</v>
      </c>
      <c r="D50" s="2">
        <f>E3-$B3</f>
        <v>25569.041666666668</v>
      </c>
      <c r="E50" s="2">
        <f>F3-$B3</f>
        <v>25569.041666666668</v>
      </c>
      <c r="F50" s="2">
        <f>G3-$B3</f>
        <v>25569.041666666668</v>
      </c>
      <c r="G50" s="2">
        <f>H3-$B3</f>
        <v>25569.041666666668</v>
      </c>
      <c r="H50" s="2">
        <f>I3-$B3</f>
        <v>25569.041666666668</v>
      </c>
      <c r="I50" s="2"/>
      <c r="J50" s="2"/>
      <c r="K50" s="2"/>
      <c r="L50" s="2"/>
      <c r="M50" s="2"/>
      <c r="N50" s="2"/>
      <c r="O50" s="2"/>
      <c r="P50" s="2"/>
      <c r="Q50" s="2"/>
      <c r="R50" s="1"/>
      <c r="S50" s="1"/>
      <c r="T50" s="1"/>
      <c r="U50" s="1"/>
    </row>
    <row x14ac:dyDescent="0.25" r="51" customHeight="1" ht="18.75">
      <c r="A51" s="1" t="s">
        <v>880</v>
      </c>
      <c r="B51" s="2">
        <f>C4-$B4</f>
        <v>25569.041666666668</v>
      </c>
      <c r="C51" s="2">
        <f>D4-$B4</f>
        <v>25569.041666666668</v>
      </c>
      <c r="D51" s="2">
        <f>E4-$B4</f>
        <v>25569.041666666668</v>
      </c>
      <c r="E51" s="2">
        <f>F4-$B4</f>
        <v>25569.041666666668</v>
      </c>
      <c r="F51" s="2">
        <f>G4-$B4</f>
        <v>25569.041666666668</v>
      </c>
      <c r="G51" s="2">
        <f>H4-$B4</f>
        <v>25569.041666666668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1"/>
      <c r="S51" s="1"/>
      <c r="T51" s="1"/>
      <c r="U51" s="1"/>
    </row>
    <row x14ac:dyDescent="0.25" r="52" customHeight="1" ht="18.75">
      <c r="A52" s="1" t="s">
        <v>887</v>
      </c>
      <c r="B52" s="2">
        <f>C5-$B5</f>
        <v>25569.041666666668</v>
      </c>
      <c r="C52" s="2">
        <f>D5-$B5</f>
        <v>25569.041666666668</v>
      </c>
      <c r="D52" s="2">
        <f>E5-$B5</f>
        <v>25569.041666666668</v>
      </c>
      <c r="E52" s="2">
        <f>F5-$B5</f>
        <v>25569.041666666668</v>
      </c>
      <c r="F52" s="2">
        <f>G5-$B5</f>
        <v>25569.041666666668</v>
      </c>
      <c r="G52" s="2">
        <f>H5-$B5</f>
        <v>25569.041666666668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1"/>
      <c r="S52" s="1"/>
      <c r="T52" s="1"/>
      <c r="U52" s="1"/>
    </row>
    <row x14ac:dyDescent="0.25" r="53" customHeight="1" ht="18.75">
      <c r="A53" s="1" t="s">
        <v>894</v>
      </c>
      <c r="B53" s="2">
        <f>C6-$B6</f>
        <v>25569.041666666668</v>
      </c>
      <c r="C53" s="2">
        <f>D6-$B6</f>
        <v>25569.041666666668</v>
      </c>
      <c r="D53" s="2">
        <f>E6-$B6</f>
        <v>25569.041666666668</v>
      </c>
      <c r="E53" s="2">
        <f>F6-$B6</f>
        <v>25569.041666666668</v>
      </c>
      <c r="F53" s="2">
        <f>G6-$B6</f>
        <v>25569.041666666668</v>
      </c>
      <c r="G53" s="2">
        <f>H6-$B6</f>
        <v>25569.041666666668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1"/>
    </row>
    <row x14ac:dyDescent="0.25" r="54" customHeight="1" ht="18.75">
      <c r="A54" s="1" t="s">
        <v>901</v>
      </c>
      <c r="B54" s="2">
        <f>C7-$B7</f>
        <v>25569.041666666668</v>
      </c>
      <c r="C54" s="2">
        <f>D7-$B7</f>
        <v>25569.041666666668</v>
      </c>
      <c r="D54" s="2">
        <f>E7-$B7</f>
        <v>25569.041666666668</v>
      </c>
      <c r="E54" s="2">
        <f>F7-$B7</f>
        <v>25569.041666666668</v>
      </c>
      <c r="F54" s="2">
        <f>G7-$B7</f>
        <v>25569.041666666668</v>
      </c>
      <c r="G54" s="2">
        <f>H7-$B7</f>
        <v>25569.041666666668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1"/>
    </row>
    <row x14ac:dyDescent="0.25" r="55" customHeight="1" ht="18.75">
      <c r="A55" s="1" t="s">
        <v>908</v>
      </c>
      <c r="B55" s="2">
        <f>C8-$B8</f>
        <v>25569.041666666668</v>
      </c>
      <c r="C55" s="2">
        <f>D8-$B8</f>
        <v>25569.041666666668</v>
      </c>
      <c r="D55" s="2">
        <f>E8-$B8</f>
        <v>25569.041666666668</v>
      </c>
      <c r="E55" s="2">
        <f>F8-$B8</f>
        <v>25569.041666666668</v>
      </c>
      <c r="F55" s="2">
        <f>G8-$B8</f>
        <v>25569.041666666668</v>
      </c>
      <c r="G55" s="2">
        <f>H8-$B8</f>
        <v>25569.041666666668</v>
      </c>
      <c r="H55" s="2">
        <f>I8-$B8</f>
        <v>25569.041666666668</v>
      </c>
      <c r="I55" s="2">
        <f>J8-$B8</f>
        <v>25569.041666666668</v>
      </c>
      <c r="J55" s="2">
        <f>K8-$B8</f>
        <v>25569.041666666668</v>
      </c>
      <c r="K55" s="2">
        <f>L8-$B8</f>
        <v>25569.041666666668</v>
      </c>
      <c r="L55" s="2">
        <f>M8-$B8</f>
        <v>25569.041666666668</v>
      </c>
      <c r="M55" s="2">
        <f>N8-$B8</f>
        <v>25569.041666666668</v>
      </c>
      <c r="N55" s="2">
        <f>O8-$B8</f>
        <v>25569.041666666668</v>
      </c>
      <c r="O55" s="2">
        <f>P8-$B8</f>
        <v>25569.041666666668</v>
      </c>
      <c r="P55" s="2">
        <f>Q8-$B8</f>
        <v>25569.041666666668</v>
      </c>
      <c r="Q55" s="2">
        <f>R8-$B8</f>
        <v>25569.041666666668</v>
      </c>
      <c r="R55" s="2"/>
      <c r="S55" s="2"/>
      <c r="T55" s="2"/>
      <c r="U55" s="1"/>
    </row>
    <row x14ac:dyDescent="0.25" r="56" customHeight="1" ht="18.75">
      <c r="A56" s="1" t="s">
        <v>921</v>
      </c>
      <c r="B56" s="2">
        <f>C9-$B9</f>
        <v>25569.041666666668</v>
      </c>
      <c r="C56" s="2">
        <f>D9-$B9</f>
        <v>25569.041666666668</v>
      </c>
      <c r="D56" s="2">
        <f>E9-$B9</f>
        <v>25569.041666666668</v>
      </c>
      <c r="E56" s="2">
        <f>F9-$B9</f>
        <v>25569.041666666668</v>
      </c>
      <c r="F56" s="2">
        <f>G9-$B9</f>
        <v>25569.041666666668</v>
      </c>
      <c r="G56" s="2">
        <f>H9-$B9</f>
        <v>25569.041666666668</v>
      </c>
      <c r="H56" s="2">
        <f>I9-$B9</f>
        <v>25569.041666666668</v>
      </c>
      <c r="I56" s="2">
        <f>J9-$B9</f>
        <v>25569.041666666668</v>
      </c>
      <c r="J56" s="2">
        <f>K9-$B9</f>
        <v>25569.041666666668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1"/>
    </row>
    <row x14ac:dyDescent="0.25" r="57" customHeight="1" ht="18.75">
      <c r="A57" s="1" t="s">
        <v>928</v>
      </c>
      <c r="B57" s="2">
        <f>C10-$B10</f>
        <v>25569.041666666668</v>
      </c>
      <c r="C57" s="2">
        <f>D10-$B10</f>
        <v>25569.041666666668</v>
      </c>
      <c r="D57" s="2">
        <f>E10-$B10</f>
        <v>25569.041666666668</v>
      </c>
      <c r="E57" s="2">
        <f>F10-$B10</f>
        <v>25569.041666666668</v>
      </c>
      <c r="F57" s="2">
        <f>G10-$B10</f>
        <v>25569.041666666668</v>
      </c>
      <c r="G57" s="2">
        <f>H10-$B10</f>
        <v>25569.041666666668</v>
      </c>
      <c r="H57" s="2">
        <f>I10-$B10</f>
        <v>25569.041666666668</v>
      </c>
      <c r="I57" s="2">
        <f>J10-$B10</f>
        <v>25569.041666666668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1"/>
    </row>
    <row x14ac:dyDescent="0.25" r="58" customHeight="1" ht="18.75">
      <c r="A58" s="1" t="s">
        <v>936</v>
      </c>
      <c r="B58" s="2">
        <f>C11-$B11</f>
        <v>25569.041666666668</v>
      </c>
      <c r="C58" s="2">
        <f>D11-$B11</f>
        <v>25569.041666666668</v>
      </c>
      <c r="D58" s="2">
        <f>E11-$B11</f>
        <v>25569.041666666668</v>
      </c>
      <c r="E58" s="2">
        <f>F11-$B11</f>
        <v>25569.041666666668</v>
      </c>
      <c r="F58" s="2">
        <f>G11-$B11</f>
        <v>25569.041666666668</v>
      </c>
      <c r="G58" s="2">
        <f>H11-$B11</f>
        <v>25569.041666666668</v>
      </c>
      <c r="H58" s="2">
        <f>I11-$B11</f>
        <v>25569.041666666668</v>
      </c>
      <c r="I58" s="2">
        <f>J11-$B11</f>
        <v>25569.041666666668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1"/>
    </row>
    <row x14ac:dyDescent="0.25" r="59" customHeight="1" ht="18.75">
      <c r="A59" s="1" t="s">
        <v>945</v>
      </c>
      <c r="B59" s="2">
        <f>C12-$B12</f>
        <v>25569.041666666668</v>
      </c>
      <c r="C59" s="2">
        <f>D12-$B12</f>
        <v>25569.041666666668</v>
      </c>
      <c r="D59" s="2">
        <f>E12-$B12</f>
        <v>25569.041666666668</v>
      </c>
      <c r="E59" s="2">
        <f>F12-$B12</f>
        <v>25569.041666666668</v>
      </c>
      <c r="F59" s="2">
        <f>G12-$B12</f>
        <v>25569.041666666668</v>
      </c>
      <c r="G59" s="2">
        <f>H12-$B12</f>
        <v>25569.041666666668</v>
      </c>
      <c r="H59" s="2">
        <f>I12-$B12</f>
        <v>25569.041666666668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1"/>
    </row>
    <row x14ac:dyDescent="0.25" r="60" customHeight="1" ht="18.75">
      <c r="A60" s="1" t="s">
        <v>953</v>
      </c>
      <c r="B60" s="2">
        <f>C13-$B13</f>
        <v>25569.041666666668</v>
      </c>
      <c r="C60" s="2">
        <f>D13-$B13</f>
        <v>25569.041666666668</v>
      </c>
      <c r="D60" s="2">
        <f>E13-$B13</f>
        <v>25569.041666666668</v>
      </c>
      <c r="E60" s="2">
        <f>F13-$B13</f>
        <v>25569.041666666668</v>
      </c>
      <c r="F60" s="2">
        <f>G13-$B13</f>
        <v>25569.041666666668</v>
      </c>
      <c r="G60" s="2">
        <f>H13-$B13</f>
        <v>25569.041666666668</v>
      </c>
      <c r="H60" s="2">
        <f>I13-$B13</f>
        <v>25569.041666666668</v>
      </c>
      <c r="I60" s="2">
        <f>J13-$B13</f>
        <v>25569.041666666668</v>
      </c>
      <c r="J60" s="2">
        <f>K13-$B13</f>
        <v>25569.041666666668</v>
      </c>
      <c r="K60" s="2">
        <f>L13-$B13</f>
        <v>25569.041666666668</v>
      </c>
      <c r="L60" s="2">
        <f>M13-$B13</f>
        <v>25569.041666666668</v>
      </c>
      <c r="M60" s="2">
        <f>N13-$B13</f>
        <v>25569.041666666668</v>
      </c>
      <c r="N60" s="2">
        <f>O13-$B13</f>
        <v>25569.041666666668</v>
      </c>
      <c r="O60" s="2"/>
      <c r="P60" s="2"/>
      <c r="Q60" s="2"/>
      <c r="R60" s="2"/>
      <c r="S60" s="2"/>
      <c r="T60" s="2"/>
      <c r="U60" s="1"/>
    </row>
    <row x14ac:dyDescent="0.25" r="61" customHeight="1" ht="18.75">
      <c r="A61" s="1" t="s">
        <v>961</v>
      </c>
      <c r="B61" s="2">
        <f>C14-$B14</f>
        <v>25569.041666666668</v>
      </c>
      <c r="C61" s="2">
        <f>D14-$B14</f>
        <v>25569.041666666668</v>
      </c>
      <c r="D61" s="2">
        <f>E14-$B14</f>
        <v>25569.041666666668</v>
      </c>
      <c r="E61" s="2">
        <f>F14-$B14</f>
        <v>25569.041666666668</v>
      </c>
      <c r="F61" s="2">
        <f>G14-$B14</f>
        <v>25569.041666666668</v>
      </c>
      <c r="G61" s="2">
        <f>H14-$B14</f>
        <v>25569.041666666668</v>
      </c>
      <c r="H61" s="2">
        <f>I14-$B14</f>
        <v>25569.041666666668</v>
      </c>
      <c r="I61" s="2">
        <f>J14-$B14</f>
        <v>25569.041666666668</v>
      </c>
      <c r="J61" s="2">
        <f>K14-$B14</f>
        <v>25569.041666666668</v>
      </c>
      <c r="K61" s="2">
        <f>L14-$B14</f>
        <v>25569.041666666668</v>
      </c>
      <c r="L61" s="2"/>
      <c r="M61" s="2"/>
      <c r="N61" s="2"/>
      <c r="O61" s="2"/>
      <c r="P61" s="2"/>
      <c r="Q61" s="2"/>
      <c r="R61" s="2"/>
      <c r="S61" s="2"/>
      <c r="T61" s="2"/>
      <c r="U61" s="1"/>
    </row>
    <row x14ac:dyDescent="0.25" r="62" customHeight="1" ht="18.75">
      <c r="A62" s="1" t="s">
        <v>972</v>
      </c>
      <c r="B62" s="2">
        <f>C15-$B15</f>
        <v>25569.041666666668</v>
      </c>
      <c r="C62" s="2">
        <f>D15-$B15</f>
        <v>25569.041666666668</v>
      </c>
      <c r="D62" s="2">
        <f>E15-$B15</f>
        <v>25569.041666666668</v>
      </c>
      <c r="E62" s="2">
        <f>F15-$B15</f>
        <v>25569.041666666668</v>
      </c>
      <c r="F62" s="2">
        <f>G15-$B15</f>
        <v>25569.041666666668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1"/>
    </row>
    <row x14ac:dyDescent="0.25" r="63" customHeight="1" ht="18.75">
      <c r="A63" s="1" t="s">
        <v>978</v>
      </c>
      <c r="B63" s="2">
        <f>C16-$B16</f>
        <v>25569.041666666668</v>
      </c>
      <c r="C63" s="2">
        <f>D16-$B16</f>
        <v>25569.041666666668</v>
      </c>
      <c r="D63" s="2">
        <f>E16-$B16</f>
        <v>25569.041666666668</v>
      </c>
      <c r="E63" s="2">
        <f>F16-$B16</f>
        <v>25569.041666666668</v>
      </c>
      <c r="F63" s="2">
        <f>G16-$B16</f>
        <v>25569.041666666668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1"/>
    </row>
    <row x14ac:dyDescent="0.25" r="64" customHeight="1" ht="18.75">
      <c r="A64" s="1" t="s">
        <v>982</v>
      </c>
      <c r="B64" s="2">
        <f>C17-$B17</f>
        <v>25569.041666666668</v>
      </c>
      <c r="C64" s="2">
        <f>D17-$B17</f>
        <v>25569.041666666668</v>
      </c>
      <c r="D64" s="2">
        <f>E17-$B17</f>
        <v>25569.041666666668</v>
      </c>
      <c r="E64" s="2">
        <f>F17-$B17</f>
        <v>25569.041666666668</v>
      </c>
      <c r="F64" s="2">
        <f>G17-$B17</f>
        <v>25569.041666666668</v>
      </c>
      <c r="G64" s="2">
        <f>H17-$B17</f>
        <v>25569.041666666668</v>
      </c>
      <c r="H64" s="2">
        <f>I17-$B17</f>
        <v>25569.041666666668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1"/>
    </row>
    <row x14ac:dyDescent="0.25" r="65" customHeight="1" ht="18.75">
      <c r="A65" s="1" t="s">
        <v>989</v>
      </c>
      <c r="B65" s="2">
        <f>C18-$B18</f>
        <v>25569.041666666668</v>
      </c>
      <c r="C65" s="2">
        <f>D18-$B18</f>
        <v>25569.041666666668</v>
      </c>
      <c r="D65" s="2">
        <f>E18-$B18</f>
        <v>25569.041666666668</v>
      </c>
      <c r="E65" s="2">
        <f>F18-$B18</f>
        <v>25569.041666666668</v>
      </c>
      <c r="F65" s="2">
        <f>G18-$B18</f>
        <v>25569.041666666668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1"/>
    </row>
    <row x14ac:dyDescent="0.25" r="66" customHeight="1" ht="18.75">
      <c r="A66" s="1" t="s">
        <v>995</v>
      </c>
      <c r="B66" s="2">
        <f>C19-$B19</f>
        <v>25569.041666666668</v>
      </c>
      <c r="C66" s="2">
        <f>D19-$B19</f>
        <v>25569.041666666668</v>
      </c>
      <c r="D66" s="2">
        <f>E19-$B19</f>
        <v>25569.041666666668</v>
      </c>
      <c r="E66" s="2">
        <f>F19-$B19</f>
        <v>25569.041666666668</v>
      </c>
      <c r="F66" s="2">
        <f>G19-$B19</f>
        <v>25569.041666666668</v>
      </c>
      <c r="G66" s="2">
        <f>H19-$B19</f>
        <v>25569.041666666668</v>
      </c>
      <c r="H66" s="2">
        <f>I19-$B19</f>
        <v>25569.041666666668</v>
      </c>
      <c r="I66" s="2">
        <f>J19-$B19</f>
        <v>25569.041666666668</v>
      </c>
      <c r="J66" s="2">
        <f>K19-$B19</f>
        <v>25569.041666666668</v>
      </c>
      <c r="K66" s="2">
        <f>L19-$B19</f>
        <v>25569.041666666668</v>
      </c>
      <c r="L66" s="2">
        <f>M19-$B19</f>
        <v>25569.041666666668</v>
      </c>
      <c r="M66" s="2"/>
      <c r="N66" s="2"/>
      <c r="O66" s="2"/>
      <c r="P66" s="2"/>
      <c r="Q66" s="2"/>
      <c r="R66" s="2"/>
      <c r="S66" s="2"/>
      <c r="T66" s="2"/>
      <c r="U66" s="1"/>
    </row>
    <row x14ac:dyDescent="0.25" r="67" customHeight="1" ht="18.75">
      <c r="A67" s="1" t="s">
        <v>1005</v>
      </c>
      <c r="B67" s="2">
        <f>C20-$B20</f>
        <v>25569.041666666668</v>
      </c>
      <c r="C67" s="2">
        <f>D20-$B20</f>
        <v>25569.041666666668</v>
      </c>
      <c r="D67" s="2">
        <f>E20-$B20</f>
        <v>25569.041666666668</v>
      </c>
      <c r="E67" s="2">
        <f>F20-$B20</f>
        <v>25569.041666666668</v>
      </c>
      <c r="F67" s="2">
        <f>G20-$B20</f>
        <v>25569.041666666668</v>
      </c>
      <c r="G67" s="2">
        <f>H20-$B20</f>
        <v>25569.041666666668</v>
      </c>
      <c r="H67" s="2">
        <f>I20-$B20</f>
        <v>25569.041666666668</v>
      </c>
      <c r="I67" s="2">
        <f>J20-$B20</f>
        <v>25569.041666666668</v>
      </c>
      <c r="J67" s="2">
        <f>K20-$B20</f>
        <v>25569.041666666668</v>
      </c>
      <c r="K67" s="2">
        <f>L20-$B20</f>
        <v>25569.041666666668</v>
      </c>
      <c r="L67" s="2">
        <f>M20-$B20</f>
        <v>25569.041666666668</v>
      </c>
      <c r="M67" s="2"/>
      <c r="N67" s="2"/>
      <c r="O67" s="2"/>
      <c r="P67" s="2"/>
      <c r="Q67" s="2"/>
      <c r="R67" s="2"/>
      <c r="S67" s="2"/>
      <c r="T67" s="2"/>
      <c r="U67" s="1"/>
    </row>
    <row x14ac:dyDescent="0.25" r="68" customHeight="1" ht="18.75">
      <c r="A68" s="1" t="s">
        <v>1017</v>
      </c>
      <c r="B68" s="2">
        <f>C21-$B21</f>
        <v>25569.041666666668</v>
      </c>
      <c r="C68" s="2">
        <f>D21-$B21</f>
        <v>25569.041666666668</v>
      </c>
      <c r="D68" s="2">
        <f>E21-$B21</f>
        <v>25569.041666666668</v>
      </c>
      <c r="E68" s="2">
        <f>F21-$B21</f>
        <v>25569.041666666668</v>
      </c>
      <c r="F68" s="2">
        <f>G21-$B21</f>
        <v>25569.041666666668</v>
      </c>
      <c r="G68" s="2">
        <f>H21-$B21</f>
        <v>25569.041666666668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1"/>
    </row>
    <row x14ac:dyDescent="0.25" r="69" customHeight="1" ht="18.75">
      <c r="A69" s="1" t="s">
        <v>1021</v>
      </c>
      <c r="B69" s="2">
        <f>C22-$B22</f>
        <v>25569.041666666668</v>
      </c>
      <c r="C69" s="2">
        <f>D22-$B22</f>
        <v>25569.041666666668</v>
      </c>
      <c r="D69" s="2">
        <f>E22-$B22</f>
        <v>25569.041666666668</v>
      </c>
      <c r="E69" s="2">
        <f>F22-$B22</f>
        <v>25569.041666666668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1"/>
    </row>
    <row x14ac:dyDescent="0.25" r="70" customHeight="1" ht="18.75">
      <c r="A70" s="1" t="s">
        <v>1025</v>
      </c>
      <c r="B70" s="2">
        <f>C23-$B23</f>
        <v>25569.041666666668</v>
      </c>
      <c r="C70" s="2">
        <f>D23-$B23</f>
        <v>25569.041666666668</v>
      </c>
      <c r="D70" s="2">
        <f>E23-$B23</f>
        <v>25569.041666666668</v>
      </c>
      <c r="E70" s="2">
        <f>F23-$B23</f>
        <v>25569.041666666668</v>
      </c>
      <c r="F70" s="2">
        <f>G23-$B23</f>
        <v>25569.041666666668</v>
      </c>
      <c r="G70" s="2">
        <f>H23-$B23</f>
        <v>25569.041666666668</v>
      </c>
      <c r="H70" s="2">
        <f>I23-$B23</f>
        <v>25569.041666666668</v>
      </c>
      <c r="I70" s="2">
        <f>J23-$B23</f>
        <v>25569.041666666668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1"/>
    </row>
    <row x14ac:dyDescent="0.25" r="71" customHeight="1" ht="18.75">
      <c r="A71" s="1" t="s">
        <v>1034</v>
      </c>
      <c r="B71" s="2">
        <f>C24-$B24</f>
        <v>25569.041666666668</v>
      </c>
      <c r="C71" s="2">
        <f>D24-$B24</f>
        <v>25569.041666666668</v>
      </c>
      <c r="D71" s="2">
        <f>E24-$B24</f>
        <v>25569.041666666668</v>
      </c>
      <c r="E71" s="2">
        <f>F24-$B24</f>
        <v>25569.041666666668</v>
      </c>
      <c r="F71" s="2">
        <f>G24-$B24</f>
        <v>25569.041666666668</v>
      </c>
      <c r="G71" s="2">
        <f>H24-$B24</f>
        <v>25569.041666666668</v>
      </c>
      <c r="H71" s="2">
        <f>I24-$B24</f>
        <v>25569.041666666668</v>
      </c>
      <c r="I71" s="2">
        <f>J24-$B24</f>
        <v>25569.041666666668</v>
      </c>
      <c r="J71" s="2">
        <f>K24-$B24</f>
        <v>25569.041666666668</v>
      </c>
      <c r="K71" s="2">
        <f>L24-$B24</f>
        <v>25569.041666666668</v>
      </c>
      <c r="L71" s="2">
        <f>M24-$B24</f>
        <v>25569.041666666668</v>
      </c>
      <c r="M71" s="2">
        <f>N24-$B24</f>
        <v>25569.041666666668</v>
      </c>
      <c r="N71" s="2">
        <f>O24-$B24</f>
        <v>25569.041666666668</v>
      </c>
      <c r="O71" s="2"/>
      <c r="P71" s="2"/>
      <c r="Q71" s="2"/>
      <c r="R71" s="2"/>
      <c r="S71" s="2"/>
      <c r="T71" s="2"/>
      <c r="U71" s="1"/>
    </row>
    <row x14ac:dyDescent="0.25" r="72" customHeight="1" ht="18.75">
      <c r="A72" s="1" t="s">
        <v>1048</v>
      </c>
      <c r="B72" s="2">
        <f>C25-$B25</f>
        <v>25569.041666666668</v>
      </c>
      <c r="C72" s="2">
        <f>D25-$B25</f>
        <v>25569.041666666668</v>
      </c>
      <c r="D72" s="2">
        <f>E25-$B25</f>
        <v>25569.041666666668</v>
      </c>
      <c r="E72" s="2">
        <f>F25-$B25</f>
        <v>25569.041666666668</v>
      </c>
      <c r="F72" s="2">
        <f>G25-$B25</f>
        <v>25569.041666666668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1"/>
    </row>
    <row x14ac:dyDescent="0.25" r="73" customHeight="1" ht="18.75">
      <c r="A73" s="1" t="s">
        <v>1053</v>
      </c>
      <c r="B73" s="2">
        <f>C26-$B26</f>
        <v>25569.041666666668</v>
      </c>
      <c r="C73" s="2">
        <f>D26-$B26</f>
        <v>25569.041666666668</v>
      </c>
      <c r="D73" s="2">
        <f>E26-$B26</f>
        <v>25569.041666666668</v>
      </c>
      <c r="E73" s="2">
        <f>F26-$B26</f>
        <v>25569.041666666668</v>
      </c>
      <c r="F73" s="2">
        <f>G26-$B26</f>
        <v>25569.041666666668</v>
      </c>
      <c r="G73" s="2">
        <f>H26-$B26</f>
        <v>25569.041666666668</v>
      </c>
      <c r="H73" s="2">
        <f>I26-$B26</f>
        <v>25569.041666666668</v>
      </c>
      <c r="I73" s="2">
        <f>J26-$B26</f>
        <v>25569.041666666668</v>
      </c>
      <c r="J73" s="2">
        <f>K26-$B26</f>
        <v>25569.041666666668</v>
      </c>
      <c r="K73" s="2">
        <f>L26-$B26</f>
        <v>25569.041666666668</v>
      </c>
      <c r="L73" s="2">
        <f>M26-$B26</f>
        <v>25569.041666666668</v>
      </c>
      <c r="M73" s="2">
        <f>N26-$B26</f>
        <v>25569.041666666668</v>
      </c>
      <c r="N73" s="2"/>
      <c r="O73" s="2"/>
      <c r="P73" s="2"/>
      <c r="Q73" s="2"/>
      <c r="R73" s="2"/>
      <c r="S73" s="2"/>
      <c r="T73" s="2"/>
      <c r="U73" s="1"/>
    </row>
    <row x14ac:dyDescent="0.25" r="74" customHeight="1" ht="18.75">
      <c r="A74" s="1" t="s">
        <v>1066</v>
      </c>
      <c r="B74" s="2">
        <f>C27-$B27</f>
        <v>25569.041666666668</v>
      </c>
      <c r="C74" s="2">
        <f>D27-$B27</f>
        <v>25569.041666666668</v>
      </c>
      <c r="D74" s="2">
        <f>E27-$B27</f>
        <v>25569.041666666668</v>
      </c>
      <c r="E74" s="2">
        <f>F27-$B27</f>
        <v>25569.041666666668</v>
      </c>
      <c r="F74" s="2">
        <f>G27-$B27</f>
        <v>25569.041666666668</v>
      </c>
      <c r="G74" s="2">
        <f>H27-$B27</f>
        <v>25569.041666666668</v>
      </c>
      <c r="H74" s="2">
        <f>I27-$B27</f>
        <v>25569.041666666668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1"/>
    </row>
    <row x14ac:dyDescent="0.25" r="75" customHeight="1" ht="18.75">
      <c r="A75" s="1" t="s">
        <v>1074</v>
      </c>
      <c r="B75" s="2">
        <f>C28-$B28</f>
        <v>25569.041666666668</v>
      </c>
      <c r="C75" s="2">
        <f>D28-$B28</f>
        <v>25569.041666666668</v>
      </c>
      <c r="D75" s="2">
        <f>E28-$B28</f>
        <v>25569.041666666668</v>
      </c>
      <c r="E75" s="2">
        <f>F28-$B28</f>
        <v>25569.041666666668</v>
      </c>
      <c r="F75" s="2">
        <f>G28-$B28</f>
        <v>25569.041666666668</v>
      </c>
      <c r="G75" s="2">
        <f>H28-$B28</f>
        <v>25569.041666666668</v>
      </c>
      <c r="H75" s="2">
        <f>I28-$B28</f>
        <v>25569.041666666668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1"/>
    </row>
    <row x14ac:dyDescent="0.25" r="76" customHeight="1" ht="18.75">
      <c r="A76" s="1" t="s">
        <v>1082</v>
      </c>
      <c r="B76" s="2">
        <f>C29-$B29</f>
        <v>25569.041666666668</v>
      </c>
      <c r="C76" s="2">
        <f>D29-$B29</f>
        <v>25569.041666666668</v>
      </c>
      <c r="D76" s="2">
        <f>E29-$B29</f>
        <v>25569.041666666668</v>
      </c>
      <c r="E76" s="2">
        <f>F29-$B29</f>
        <v>25569.041666666668</v>
      </c>
      <c r="F76" s="2">
        <f>G29-$B29</f>
        <v>25569.041666666668</v>
      </c>
      <c r="G76" s="2">
        <f>H29-$B29</f>
        <v>25569.041666666668</v>
      </c>
      <c r="H76" s="2">
        <f>I29-$B29</f>
        <v>25569.041666666668</v>
      </c>
      <c r="I76" s="2">
        <f>J29-$B29</f>
        <v>25569.041666666668</v>
      </c>
      <c r="J76" s="2">
        <f>K29-$B29</f>
        <v>25569.041666666668</v>
      </c>
      <c r="K76" s="2">
        <f>L29-$B29</f>
        <v>25569.041666666668</v>
      </c>
      <c r="L76" s="2">
        <f>M29-$B29</f>
        <v>25569.041666666668</v>
      </c>
      <c r="M76" s="2">
        <f>N29-$B29</f>
        <v>25569.041666666668</v>
      </c>
      <c r="N76" s="2"/>
      <c r="O76" s="2"/>
      <c r="P76" s="2"/>
      <c r="Q76" s="2"/>
      <c r="R76" s="2"/>
      <c r="S76" s="2"/>
      <c r="T76" s="2"/>
      <c r="U76" s="1"/>
    </row>
    <row x14ac:dyDescent="0.25" r="77" customHeight="1" ht="18.75">
      <c r="A77" s="1" t="s">
        <v>1095</v>
      </c>
      <c r="B77" s="2">
        <f>C30-$B30</f>
        <v>25569.041666666668</v>
      </c>
      <c r="C77" s="2">
        <f>D30-$B30</f>
        <v>25569.041666666668</v>
      </c>
      <c r="D77" s="2">
        <f>E30-$B30</f>
        <v>25569.041666666668</v>
      </c>
      <c r="E77" s="2">
        <f>F30-$B30</f>
        <v>25569.041666666668</v>
      </c>
      <c r="F77" s="2">
        <f>G30-$B30</f>
        <v>25569.041666666668</v>
      </c>
      <c r="G77" s="2">
        <f>H30-$B30</f>
        <v>25569.041666666668</v>
      </c>
      <c r="H77" s="2">
        <f>I30-$B30</f>
        <v>25569.041666666668</v>
      </c>
      <c r="I77" s="2">
        <f>J30-$B30</f>
        <v>25569.041666666668</v>
      </c>
      <c r="J77" s="2">
        <f>K30-$B30</f>
        <v>25569.041666666668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</row>
    <row x14ac:dyDescent="0.25" r="78" customHeight="1" ht="18.75">
      <c r="A78" s="1" t="s">
        <v>1104</v>
      </c>
      <c r="B78" s="2">
        <f>C31-$B31</f>
        <v>25569.041666666668</v>
      </c>
      <c r="C78" s="2">
        <f>D31-$B31</f>
        <v>25569.041666666668</v>
      </c>
      <c r="D78" s="2">
        <f>E31-$B31</f>
        <v>25569.041666666668</v>
      </c>
      <c r="E78" s="2">
        <f>F31-$B31</f>
        <v>25569.041666666668</v>
      </c>
      <c r="F78" s="2">
        <f>G31-$B31</f>
        <v>25569.041666666668</v>
      </c>
      <c r="G78" s="2">
        <f>H31-$B31</f>
        <v>25569.041666666668</v>
      </c>
      <c r="H78" s="2">
        <f>I31-$B31</f>
        <v>25569.041666666668</v>
      </c>
      <c r="I78" s="2">
        <f>J31-$B31</f>
        <v>25569.041666666668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</row>
    <row x14ac:dyDescent="0.25" r="79" customHeight="1" ht="18.75">
      <c r="A79" s="1" t="s">
        <v>1113</v>
      </c>
      <c r="B79" s="2">
        <f>C32-$B32</f>
        <v>25569.041666666668</v>
      </c>
      <c r="C79" s="2">
        <f>D32-$B32</f>
        <v>25569.041666666668</v>
      </c>
      <c r="D79" s="2">
        <f>E32-$B32</f>
        <v>25569.041666666668</v>
      </c>
      <c r="E79" s="2">
        <f>F32-$B32</f>
        <v>25569.041666666668</v>
      </c>
      <c r="F79" s="2">
        <f>G32-$B32</f>
        <v>25569.041666666668</v>
      </c>
      <c r="G79" s="2">
        <f>H32-$B32</f>
        <v>25569.041666666668</v>
      </c>
      <c r="H79" s="2">
        <f>I32-$B32</f>
        <v>25569.041666666668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</row>
    <row x14ac:dyDescent="0.25" r="80" customHeight="1" ht="18.75">
      <c r="A80" s="1" t="s">
        <v>1121</v>
      </c>
      <c r="B80" s="2">
        <f>C33-$B33</f>
        <v>25569.041666666668</v>
      </c>
      <c r="C80" s="2">
        <f>D33-$B33</f>
        <v>25569.041666666668</v>
      </c>
      <c r="D80" s="2">
        <f>E33-$B33</f>
        <v>25569.041666666668</v>
      </c>
      <c r="E80" s="2">
        <f>F33-$B33</f>
        <v>25569.041666666668</v>
      </c>
      <c r="F80" s="2">
        <f>G33-$B33</f>
        <v>25569.041666666668</v>
      </c>
      <c r="G80" s="2">
        <f>H33-$B33</f>
        <v>25569.041666666668</v>
      </c>
      <c r="H80" s="2">
        <f>I33-$B33</f>
        <v>25569.041666666668</v>
      </c>
      <c r="I80" s="2">
        <f>J33-$B33</f>
        <v>25569.041666666668</v>
      </c>
      <c r="J80" s="2">
        <f>K33-$B33</f>
        <v>25569.041666666668</v>
      </c>
      <c r="K80" s="2">
        <f>L33-$B33</f>
        <v>25569.041666666668</v>
      </c>
      <c r="L80" s="2"/>
      <c r="M80" s="2"/>
      <c r="N80" s="2"/>
      <c r="O80" s="2"/>
      <c r="P80" s="2"/>
      <c r="Q80" s="2"/>
      <c r="R80" s="2"/>
      <c r="S80" s="2"/>
      <c r="T80" s="2"/>
      <c r="U80" s="1"/>
    </row>
    <row x14ac:dyDescent="0.25" r="81" customHeight="1" ht="18.75">
      <c r="A81" s="1" t="s">
        <v>1132</v>
      </c>
      <c r="B81" s="2">
        <f>C34-$B34</f>
        <v>25569.041666666668</v>
      </c>
      <c r="C81" s="2">
        <f>D34-$B34</f>
        <v>25569.041666666668</v>
      </c>
      <c r="D81" s="2">
        <f>E34-$B34</f>
        <v>25569.041666666668</v>
      </c>
      <c r="E81" s="2">
        <f>F34-$B34</f>
        <v>25569.041666666668</v>
      </c>
      <c r="F81" s="2">
        <f>G34-$B34</f>
        <v>25569.041666666668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</row>
    <row x14ac:dyDescent="0.25" r="82" customHeight="1" ht="18.75">
      <c r="A82" s="1" t="s">
        <v>1136</v>
      </c>
      <c r="B82" s="2">
        <f>C35-$B35</f>
        <v>25569.041666666668</v>
      </c>
      <c r="C82" s="2">
        <f>D35-$B35</f>
        <v>25569.041666666668</v>
      </c>
      <c r="D82" s="2">
        <f>E35-$B35</f>
        <v>25569.041666666668</v>
      </c>
      <c r="E82" s="2">
        <f>F35-$B35</f>
        <v>25569.041666666668</v>
      </c>
      <c r="F82" s="2">
        <f>G35-$B35</f>
        <v>25569.041666666668</v>
      </c>
      <c r="G82" s="2">
        <f>H35-$B35</f>
        <v>25569.041666666668</v>
      </c>
      <c r="H82" s="2">
        <f>I35-$B35</f>
        <v>25569.041666666668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</row>
    <row x14ac:dyDescent="0.25" r="83" customHeight="1" ht="18.75">
      <c r="A83" s="1" t="s">
        <v>1139</v>
      </c>
      <c r="B83" s="2">
        <f>C36-$B36</f>
        <v>25569.041666666668</v>
      </c>
      <c r="C83" s="2">
        <f>D36-$B36</f>
        <v>25569.041666666668</v>
      </c>
      <c r="D83" s="2">
        <f>E36-$B36</f>
        <v>25569.041666666668</v>
      </c>
      <c r="E83" s="2">
        <f>F36-$B36</f>
        <v>25569.041666666668</v>
      </c>
      <c r="F83" s="2">
        <f>G36-$B36</f>
        <v>25569.041666666668</v>
      </c>
      <c r="G83" s="2">
        <f>H36-$B36</f>
        <v>25569.041666666668</v>
      </c>
      <c r="H83" s="2">
        <f>I36-$B36</f>
        <v>25569.041666666668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</row>
    <row x14ac:dyDescent="0.25" r="84" customHeight="1" ht="18.75">
      <c r="A84" s="1" t="s">
        <v>1143</v>
      </c>
      <c r="B84" s="2">
        <f>C37-$B37</f>
        <v>25569.041666666668</v>
      </c>
      <c r="C84" s="2">
        <f>D37-$B37</f>
        <v>25569.041666666668</v>
      </c>
      <c r="D84" s="2">
        <f>E37-$B37</f>
        <v>25569.041666666668</v>
      </c>
      <c r="E84" s="2">
        <f>F37-$B37</f>
        <v>25569.041666666668</v>
      </c>
      <c r="F84" s="2">
        <f>G37-$B37</f>
        <v>25569.041666666668</v>
      </c>
      <c r="G84" s="2">
        <f>H37-$B37</f>
        <v>25569.041666666668</v>
      </c>
      <c r="H84" s="2">
        <f>I37-$B37</f>
        <v>25569.041666666668</v>
      </c>
      <c r="I84" s="2">
        <f>J37-$B37</f>
        <v>25569.041666666668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</row>
    <row x14ac:dyDescent="0.25" r="85" customHeight="1" ht="18.75">
      <c r="A85" s="1" t="s">
        <v>1152</v>
      </c>
      <c r="B85" s="2">
        <f>C38-$B38</f>
        <v>25569.041666666668</v>
      </c>
      <c r="C85" s="2">
        <f>D38-$B38</f>
        <v>25569.041666666668</v>
      </c>
      <c r="D85" s="2">
        <f>E38-$B38</f>
        <v>25569.041666666668</v>
      </c>
      <c r="E85" s="2">
        <f>F38-$B38</f>
        <v>25569.041666666668</v>
      </c>
      <c r="F85" s="2">
        <f>G38-$B38</f>
        <v>25569.041666666668</v>
      </c>
      <c r="G85" s="2">
        <f>H38-$B38</f>
        <v>25569.041666666668</v>
      </c>
      <c r="H85" s="2">
        <f>I38-$B38</f>
        <v>25569.041666666668</v>
      </c>
      <c r="I85" s="2">
        <f>J38-$B38</f>
        <v>25569.041666666668</v>
      </c>
      <c r="J85" s="2">
        <f>K38-$B38</f>
        <v>25569.041666666668</v>
      </c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</row>
    <row x14ac:dyDescent="0.25" r="86" customHeight="1" ht="18.75">
      <c r="A86" s="1" t="s">
        <v>1162</v>
      </c>
      <c r="B86" s="2">
        <f>C39-$B39</f>
        <v>25569.041666666668</v>
      </c>
      <c r="C86" s="2">
        <f>D39-$B39</f>
        <v>25569.041666666668</v>
      </c>
      <c r="D86" s="2">
        <f>E39-$B39</f>
        <v>25569.041666666668</v>
      </c>
      <c r="E86" s="2">
        <f>F39-$B39</f>
        <v>25569.041666666668</v>
      </c>
      <c r="F86" s="2">
        <f>G39-$B39</f>
        <v>25569.041666666668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</row>
    <row x14ac:dyDescent="0.25" r="87" customHeight="1" ht="18.75">
      <c r="A87" s="1" t="s">
        <v>1167</v>
      </c>
      <c r="B87" s="2">
        <f>C40-$B40</f>
        <v>25569.041666666668</v>
      </c>
      <c r="C87" s="2">
        <f>D40-$B40</f>
        <v>25569.041666666668</v>
      </c>
      <c r="D87" s="2">
        <f>E40-$B40</f>
        <v>25569.041666666668</v>
      </c>
      <c r="E87" s="2">
        <f>F40-$B40</f>
        <v>25569.041666666668</v>
      </c>
      <c r="F87" s="2">
        <f>G40-$B40</f>
        <v>25569.041666666668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1"/>
    </row>
    <row x14ac:dyDescent="0.25" r="88" customHeight="1" ht="18.75">
      <c r="A88" s="1" t="s">
        <v>1171</v>
      </c>
      <c r="B88" s="2">
        <f>C41-$B41</f>
        <v>25569.041666666668</v>
      </c>
      <c r="C88" s="2">
        <f>D41-$B41</f>
        <v>25569.041666666668</v>
      </c>
      <c r="D88" s="2">
        <f>E41-$B41</f>
        <v>25569.041666666668</v>
      </c>
      <c r="E88" s="2">
        <f>F41-$B41</f>
        <v>25569.041666666668</v>
      </c>
      <c r="F88" s="2">
        <f>G41-$B41</f>
        <v>25569.041666666668</v>
      </c>
      <c r="G88" s="2">
        <f>H41-$B41</f>
        <v>25569.041666666668</v>
      </c>
      <c r="H88" s="2">
        <f>I41-$B41</f>
        <v>25569.041666666668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1"/>
    </row>
    <row x14ac:dyDescent="0.25" r="89" customHeight="1" ht="18.75">
      <c r="A89" s="1" t="s">
        <v>1179</v>
      </c>
      <c r="B89" s="2">
        <f>C42-$B42</f>
        <v>25569.041666666668</v>
      </c>
      <c r="C89" s="2">
        <f>D42-$B42</f>
        <v>25569.041666666668</v>
      </c>
      <c r="D89" s="2">
        <f>E42-$B42</f>
        <v>25569.041666666668</v>
      </c>
      <c r="E89" s="2">
        <f>F42-$B42</f>
        <v>25569.041666666668</v>
      </c>
      <c r="F89" s="2">
        <f>G42-$B42</f>
        <v>25569.041666666668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1"/>
    </row>
    <row x14ac:dyDescent="0.25" r="90" customHeight="1" ht="18.75">
      <c r="A90" s="1" t="s">
        <v>1185</v>
      </c>
      <c r="B90" s="2">
        <f>C43-$B43</f>
        <v>25569.041666666668</v>
      </c>
      <c r="C90" s="2">
        <f>D43-$B43</f>
        <v>25569.041666666668</v>
      </c>
      <c r="D90" s="2">
        <f>E43-$B43</f>
        <v>25569.041666666668</v>
      </c>
      <c r="E90" s="2">
        <f>F43-$B43</f>
        <v>25569.041666666668</v>
      </c>
      <c r="F90" s="2">
        <f>G43-$B43</f>
        <v>25569.041666666668</v>
      </c>
      <c r="G90" s="2">
        <f>H43-$B43</f>
        <v>25569.041666666668</v>
      </c>
      <c r="H90" s="2">
        <f>I43-$B43</f>
        <v>25569.041666666668</v>
      </c>
      <c r="I90" s="2">
        <f>J43-$B43</f>
        <v>25569.041666666668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1"/>
    </row>
    <row x14ac:dyDescent="0.25" r="91" customHeight="1" ht="18.75">
      <c r="A91" s="1" t="s">
        <v>1194</v>
      </c>
      <c r="B91" s="2">
        <f>C44-$B44</f>
        <v>25569.041666666668</v>
      </c>
      <c r="C91" s="2">
        <f>D44-$B44</f>
        <v>25569.041666666668</v>
      </c>
      <c r="D91" s="2">
        <f>E44-$B44</f>
        <v>25569.041666666668</v>
      </c>
      <c r="E91" s="2">
        <f>F44-$B44</f>
        <v>25569.041666666668</v>
      </c>
      <c r="F91" s="2">
        <f>G44-$B44</f>
        <v>25569.041666666668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1"/>
    </row>
    <row x14ac:dyDescent="0.25" r="92" customHeight="1" ht="18.75">
      <c r="A92" s="1" t="s">
        <v>1197</v>
      </c>
      <c r="B92" s="2">
        <f>C45-$B45</f>
        <v>25569.041666666668</v>
      </c>
      <c r="C92" s="2">
        <f>D45-$B45</f>
        <v>25569.041666666668</v>
      </c>
      <c r="D92" s="2">
        <f>E45-$B45</f>
        <v>25569.041666666668</v>
      </c>
      <c r="E92" s="2">
        <f>F45-$B45</f>
        <v>25569.041666666668</v>
      </c>
      <c r="F92" s="2">
        <f>G45-$B45</f>
        <v>25569.041666666668</v>
      </c>
      <c r="G92" s="2">
        <f>H45-$B45</f>
        <v>25569.041666666668</v>
      </c>
      <c r="H92" s="2">
        <f>I45-$B45</f>
        <v>25569.041666666668</v>
      </c>
      <c r="I92" s="2">
        <f>J45-$B45</f>
        <v>25569.041666666668</v>
      </c>
      <c r="J92" s="2">
        <f>K45-$B45</f>
        <v>25569.041666666668</v>
      </c>
      <c r="K92" s="2">
        <f>L45-$B45</f>
        <v>25569.041666666668</v>
      </c>
      <c r="L92" s="2">
        <f>M45-$B45</f>
        <v>25569.041666666668</v>
      </c>
      <c r="M92" s="2">
        <f>N45-$B45</f>
        <v>25569.041666666668</v>
      </c>
      <c r="N92" s="2"/>
      <c r="O92" s="2"/>
      <c r="P92" s="2"/>
      <c r="Q92" s="2"/>
      <c r="R92" s="2"/>
      <c r="S92" s="2"/>
      <c r="T92" s="2"/>
      <c r="U92" s="1"/>
    </row>
    <row x14ac:dyDescent="0.25" r="93" customHeight="1" ht="18.75">
      <c r="A93" s="1" t="s">
        <v>1210</v>
      </c>
      <c r="B93" s="2">
        <f>C46-$B46</f>
        <v>25569.041666666668</v>
      </c>
      <c r="C93" s="2">
        <f>D46-$B46</f>
        <v>25569.041666666668</v>
      </c>
      <c r="D93" s="2">
        <f>E46-$B46</f>
        <v>25569.041666666668</v>
      </c>
      <c r="E93" s="2">
        <f>F46-$B46</f>
        <v>25569.041666666668</v>
      </c>
      <c r="F93" s="2">
        <f>G46-$B46</f>
        <v>25569.041666666668</v>
      </c>
      <c r="G93" s="2">
        <f>H46-$B46</f>
        <v>25569.041666666668</v>
      </c>
      <c r="H93" s="2">
        <f>I46-$B46</f>
        <v>25569.041666666668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1"/>
    </row>
    <row x14ac:dyDescent="0.25" r="94" customHeight="1" ht="18.75">
      <c r="A94" s="1"/>
      <c r="B94" s="5"/>
      <c r="C94" s="5"/>
      <c r="D94" s="5"/>
      <c r="E94" s="5"/>
      <c r="F94" s="5"/>
      <c r="G94" s="5"/>
      <c r="H94" s="5"/>
      <c r="I94" s="4"/>
      <c r="J94" s="4"/>
      <c r="K94" s="4"/>
      <c r="L94" s="4"/>
      <c r="M94" s="4"/>
      <c r="N94" s="4"/>
      <c r="O94" s="4"/>
      <c r="P94" s="4"/>
      <c r="Q94" s="4"/>
      <c r="R94" s="1"/>
      <c r="S94" s="1"/>
      <c r="T94" s="1"/>
      <c r="U94" s="1"/>
    </row>
    <row x14ac:dyDescent="0.25" r="95" customHeight="1" ht="18.75">
      <c r="A95" s="1" t="s">
        <v>863</v>
      </c>
      <c r="B95" s="3">
        <f>B49*24</f>
      </c>
      <c r="C95" s="3">
        <f>C49*24</f>
      </c>
      <c r="D95" s="3">
        <f>D49*24</f>
      </c>
      <c r="E95" s="3">
        <f>E49*24</f>
      </c>
      <c r="F95" s="3">
        <f>F49*24</f>
      </c>
      <c r="G95" s="3">
        <f>G49*24</f>
      </c>
      <c r="H95" s="3">
        <f>H49*24</f>
      </c>
      <c r="I95" s="3">
        <f>I49*24</f>
      </c>
      <c r="J95" s="3"/>
      <c r="K95" s="3"/>
      <c r="L95" s="3"/>
      <c r="M95" s="3"/>
      <c r="N95" s="3"/>
      <c r="O95" s="3"/>
      <c r="P95" s="3"/>
      <c r="Q95" s="3"/>
      <c r="R95" s="1"/>
      <c r="S95" s="1"/>
      <c r="T95" s="1"/>
      <c r="U95" s="1"/>
    </row>
    <row x14ac:dyDescent="0.25" r="96" customHeight="1" ht="18.75">
      <c r="A96" s="1" t="s">
        <v>872</v>
      </c>
      <c r="B96" s="3">
        <f>B50*24</f>
      </c>
      <c r="C96" s="3">
        <f>C50*24</f>
      </c>
      <c r="D96" s="3">
        <f>D50*24</f>
      </c>
      <c r="E96" s="3">
        <f>E50*24</f>
      </c>
      <c r="F96" s="3">
        <f>F50*24</f>
      </c>
      <c r="G96" s="3">
        <f>G50*24</f>
      </c>
      <c r="H96" s="3">
        <f>H50*24</f>
      </c>
      <c r="I96" s="3"/>
      <c r="J96" s="3"/>
      <c r="K96" s="3"/>
      <c r="L96" s="3"/>
      <c r="M96" s="3"/>
      <c r="N96" s="3"/>
      <c r="O96" s="3"/>
      <c r="P96" s="3"/>
      <c r="Q96" s="3"/>
      <c r="R96" s="1"/>
      <c r="S96" s="1"/>
      <c r="T96" s="1"/>
      <c r="U96" s="1"/>
    </row>
    <row x14ac:dyDescent="0.25" r="97" customHeight="1" ht="18.75">
      <c r="A97" s="1" t="s">
        <v>880</v>
      </c>
      <c r="B97" s="3">
        <f>B51*24</f>
      </c>
      <c r="C97" s="3">
        <f>C51*24</f>
      </c>
      <c r="D97" s="3">
        <f>D51*24</f>
      </c>
      <c r="E97" s="3">
        <f>E51*24</f>
      </c>
      <c r="F97" s="3">
        <f>F51*24</f>
      </c>
      <c r="G97" s="3">
        <f>G51*24</f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1"/>
      <c r="S97" s="1"/>
      <c r="T97" s="1"/>
      <c r="U97" s="1"/>
    </row>
    <row x14ac:dyDescent="0.25" r="98" customHeight="1" ht="18.75">
      <c r="A98" s="1" t="s">
        <v>887</v>
      </c>
      <c r="B98" s="3">
        <f>B52*24</f>
      </c>
      <c r="C98" s="3">
        <f>C52*24</f>
      </c>
      <c r="D98" s="3">
        <f>D52*24</f>
      </c>
      <c r="E98" s="3">
        <f>E52*24</f>
      </c>
      <c r="F98" s="3">
        <f>F52*24</f>
      </c>
      <c r="G98" s="3">
        <f>G52*24</f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1"/>
      <c r="S98" s="1"/>
      <c r="T98" s="1"/>
      <c r="U98" s="1"/>
    </row>
    <row x14ac:dyDescent="0.25" r="99" customHeight="1" ht="18.75">
      <c r="A99" s="1" t="s">
        <v>894</v>
      </c>
      <c r="B99" s="3">
        <f>B53*24</f>
      </c>
      <c r="C99" s="3">
        <f>C53*24</f>
      </c>
      <c r="D99" s="3">
        <f>D53*24</f>
      </c>
      <c r="E99" s="3">
        <f>E53*24</f>
      </c>
      <c r="F99" s="3">
        <f>F53*24</f>
      </c>
      <c r="G99" s="3">
        <f>G53*24</f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1"/>
      <c r="S99" s="1"/>
      <c r="T99" s="1"/>
      <c r="U99" s="1"/>
    </row>
    <row x14ac:dyDescent="0.25" r="100" customHeight="1" ht="18.75">
      <c r="A100" s="1" t="s">
        <v>901</v>
      </c>
      <c r="B100" s="3">
        <f>B54*24</f>
      </c>
      <c r="C100" s="3">
        <f>C54*24</f>
      </c>
      <c r="D100" s="3">
        <f>D54*24</f>
      </c>
      <c r="E100" s="3">
        <f>E54*24</f>
      </c>
      <c r="F100" s="3">
        <f>F54*24</f>
      </c>
      <c r="G100" s="3">
        <f>G54*24</f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1"/>
      <c r="S100" s="1"/>
      <c r="T100" s="1"/>
      <c r="U100" s="1"/>
    </row>
    <row x14ac:dyDescent="0.25" r="101" customHeight="1" ht="18.75">
      <c r="A101" s="1" t="s">
        <v>908</v>
      </c>
      <c r="B101" s="3">
        <f>B55*24</f>
      </c>
      <c r="C101" s="3">
        <f>C55*24</f>
      </c>
      <c r="D101" s="3">
        <f>D55*24</f>
      </c>
      <c r="E101" s="3">
        <f>E55*24</f>
      </c>
      <c r="F101" s="3">
        <f>F55*24</f>
      </c>
      <c r="G101" s="3">
        <f>G55*24</f>
      </c>
      <c r="H101" s="3">
        <f>H55*24</f>
      </c>
      <c r="I101" s="3">
        <f>I55*24</f>
      </c>
      <c r="J101" s="3">
        <f>J55*24</f>
      </c>
      <c r="K101" s="3">
        <f>K55*24</f>
      </c>
      <c r="L101" s="3">
        <f>L55*24</f>
      </c>
      <c r="M101" s="3">
        <f>M55*24</f>
      </c>
      <c r="N101" s="3">
        <f>N55*24</f>
      </c>
      <c r="O101" s="3">
        <f>O55*24</f>
      </c>
      <c r="P101" s="3">
        <f>P55*24</f>
      </c>
      <c r="Q101" s="3">
        <f>Q55*24</f>
      </c>
      <c r="R101" s="1"/>
      <c r="S101" s="1"/>
      <c r="T101" s="1"/>
      <c r="U101" s="1"/>
    </row>
    <row x14ac:dyDescent="0.25" r="102" customHeight="1" ht="18.75">
      <c r="A102" s="1" t="s">
        <v>921</v>
      </c>
      <c r="B102" s="3">
        <f>B56*24</f>
      </c>
      <c r="C102" s="3">
        <f>C56*24</f>
      </c>
      <c r="D102" s="3">
        <f>D56*24</f>
      </c>
      <c r="E102" s="3">
        <f>E56*24</f>
      </c>
      <c r="F102" s="3">
        <f>F56*24</f>
      </c>
      <c r="G102" s="3">
        <f>G56*24</f>
      </c>
      <c r="H102" s="3">
        <f>H56*24</f>
      </c>
      <c r="I102" s="3">
        <f>I56*24</f>
      </c>
      <c r="J102" s="3">
        <f>J56*24</f>
      </c>
      <c r="K102" s="3"/>
      <c r="L102" s="3"/>
      <c r="M102" s="3"/>
      <c r="N102" s="3"/>
      <c r="O102" s="3"/>
      <c r="P102" s="3"/>
      <c r="Q102" s="3"/>
      <c r="R102" s="1"/>
      <c r="S102" s="1"/>
      <c r="T102" s="1"/>
      <c r="U102" s="1"/>
    </row>
    <row x14ac:dyDescent="0.25" r="103" customHeight="1" ht="18.75">
      <c r="A103" s="1" t="s">
        <v>928</v>
      </c>
      <c r="B103" s="3">
        <f>B57*24</f>
      </c>
      <c r="C103" s="3">
        <f>C57*24</f>
      </c>
      <c r="D103" s="3">
        <f>D57*24</f>
      </c>
      <c r="E103" s="3">
        <f>E57*24</f>
      </c>
      <c r="F103" s="3">
        <f>F57*24</f>
      </c>
      <c r="G103" s="3">
        <f>G57*24</f>
      </c>
      <c r="H103" s="3">
        <f>H57*24</f>
      </c>
      <c r="I103" s="3">
        <f>I57*24</f>
      </c>
      <c r="J103" s="3"/>
      <c r="K103" s="3"/>
      <c r="L103" s="3"/>
      <c r="M103" s="3"/>
      <c r="N103" s="3"/>
      <c r="O103" s="3"/>
      <c r="P103" s="3"/>
      <c r="Q103" s="3"/>
      <c r="R103" s="1"/>
      <c r="S103" s="1"/>
      <c r="T103" s="1"/>
      <c r="U103" s="1"/>
    </row>
    <row x14ac:dyDescent="0.25" r="104" customHeight="1" ht="18.75">
      <c r="A104" s="1" t="s">
        <v>936</v>
      </c>
      <c r="B104" s="3">
        <f>B58*24</f>
      </c>
      <c r="C104" s="3">
        <f>C58*24</f>
      </c>
      <c r="D104" s="3">
        <f>D58*24</f>
      </c>
      <c r="E104" s="3">
        <f>E58*24</f>
      </c>
      <c r="F104" s="3">
        <f>F58*24</f>
      </c>
      <c r="G104" s="3">
        <f>G58*24</f>
      </c>
      <c r="H104" s="3">
        <f>H58*24</f>
      </c>
      <c r="I104" s="3">
        <f>I58*24</f>
      </c>
      <c r="J104" s="3"/>
      <c r="K104" s="3"/>
      <c r="L104" s="3"/>
      <c r="M104" s="3"/>
      <c r="N104" s="3"/>
      <c r="O104" s="3"/>
      <c r="P104" s="3"/>
      <c r="Q104" s="3"/>
      <c r="R104" s="1"/>
      <c r="S104" s="1"/>
      <c r="T104" s="1"/>
      <c r="U104" s="1"/>
    </row>
    <row x14ac:dyDescent="0.25" r="105" customHeight="1" ht="18.75">
      <c r="A105" s="1" t="s">
        <v>945</v>
      </c>
      <c r="B105" s="3">
        <f>B59*24</f>
      </c>
      <c r="C105" s="3">
        <f>C59*24</f>
      </c>
      <c r="D105" s="3">
        <f>D59*24</f>
      </c>
      <c r="E105" s="3">
        <f>E59*24</f>
      </c>
      <c r="F105" s="3">
        <f>F59*24</f>
      </c>
      <c r="G105" s="3">
        <f>G59*24</f>
      </c>
      <c r="H105" s="3">
        <f>H59*24</f>
      </c>
      <c r="I105" s="3"/>
      <c r="J105" s="3"/>
      <c r="K105" s="3"/>
      <c r="L105" s="3"/>
      <c r="M105" s="3"/>
      <c r="N105" s="3"/>
      <c r="O105" s="3"/>
      <c r="P105" s="3"/>
      <c r="Q105" s="3"/>
      <c r="R105" s="1"/>
      <c r="S105" s="1"/>
      <c r="T105" s="1"/>
      <c r="U105" s="1"/>
    </row>
    <row x14ac:dyDescent="0.25" r="106" customHeight="1" ht="18.75">
      <c r="A106" s="1" t="s">
        <v>953</v>
      </c>
      <c r="B106" s="3">
        <f>B60*24</f>
      </c>
      <c r="C106" s="3">
        <f>C60*24</f>
      </c>
      <c r="D106" s="3">
        <f>D60*24</f>
      </c>
      <c r="E106" s="3">
        <f>E60*24</f>
      </c>
      <c r="F106" s="3">
        <f>F60*24</f>
      </c>
      <c r="G106" s="3">
        <f>G60*24</f>
      </c>
      <c r="H106" s="3">
        <f>H60*24</f>
      </c>
      <c r="I106" s="3">
        <f>I60*24</f>
      </c>
      <c r="J106" s="3">
        <f>J60*24</f>
      </c>
      <c r="K106" s="3">
        <f>K60*24</f>
      </c>
      <c r="L106" s="3">
        <f>L60*24</f>
      </c>
      <c r="M106" s="3">
        <f>M60*24</f>
      </c>
      <c r="N106" s="3">
        <f>N60*24</f>
      </c>
      <c r="O106" s="3"/>
      <c r="P106" s="3"/>
      <c r="Q106" s="3"/>
      <c r="R106" s="1"/>
      <c r="S106" s="1"/>
      <c r="T106" s="1"/>
      <c r="U106" s="1"/>
    </row>
    <row x14ac:dyDescent="0.25" r="107" customHeight="1" ht="18.75">
      <c r="A107" s="1" t="s">
        <v>961</v>
      </c>
      <c r="B107" s="3">
        <f>B61*24</f>
      </c>
      <c r="C107" s="3">
        <f>C61*24</f>
      </c>
      <c r="D107" s="3">
        <f>D61*24</f>
      </c>
      <c r="E107" s="3">
        <f>E61*24</f>
      </c>
      <c r="F107" s="3">
        <f>F61*24</f>
      </c>
      <c r="G107" s="3">
        <f>G61*24</f>
      </c>
      <c r="H107" s="3">
        <f>H61*24</f>
      </c>
      <c r="I107" s="3">
        <f>I61*24</f>
      </c>
      <c r="J107" s="3">
        <f>J61*24</f>
      </c>
      <c r="K107" s="3">
        <f>K61*24</f>
      </c>
      <c r="L107" s="3"/>
      <c r="M107" s="3"/>
      <c r="N107" s="3"/>
      <c r="O107" s="3"/>
      <c r="P107" s="3"/>
      <c r="Q107" s="3"/>
      <c r="R107" s="1"/>
      <c r="S107" s="1"/>
      <c r="T107" s="1"/>
      <c r="U107" s="1"/>
    </row>
    <row x14ac:dyDescent="0.25" r="108" customHeight="1" ht="18.75">
      <c r="A108" s="1" t="s">
        <v>972</v>
      </c>
      <c r="B108" s="3">
        <f>B62*24</f>
      </c>
      <c r="C108" s="3">
        <f>C62*24</f>
      </c>
      <c r="D108" s="3">
        <f>D62*24</f>
      </c>
      <c r="E108" s="3">
        <f>E62*24</f>
      </c>
      <c r="F108" s="3">
        <f>F62*24</f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1"/>
      <c r="S108" s="1"/>
      <c r="T108" s="1"/>
      <c r="U108" s="1"/>
    </row>
    <row x14ac:dyDescent="0.25" r="109" customHeight="1" ht="18.75">
      <c r="A109" s="1" t="s">
        <v>978</v>
      </c>
      <c r="B109" s="3">
        <f>B63*24</f>
      </c>
      <c r="C109" s="3">
        <f>C63*24</f>
      </c>
      <c r="D109" s="3">
        <f>D63*24</f>
      </c>
      <c r="E109" s="3">
        <f>E63*24</f>
      </c>
      <c r="F109" s="3">
        <f>F63*24</f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1"/>
      <c r="S109" s="1"/>
      <c r="T109" s="1"/>
      <c r="U109" s="1"/>
    </row>
    <row x14ac:dyDescent="0.25" r="110" customHeight="1" ht="18.75">
      <c r="A110" s="1" t="s">
        <v>982</v>
      </c>
      <c r="B110" s="3">
        <f>B64*24</f>
      </c>
      <c r="C110" s="3">
        <f>C64*24</f>
      </c>
      <c r="D110" s="3">
        <f>D64*24</f>
      </c>
      <c r="E110" s="3">
        <f>E64*24</f>
      </c>
      <c r="F110" s="3">
        <f>F64*24</f>
      </c>
      <c r="G110" s="3">
        <f>G64*24</f>
      </c>
      <c r="H110" s="3">
        <f>H64*24</f>
      </c>
      <c r="I110" s="3"/>
      <c r="J110" s="3"/>
      <c r="K110" s="3"/>
      <c r="L110" s="3"/>
      <c r="M110" s="3"/>
      <c r="N110" s="3"/>
      <c r="O110" s="3"/>
      <c r="P110" s="3"/>
      <c r="Q110" s="3"/>
      <c r="R110" s="1"/>
      <c r="S110" s="1"/>
      <c r="T110" s="1"/>
      <c r="U110" s="1"/>
    </row>
    <row x14ac:dyDescent="0.25" r="111" customHeight="1" ht="18.75">
      <c r="A111" s="1" t="s">
        <v>989</v>
      </c>
      <c r="B111" s="3">
        <f>B65*24</f>
      </c>
      <c r="C111" s="3">
        <f>C65*24</f>
      </c>
      <c r="D111" s="3">
        <f>D65*24</f>
      </c>
      <c r="E111" s="3">
        <f>E65*24</f>
      </c>
      <c r="F111" s="3">
        <f>F65*24</f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1"/>
      <c r="S111" s="1"/>
      <c r="T111" s="1"/>
      <c r="U111" s="1"/>
    </row>
    <row x14ac:dyDescent="0.25" r="112" customHeight="1" ht="18.75">
      <c r="A112" s="1" t="s">
        <v>995</v>
      </c>
      <c r="B112" s="3">
        <f>B66*24</f>
      </c>
      <c r="C112" s="3">
        <f>C66*24</f>
      </c>
      <c r="D112" s="3">
        <f>D66*24</f>
      </c>
      <c r="E112" s="3">
        <f>E66*24</f>
      </c>
      <c r="F112" s="3">
        <f>F66*24</f>
      </c>
      <c r="G112" s="3">
        <f>G66*24</f>
      </c>
      <c r="H112" s="3">
        <f>H66*24</f>
      </c>
      <c r="I112" s="3">
        <f>I66*24</f>
      </c>
      <c r="J112" s="3">
        <f>J66*24</f>
      </c>
      <c r="K112" s="3">
        <f>K66*24</f>
      </c>
      <c r="L112" s="3">
        <f>L66*24</f>
      </c>
      <c r="M112" s="3"/>
      <c r="N112" s="3"/>
      <c r="O112" s="3"/>
      <c r="P112" s="3"/>
      <c r="Q112" s="3"/>
      <c r="R112" s="1"/>
      <c r="S112" s="1"/>
      <c r="T112" s="1"/>
      <c r="U112" s="1"/>
    </row>
    <row x14ac:dyDescent="0.25" r="113" customHeight="1" ht="18.75">
      <c r="A113" s="1" t="s">
        <v>1005</v>
      </c>
      <c r="B113" s="3">
        <f>B67*24</f>
      </c>
      <c r="C113" s="3">
        <f>C67*24</f>
      </c>
      <c r="D113" s="3">
        <f>D67*24</f>
      </c>
      <c r="E113" s="3">
        <f>E67*24</f>
      </c>
      <c r="F113" s="3">
        <f>F67*24</f>
      </c>
      <c r="G113" s="3">
        <f>G67*24</f>
      </c>
      <c r="H113" s="3">
        <f>H67*24</f>
      </c>
      <c r="I113" s="3">
        <f>I67*24</f>
      </c>
      <c r="J113" s="3">
        <f>J67*24</f>
      </c>
      <c r="K113" s="3">
        <f>K67*24</f>
      </c>
      <c r="L113" s="3">
        <f>L67*24</f>
      </c>
      <c r="M113" s="3"/>
      <c r="N113" s="3"/>
      <c r="O113" s="3"/>
      <c r="P113" s="3"/>
      <c r="Q113" s="3"/>
      <c r="R113" s="1"/>
      <c r="S113" s="1"/>
      <c r="T113" s="1"/>
      <c r="U113" s="1"/>
    </row>
    <row x14ac:dyDescent="0.25" r="114" customHeight="1" ht="18.75">
      <c r="A114" s="1" t="s">
        <v>1017</v>
      </c>
      <c r="B114" s="3">
        <f>B68*24</f>
      </c>
      <c r="C114" s="3">
        <f>C68*24</f>
      </c>
      <c r="D114" s="3">
        <f>D68*24</f>
      </c>
      <c r="E114" s="3">
        <f>E68*24</f>
      </c>
      <c r="F114" s="3">
        <f>F68*24</f>
      </c>
      <c r="G114" s="3">
        <f>G68*24</f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1"/>
      <c r="S114" s="1"/>
      <c r="T114" s="1"/>
      <c r="U114" s="1"/>
    </row>
    <row x14ac:dyDescent="0.25" r="115" customHeight="1" ht="18.75">
      <c r="A115" s="1" t="s">
        <v>1021</v>
      </c>
      <c r="B115" s="3">
        <f>B69*24</f>
      </c>
      <c r="C115" s="3">
        <f>C69*24</f>
      </c>
      <c r="D115" s="3">
        <f>D69*24</f>
      </c>
      <c r="E115" s="3">
        <f>E69*24</f>
      </c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1"/>
      <c r="S115" s="1"/>
      <c r="T115" s="1"/>
      <c r="U115" s="1"/>
    </row>
    <row x14ac:dyDescent="0.25" r="116" customHeight="1" ht="18.75">
      <c r="A116" s="1" t="s">
        <v>1025</v>
      </c>
      <c r="B116" s="3">
        <f>B70*24</f>
      </c>
      <c r="C116" s="3">
        <f>C70*24</f>
      </c>
      <c r="D116" s="3">
        <f>D70*24</f>
      </c>
      <c r="E116" s="3">
        <f>E70*24</f>
      </c>
      <c r="F116" s="3">
        <f>F70*24</f>
      </c>
      <c r="G116" s="3">
        <f>G70*24</f>
      </c>
      <c r="H116" s="3">
        <f>H70*24</f>
      </c>
      <c r="I116" s="3">
        <f>I70*24</f>
      </c>
      <c r="J116" s="3"/>
      <c r="K116" s="3"/>
      <c r="L116" s="3"/>
      <c r="M116" s="3"/>
      <c r="N116" s="3"/>
      <c r="O116" s="3"/>
      <c r="P116" s="3"/>
      <c r="Q116" s="3"/>
      <c r="R116" s="1"/>
      <c r="S116" s="1"/>
      <c r="T116" s="1"/>
      <c r="U116" s="1"/>
    </row>
    <row x14ac:dyDescent="0.25" r="117" customHeight="1" ht="18.75">
      <c r="A117" s="1" t="s">
        <v>1034</v>
      </c>
      <c r="B117" s="3">
        <f>B71*24</f>
      </c>
      <c r="C117" s="3">
        <f>C71*24</f>
      </c>
      <c r="D117" s="3">
        <f>D71*24</f>
      </c>
      <c r="E117" s="3">
        <f>E71*24</f>
      </c>
      <c r="F117" s="3">
        <f>F71*24</f>
      </c>
      <c r="G117" s="3">
        <f>G71*24</f>
      </c>
      <c r="H117" s="3">
        <f>H71*24</f>
      </c>
      <c r="I117" s="3">
        <f>I71*24</f>
      </c>
      <c r="J117" s="3">
        <f>J71*24</f>
      </c>
      <c r="K117" s="3">
        <f>K71*24</f>
      </c>
      <c r="L117" s="3">
        <f>L71*24</f>
      </c>
      <c r="M117" s="3">
        <f>M71*24</f>
      </c>
      <c r="N117" s="3">
        <f>N71*24</f>
      </c>
      <c r="O117" s="3"/>
      <c r="P117" s="3"/>
      <c r="Q117" s="3"/>
      <c r="R117" s="1"/>
      <c r="S117" s="1"/>
      <c r="T117" s="1"/>
      <c r="U117" s="1"/>
    </row>
    <row x14ac:dyDescent="0.25" r="118" customHeight="1" ht="18.75">
      <c r="A118" s="1" t="s">
        <v>1048</v>
      </c>
      <c r="B118" s="3">
        <f>B72*24</f>
      </c>
      <c r="C118" s="3">
        <f>C72*24</f>
      </c>
      <c r="D118" s="3">
        <f>D72*24</f>
      </c>
      <c r="E118" s="3">
        <f>E72*24</f>
      </c>
      <c r="F118" s="3">
        <f>F72*24</f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1"/>
      <c r="S118" s="1"/>
      <c r="T118" s="1"/>
      <c r="U118" s="1"/>
    </row>
    <row x14ac:dyDescent="0.25" r="119" customHeight="1" ht="18.75">
      <c r="A119" s="1" t="s">
        <v>1053</v>
      </c>
      <c r="B119" s="3">
        <f>B73*24</f>
      </c>
      <c r="C119" s="3">
        <f>C73*24</f>
      </c>
      <c r="D119" s="3">
        <f>D73*24</f>
      </c>
      <c r="E119" s="3">
        <f>E73*24</f>
      </c>
      <c r="F119" s="3">
        <f>F73*24</f>
      </c>
      <c r="G119" s="3">
        <f>G73*24</f>
      </c>
      <c r="H119" s="3">
        <f>H73*24</f>
      </c>
      <c r="I119" s="3">
        <f>I73*24</f>
      </c>
      <c r="J119" s="3">
        <f>J73*24</f>
      </c>
      <c r="K119" s="3">
        <f>K73*24</f>
      </c>
      <c r="L119" s="3">
        <f>L73*24</f>
      </c>
      <c r="M119" s="3">
        <f>M73*24</f>
      </c>
      <c r="N119" s="3"/>
      <c r="O119" s="3"/>
      <c r="P119" s="3"/>
      <c r="Q119" s="3"/>
      <c r="R119" s="1"/>
      <c r="S119" s="1"/>
      <c r="T119" s="1"/>
      <c r="U119" s="1"/>
    </row>
    <row x14ac:dyDescent="0.25" r="120" customHeight="1" ht="18.75">
      <c r="A120" s="1" t="s">
        <v>1066</v>
      </c>
      <c r="B120" s="3">
        <f>B74*24</f>
      </c>
      <c r="C120" s="3">
        <f>C74*24</f>
      </c>
      <c r="D120" s="3">
        <f>D74*24</f>
      </c>
      <c r="E120" s="3">
        <f>E74*24</f>
      </c>
      <c r="F120" s="3">
        <f>F74*24</f>
      </c>
      <c r="G120" s="3">
        <f>G74*24</f>
      </c>
      <c r="H120" s="3">
        <f>H74*24</f>
      </c>
      <c r="I120" s="3"/>
      <c r="J120" s="3"/>
      <c r="K120" s="3"/>
      <c r="L120" s="3"/>
      <c r="M120" s="3"/>
      <c r="N120" s="3"/>
      <c r="O120" s="3"/>
      <c r="P120" s="3"/>
      <c r="Q120" s="3"/>
      <c r="R120" s="1"/>
      <c r="S120" s="1"/>
      <c r="T120" s="1"/>
      <c r="U120" s="1"/>
    </row>
    <row x14ac:dyDescent="0.25" r="121" customHeight="1" ht="18.75">
      <c r="A121" s="1" t="s">
        <v>1074</v>
      </c>
      <c r="B121" s="3">
        <f>B75*24</f>
      </c>
      <c r="C121" s="3">
        <f>C75*24</f>
      </c>
      <c r="D121" s="3">
        <f>D75*24</f>
      </c>
      <c r="E121" s="3">
        <f>E75*24</f>
      </c>
      <c r="F121" s="3">
        <f>F75*24</f>
      </c>
      <c r="G121" s="3">
        <f>G75*24</f>
      </c>
      <c r="H121" s="3">
        <f>H75*24</f>
      </c>
      <c r="I121" s="3"/>
      <c r="J121" s="3"/>
      <c r="K121" s="3"/>
      <c r="L121" s="3"/>
      <c r="M121" s="3"/>
      <c r="N121" s="3"/>
      <c r="O121" s="3"/>
      <c r="P121" s="3"/>
      <c r="Q121" s="3"/>
      <c r="R121" s="1"/>
      <c r="S121" s="1"/>
      <c r="T121" s="1"/>
      <c r="U121" s="1"/>
    </row>
    <row x14ac:dyDescent="0.25" r="122" customHeight="1" ht="18.75">
      <c r="A122" s="1" t="s">
        <v>1082</v>
      </c>
      <c r="B122" s="3">
        <f>B76*24</f>
      </c>
      <c r="C122" s="3">
        <f>C76*24</f>
      </c>
      <c r="D122" s="3">
        <f>D76*24</f>
      </c>
      <c r="E122" s="3">
        <f>E76*24</f>
      </c>
      <c r="F122" s="3">
        <f>F76*24</f>
      </c>
      <c r="G122" s="3">
        <f>G76*24</f>
      </c>
      <c r="H122" s="3">
        <f>H76*24</f>
      </c>
      <c r="I122" s="3">
        <f>I76*24</f>
      </c>
      <c r="J122" s="3">
        <f>J76*24</f>
      </c>
      <c r="K122" s="3">
        <f>K76*24</f>
      </c>
      <c r="L122" s="3">
        <f>L76*24</f>
      </c>
      <c r="M122" s="3">
        <f>M76*24</f>
      </c>
      <c r="N122" s="3"/>
      <c r="O122" s="3"/>
      <c r="P122" s="3"/>
      <c r="Q122" s="3"/>
      <c r="R122" s="1"/>
      <c r="S122" s="1"/>
      <c r="T122" s="1"/>
      <c r="U122" s="1"/>
    </row>
    <row x14ac:dyDescent="0.25" r="123" customHeight="1" ht="18.75">
      <c r="A123" s="1" t="s">
        <v>1095</v>
      </c>
      <c r="B123" s="3">
        <f>B77*24</f>
      </c>
      <c r="C123" s="3">
        <f>C77*24</f>
      </c>
      <c r="D123" s="3">
        <f>D77*24</f>
      </c>
      <c r="E123" s="3">
        <f>E77*24</f>
      </c>
      <c r="F123" s="3">
        <f>F77*24</f>
      </c>
      <c r="G123" s="3">
        <f>G77*24</f>
      </c>
      <c r="H123" s="3">
        <f>H77*24</f>
      </c>
      <c r="I123" s="3">
        <f>I77*24</f>
      </c>
      <c r="J123" s="3">
        <f>J77*24</f>
      </c>
      <c r="K123" s="3"/>
      <c r="L123" s="3"/>
      <c r="M123" s="3"/>
      <c r="N123" s="3"/>
      <c r="O123" s="3"/>
      <c r="P123" s="3"/>
      <c r="Q123" s="3"/>
      <c r="R123" s="1"/>
      <c r="S123" s="1"/>
      <c r="T123" s="1"/>
      <c r="U123" s="1"/>
    </row>
    <row x14ac:dyDescent="0.25" r="124" customHeight="1" ht="18.75">
      <c r="A124" s="1" t="s">
        <v>1104</v>
      </c>
      <c r="B124" s="3">
        <f>B78*24</f>
      </c>
      <c r="C124" s="3">
        <f>C78*24</f>
      </c>
      <c r="D124" s="3">
        <f>D78*24</f>
      </c>
      <c r="E124" s="3">
        <f>E78*24</f>
      </c>
      <c r="F124" s="3">
        <f>F78*24</f>
      </c>
      <c r="G124" s="3">
        <f>G78*24</f>
      </c>
      <c r="H124" s="3">
        <f>H78*24</f>
      </c>
      <c r="I124" s="3">
        <f>I78*24</f>
      </c>
      <c r="J124" s="3"/>
      <c r="K124" s="3"/>
      <c r="L124" s="3"/>
      <c r="M124" s="3"/>
      <c r="N124" s="3"/>
      <c r="O124" s="3"/>
      <c r="P124" s="3"/>
      <c r="Q124" s="3"/>
      <c r="R124" s="1"/>
      <c r="S124" s="1"/>
      <c r="T124" s="1"/>
      <c r="U124" s="1"/>
    </row>
    <row x14ac:dyDescent="0.25" r="125" customHeight="1" ht="18.75">
      <c r="A125" s="1" t="s">
        <v>1113</v>
      </c>
      <c r="B125" s="3">
        <f>B79*24</f>
      </c>
      <c r="C125" s="3">
        <f>C79*24</f>
      </c>
      <c r="D125" s="3">
        <f>D79*24</f>
      </c>
      <c r="E125" s="3">
        <f>E79*24</f>
      </c>
      <c r="F125" s="3">
        <f>F79*24</f>
      </c>
      <c r="G125" s="3">
        <f>G79*24</f>
      </c>
      <c r="H125" s="3">
        <f>H79*24</f>
      </c>
      <c r="I125" s="3"/>
      <c r="J125" s="3"/>
      <c r="K125" s="3"/>
      <c r="L125" s="3"/>
      <c r="M125" s="3"/>
      <c r="N125" s="3"/>
      <c r="O125" s="3"/>
      <c r="P125" s="3"/>
      <c r="Q125" s="3"/>
      <c r="R125" s="1"/>
      <c r="S125" s="1"/>
      <c r="T125" s="1"/>
      <c r="U125" s="1"/>
    </row>
    <row x14ac:dyDescent="0.25" r="126" customHeight="1" ht="18.75">
      <c r="A126" s="1" t="s">
        <v>1121</v>
      </c>
      <c r="B126" s="3">
        <f>B80*24</f>
      </c>
      <c r="C126" s="3">
        <f>C80*24</f>
      </c>
      <c r="D126" s="3">
        <f>D80*24</f>
      </c>
      <c r="E126" s="3">
        <f>E80*24</f>
      </c>
      <c r="F126" s="3">
        <f>F80*24</f>
      </c>
      <c r="G126" s="3">
        <f>G80*24</f>
      </c>
      <c r="H126" s="3">
        <f>H80*24</f>
      </c>
      <c r="I126" s="3">
        <f>I80*24</f>
      </c>
      <c r="J126" s="3">
        <f>J80*24</f>
      </c>
      <c r="K126" s="3">
        <f>K80*24</f>
      </c>
      <c r="L126" s="3"/>
      <c r="M126" s="3"/>
      <c r="N126" s="3"/>
      <c r="O126" s="3"/>
      <c r="P126" s="3"/>
      <c r="Q126" s="3"/>
      <c r="R126" s="1"/>
      <c r="S126" s="1"/>
      <c r="T126" s="1"/>
      <c r="U126" s="1"/>
    </row>
    <row x14ac:dyDescent="0.25" r="127" customHeight="1" ht="18.75">
      <c r="A127" s="1" t="s">
        <v>1132</v>
      </c>
      <c r="B127" s="3">
        <f>B81*24</f>
      </c>
      <c r="C127" s="3">
        <f>C81*24</f>
      </c>
      <c r="D127" s="3">
        <f>D81*24</f>
      </c>
      <c r="E127" s="3">
        <f>E81*24</f>
      </c>
      <c r="F127" s="3">
        <f>F81*24</f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1"/>
      <c r="S127" s="1"/>
      <c r="T127" s="1"/>
      <c r="U127" s="1"/>
    </row>
    <row x14ac:dyDescent="0.25" r="128" customHeight="1" ht="18.75">
      <c r="A128" s="1" t="s">
        <v>1136</v>
      </c>
      <c r="B128" s="3">
        <f>B82*24</f>
      </c>
      <c r="C128" s="3">
        <f>C82*24</f>
      </c>
      <c r="D128" s="3">
        <f>D82*24</f>
      </c>
      <c r="E128" s="3">
        <f>E82*24</f>
      </c>
      <c r="F128" s="3">
        <f>F82*24</f>
      </c>
      <c r="G128" s="3">
        <f>G82*24</f>
      </c>
      <c r="H128" s="3">
        <f>H82*24</f>
      </c>
      <c r="I128" s="3"/>
      <c r="J128" s="3"/>
      <c r="K128" s="3"/>
      <c r="L128" s="3"/>
      <c r="M128" s="3"/>
      <c r="N128" s="3"/>
      <c r="O128" s="3"/>
      <c r="P128" s="3"/>
      <c r="Q128" s="3"/>
      <c r="R128" s="1"/>
      <c r="S128" s="1"/>
      <c r="T128" s="1"/>
      <c r="U128" s="1"/>
    </row>
    <row x14ac:dyDescent="0.25" r="129" customHeight="1" ht="18.75">
      <c r="A129" s="1" t="s">
        <v>1139</v>
      </c>
      <c r="B129" s="3">
        <f>B83*24</f>
      </c>
      <c r="C129" s="3">
        <f>C83*24</f>
      </c>
      <c r="D129" s="3">
        <f>D83*24</f>
      </c>
      <c r="E129" s="3">
        <f>E83*24</f>
      </c>
      <c r="F129" s="3">
        <f>F83*24</f>
      </c>
      <c r="G129" s="3">
        <f>G83*24</f>
      </c>
      <c r="H129" s="3">
        <f>H83*24</f>
      </c>
      <c r="I129" s="3"/>
      <c r="J129" s="3"/>
      <c r="K129" s="3"/>
      <c r="L129" s="3"/>
      <c r="M129" s="3"/>
      <c r="N129" s="3"/>
      <c r="O129" s="3"/>
      <c r="P129" s="3"/>
      <c r="Q129" s="3"/>
      <c r="R129" s="1"/>
      <c r="S129" s="1"/>
      <c r="T129" s="1"/>
      <c r="U129" s="1"/>
    </row>
    <row x14ac:dyDescent="0.25" r="130" customHeight="1" ht="18.75">
      <c r="A130" s="1" t="s">
        <v>1143</v>
      </c>
      <c r="B130" s="3">
        <f>B84*24</f>
      </c>
      <c r="C130" s="3">
        <f>C84*24</f>
      </c>
      <c r="D130" s="3">
        <f>D84*24</f>
      </c>
      <c r="E130" s="3">
        <f>E84*24</f>
      </c>
      <c r="F130" s="3">
        <f>F84*24</f>
      </c>
      <c r="G130" s="3">
        <f>G84*24</f>
      </c>
      <c r="H130" s="3">
        <f>H84*24</f>
      </c>
      <c r="I130" s="3">
        <f>I84*24</f>
      </c>
      <c r="J130" s="3"/>
      <c r="K130" s="3"/>
      <c r="L130" s="3"/>
      <c r="M130" s="3"/>
      <c r="N130" s="3"/>
      <c r="O130" s="3"/>
      <c r="P130" s="3"/>
      <c r="Q130" s="3"/>
      <c r="R130" s="1"/>
      <c r="S130" s="1"/>
      <c r="T130" s="1"/>
      <c r="U130" s="1"/>
    </row>
    <row x14ac:dyDescent="0.25" r="131" customHeight="1" ht="18.75">
      <c r="A131" s="1" t="s">
        <v>1152</v>
      </c>
      <c r="B131" s="3">
        <f>B85*24</f>
      </c>
      <c r="C131" s="3">
        <f>C85*24</f>
      </c>
      <c r="D131" s="3">
        <f>D85*24</f>
      </c>
      <c r="E131" s="3">
        <f>E85*24</f>
      </c>
      <c r="F131" s="3">
        <f>F85*24</f>
      </c>
      <c r="G131" s="3">
        <f>G85*24</f>
      </c>
      <c r="H131" s="3">
        <f>H85*24</f>
      </c>
      <c r="I131" s="3">
        <f>I85*24</f>
      </c>
      <c r="J131" s="3">
        <f>J85*24</f>
      </c>
      <c r="K131" s="3"/>
      <c r="L131" s="3"/>
      <c r="M131" s="3"/>
      <c r="N131" s="3"/>
      <c r="O131" s="3"/>
      <c r="P131" s="3"/>
      <c r="Q131" s="3"/>
      <c r="R131" s="1"/>
      <c r="S131" s="1"/>
      <c r="T131" s="1"/>
      <c r="U131" s="1"/>
    </row>
    <row x14ac:dyDescent="0.25" r="132" customHeight="1" ht="18.75">
      <c r="A132" s="1" t="s">
        <v>1162</v>
      </c>
      <c r="B132" s="3">
        <f>B86*24</f>
      </c>
      <c r="C132" s="3">
        <f>C86*24</f>
      </c>
      <c r="D132" s="3">
        <f>D86*24</f>
      </c>
      <c r="E132" s="3">
        <f>E86*24</f>
      </c>
      <c r="F132" s="3">
        <f>F86*24</f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1"/>
      <c r="S132" s="1"/>
      <c r="T132" s="1"/>
      <c r="U132" s="1"/>
    </row>
    <row x14ac:dyDescent="0.25" r="133" customHeight="1" ht="18.75">
      <c r="A133" s="1" t="s">
        <v>1167</v>
      </c>
      <c r="B133" s="3">
        <f>B87*24</f>
      </c>
      <c r="C133" s="3">
        <f>C87*24</f>
      </c>
      <c r="D133" s="3">
        <f>D87*24</f>
      </c>
      <c r="E133" s="3">
        <f>E87*24</f>
      </c>
      <c r="F133" s="3">
        <f>F87*24</f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1"/>
      <c r="S133" s="1"/>
      <c r="T133" s="1"/>
      <c r="U133" s="1"/>
    </row>
    <row x14ac:dyDescent="0.25" r="134" customHeight="1" ht="18.75">
      <c r="A134" s="1" t="s">
        <v>1171</v>
      </c>
      <c r="B134" s="3">
        <f>B88*24</f>
      </c>
      <c r="C134" s="3">
        <f>C88*24</f>
      </c>
      <c r="D134" s="3">
        <f>D88*24</f>
      </c>
      <c r="E134" s="3">
        <f>E88*24</f>
      </c>
      <c r="F134" s="3">
        <f>F88*24</f>
      </c>
      <c r="G134" s="3">
        <f>G88*24</f>
      </c>
      <c r="H134" s="3">
        <f>H88*24</f>
      </c>
      <c r="I134" s="3"/>
      <c r="J134" s="3"/>
      <c r="K134" s="3"/>
      <c r="L134" s="3"/>
      <c r="M134" s="3"/>
      <c r="N134" s="3"/>
      <c r="O134" s="3"/>
      <c r="P134" s="3"/>
      <c r="Q134" s="3"/>
      <c r="R134" s="1"/>
      <c r="S134" s="1"/>
      <c r="T134" s="1"/>
      <c r="U134" s="1"/>
    </row>
    <row x14ac:dyDescent="0.25" r="135" customHeight="1" ht="18.75">
      <c r="A135" s="1" t="s">
        <v>1179</v>
      </c>
      <c r="B135" s="3">
        <f>B89*24</f>
      </c>
      <c r="C135" s="3">
        <f>C89*24</f>
      </c>
      <c r="D135" s="3">
        <f>D89*24</f>
      </c>
      <c r="E135" s="3">
        <f>E89*24</f>
      </c>
      <c r="F135" s="3">
        <f>F89*24</f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1"/>
      <c r="S135" s="1"/>
      <c r="T135" s="1"/>
      <c r="U135" s="1"/>
    </row>
    <row x14ac:dyDescent="0.25" r="136" customHeight="1" ht="18.75">
      <c r="A136" s="1" t="s">
        <v>1185</v>
      </c>
      <c r="B136" s="3">
        <f>B90*24</f>
      </c>
      <c r="C136" s="3">
        <f>C90*24</f>
      </c>
      <c r="D136" s="3">
        <f>D90*24</f>
      </c>
      <c r="E136" s="3">
        <f>E90*24</f>
      </c>
      <c r="F136" s="3">
        <f>F90*24</f>
      </c>
      <c r="G136" s="3">
        <f>G90*24</f>
      </c>
      <c r="H136" s="3">
        <f>H90*24</f>
      </c>
      <c r="I136" s="3">
        <f>I90*24</f>
      </c>
      <c r="J136" s="3"/>
      <c r="K136" s="3"/>
      <c r="L136" s="3"/>
      <c r="M136" s="3"/>
      <c r="N136" s="3"/>
      <c r="O136" s="3"/>
      <c r="P136" s="3"/>
      <c r="Q136" s="3"/>
      <c r="R136" s="1"/>
      <c r="S136" s="1"/>
      <c r="T136" s="1"/>
      <c r="U136" s="1"/>
    </row>
    <row x14ac:dyDescent="0.25" r="137" customHeight="1" ht="18.75">
      <c r="A137" s="1" t="s">
        <v>1194</v>
      </c>
      <c r="B137" s="3">
        <f>B91*24</f>
      </c>
      <c r="C137" s="3">
        <f>C91*24</f>
      </c>
      <c r="D137" s="3">
        <f>D91*24</f>
      </c>
      <c r="E137" s="3">
        <f>E91*24</f>
      </c>
      <c r="F137" s="3">
        <f>F91*24</f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1"/>
      <c r="S137" s="1"/>
      <c r="T137" s="1"/>
      <c r="U137" s="1"/>
    </row>
    <row x14ac:dyDescent="0.25" r="138" customHeight="1" ht="18.75">
      <c r="A138" s="1" t="s">
        <v>1197</v>
      </c>
      <c r="B138" s="3">
        <f>B92*24</f>
      </c>
      <c r="C138" s="3">
        <f>C92*24</f>
      </c>
      <c r="D138" s="3">
        <f>D92*24</f>
      </c>
      <c r="E138" s="3">
        <f>E92*24</f>
      </c>
      <c r="F138" s="3">
        <f>F92*24</f>
      </c>
      <c r="G138" s="3">
        <f>G92*24</f>
      </c>
      <c r="H138" s="3">
        <f>H92*24</f>
      </c>
      <c r="I138" s="3">
        <f>I92*24</f>
      </c>
      <c r="J138" s="3">
        <f>J92*24</f>
      </c>
      <c r="K138" s="3">
        <f>K92*24</f>
      </c>
      <c r="L138" s="3">
        <f>L92*24</f>
      </c>
      <c r="M138" s="3">
        <f>M92*24</f>
      </c>
      <c r="N138" s="3"/>
      <c r="O138" s="3"/>
      <c r="P138" s="3"/>
      <c r="Q138" s="3"/>
      <c r="R138" s="1"/>
      <c r="S138" s="1"/>
      <c r="T138" s="1"/>
      <c r="U138" s="1"/>
    </row>
    <row x14ac:dyDescent="0.25" r="139" customHeight="1" ht="18.75">
      <c r="A139" s="21" t="s">
        <v>1210</v>
      </c>
      <c r="B139" s="3">
        <f>B93*24</f>
      </c>
      <c r="C139" s="3">
        <f>C93*24</f>
      </c>
      <c r="D139" s="3">
        <f>D93*24</f>
      </c>
      <c r="E139" s="3">
        <f>E93*24</f>
      </c>
      <c r="F139" s="3">
        <f>F93*24</f>
      </c>
      <c r="G139" s="3">
        <f>G93*24</f>
      </c>
      <c r="H139" s="3">
        <f>H93*24</f>
      </c>
      <c r="I139" s="3"/>
      <c r="J139" s="3"/>
      <c r="K139" s="3"/>
      <c r="L139" s="3"/>
      <c r="M139" s="3"/>
      <c r="N139" s="3"/>
      <c r="O139" s="3"/>
      <c r="P139" s="3"/>
      <c r="Q139" s="3"/>
      <c r="R139" s="1"/>
      <c r="S139" s="1"/>
      <c r="T139" s="1"/>
      <c r="U139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I510"/>
  <sheetViews>
    <sheetView workbookViewId="0"/>
  </sheetViews>
  <sheetFormatPr defaultRowHeight="15" x14ac:dyDescent="0.25"/>
  <cols>
    <col min="1" max="1" style="8" width="6.576428571428571" customWidth="1" bestFit="1"/>
    <col min="2" max="2" style="30" width="8.862142857142858" customWidth="1" bestFit="1"/>
    <col min="3" max="3" style="9" width="13.576428571428572" customWidth="1" bestFit="1"/>
    <col min="4" max="4" style="10" width="13.576428571428572" customWidth="1" bestFit="1"/>
    <col min="5" max="5" style="10" width="13.576428571428572" customWidth="1" bestFit="1"/>
    <col min="6" max="6" style="10" width="9.147857142857141" customWidth="1" bestFit="1"/>
    <col min="7" max="7" style="10" width="13.576428571428572" customWidth="1" bestFit="1"/>
    <col min="8" max="8" style="10" width="10.719285714285713" customWidth="1" bestFit="1"/>
    <col min="9" max="9" style="10" width="9.290714285714287" customWidth="1" bestFit="1"/>
    <col min="10" max="10" style="10" width="13.576428571428572" customWidth="1" bestFit="1"/>
    <col min="11" max="11" style="10" width="8.719285714285713" customWidth="1" bestFit="1"/>
    <col min="12" max="12" style="10" width="10.576428571428572" customWidth="1" bestFit="1"/>
    <col min="13" max="13" style="10" width="9.43357142857143" customWidth="1" bestFit="1"/>
    <col min="14" max="14" style="10" width="9.719285714285713" customWidth="1" bestFit="1"/>
    <col min="15" max="15" style="10" width="9.576428571428572" customWidth="1" bestFit="1"/>
    <col min="16" max="16" style="10" width="9.719285714285713" customWidth="1" bestFit="1"/>
    <col min="17" max="17" style="10" width="20.14785714285714" customWidth="1" bestFit="1"/>
    <col min="18" max="18" style="10" width="20.005" customWidth="1" bestFit="1"/>
    <col min="19" max="19" style="10" width="17.862142857142857" customWidth="1" bestFit="1"/>
    <col min="20" max="20" style="10" width="30.433571428571426" customWidth="1" bestFit="1"/>
    <col min="21" max="21" style="10" width="28.719285714285714" customWidth="1" bestFit="1"/>
    <col min="22" max="22" style="10" width="30.14785714285714" customWidth="1" bestFit="1"/>
    <col min="23" max="23" style="10" width="29.862142857142857" customWidth="1" bestFit="1"/>
    <col min="24" max="24" style="10" width="34.43357142857143" customWidth="1" bestFit="1"/>
    <col min="25" max="25" style="10" width="25.433571428571426" customWidth="1" bestFit="1"/>
    <col min="26" max="26" style="10" width="24.005" customWidth="1" bestFit="1"/>
    <col min="27" max="27" style="10" width="25.290714285714284" customWidth="1" bestFit="1"/>
    <col min="28" max="28" style="10" width="24.719285714285714" customWidth="1" bestFit="1"/>
    <col min="29" max="29" style="10" width="25.862142857142857" customWidth="1" bestFit="1"/>
    <col min="30" max="30" style="10" width="31.005" customWidth="1" bestFit="1"/>
    <col min="31" max="31" style="10" width="23.433571428571426" customWidth="1" bestFit="1"/>
    <col min="32" max="32" style="10" width="44.43357142857143" customWidth="1" bestFit="1"/>
    <col min="33" max="33" style="10" width="24.719285714285714" customWidth="1" bestFit="1"/>
    <col min="34" max="34" style="8" width="25.719285714285714" customWidth="1" bestFit="1"/>
    <col min="35" max="35" style="8" width="23.862142857142857" customWidth="1" bestFit="1"/>
  </cols>
  <sheetData>
    <row x14ac:dyDescent="0.25" r="1" customHeight="1" ht="18.75">
      <c r="A1" s="1" t="s">
        <v>18</v>
      </c>
      <c r="B1" s="12"/>
      <c r="C1" s="5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1"/>
      <c r="AI1" s="1"/>
    </row>
    <row x14ac:dyDescent="0.25" r="2" customHeight="1" ht="18.75">
      <c r="A2" s="1" t="s">
        <v>19</v>
      </c>
      <c r="B2" s="3">
        <v>1.114</v>
      </c>
      <c r="C2" s="3">
        <v>2.935</v>
      </c>
      <c r="D2" s="3">
        <v>3.26</v>
      </c>
      <c r="E2" s="3">
        <v>2.269</v>
      </c>
      <c r="F2" s="3">
        <v>1.943</v>
      </c>
      <c r="G2" s="13">
        <v>1.057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1"/>
      <c r="AI2" s="1"/>
    </row>
    <row x14ac:dyDescent="0.25" r="3" customHeight="1" ht="18.75">
      <c r="A3" s="1" t="s">
        <v>20</v>
      </c>
      <c r="B3" s="3">
        <v>0.159</v>
      </c>
      <c r="C3" s="3">
        <v>10.68</v>
      </c>
      <c r="D3" s="3">
        <v>3.57</v>
      </c>
      <c r="E3" s="3">
        <v>2.1</v>
      </c>
      <c r="F3" s="3">
        <v>1.62</v>
      </c>
      <c r="G3" s="3">
        <v>1.73</v>
      </c>
      <c r="H3" s="13">
        <v>1.19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1"/>
      <c r="AI3" s="1"/>
    </row>
    <row x14ac:dyDescent="0.25" r="4" customHeight="1" ht="18.75">
      <c r="A4" s="1" t="s">
        <v>21</v>
      </c>
      <c r="B4" s="3">
        <v>0.075</v>
      </c>
      <c r="C4" s="3">
        <v>0.188</v>
      </c>
      <c r="D4" s="3">
        <v>0.146</v>
      </c>
      <c r="E4" s="3">
        <v>0.181</v>
      </c>
      <c r="F4" s="3">
        <v>0.181</v>
      </c>
      <c r="G4" s="13">
        <v>0.146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1"/>
      <c r="AI4" s="1"/>
    </row>
    <row x14ac:dyDescent="0.25" r="5" customHeight="1" ht="18.75">
      <c r="A5" s="1" t="s">
        <v>22</v>
      </c>
      <c r="B5" s="3">
        <v>3.6</v>
      </c>
      <c r="C5" s="3">
        <v>7.33</v>
      </c>
      <c r="D5" s="3">
        <v>6.12</v>
      </c>
      <c r="E5" s="3">
        <v>4.84</v>
      </c>
      <c r="F5" s="3">
        <v>3.02</v>
      </c>
      <c r="G5" s="3">
        <v>2.42</v>
      </c>
      <c r="H5" s="3">
        <v>2.38</v>
      </c>
      <c r="I5" s="3">
        <v>1.62</v>
      </c>
      <c r="J5" s="3">
        <v>0.9</v>
      </c>
      <c r="K5" s="3">
        <v>0.775</v>
      </c>
      <c r="L5" s="13">
        <v>0.48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1"/>
      <c r="AI5" s="1"/>
    </row>
    <row x14ac:dyDescent="0.25" r="6" customHeight="1" ht="18.75">
      <c r="A6" s="1" t="s">
        <v>23</v>
      </c>
      <c r="B6" s="3">
        <v>0.2017</v>
      </c>
      <c r="C6" s="3">
        <v>0.1749</v>
      </c>
      <c r="D6" s="3">
        <v>0.191</v>
      </c>
      <c r="E6" s="3">
        <v>0.1581</v>
      </c>
      <c r="F6" s="3">
        <v>0.0757</v>
      </c>
      <c r="G6" s="3">
        <v>0.0436</v>
      </c>
      <c r="H6" s="13">
        <v>0.026699999999999998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1"/>
      <c r="AI6" s="1"/>
    </row>
    <row x14ac:dyDescent="0.25" r="7" customHeight="1" ht="18.75">
      <c r="A7" s="1" t="s">
        <v>24</v>
      </c>
      <c r="B7" s="3">
        <v>5.04</v>
      </c>
      <c r="C7" s="3">
        <v>8.428</v>
      </c>
      <c r="D7" s="3">
        <v>9.269</v>
      </c>
      <c r="E7" s="3">
        <v>6.001</v>
      </c>
      <c r="F7" s="3">
        <v>4.499</v>
      </c>
      <c r="G7" s="3">
        <v>4.207</v>
      </c>
      <c r="H7" s="3">
        <v>3.747</v>
      </c>
      <c r="I7" s="3">
        <v>2.962</v>
      </c>
      <c r="J7" s="3">
        <v>1.92</v>
      </c>
      <c r="K7" s="3">
        <v>1.251</v>
      </c>
      <c r="L7" s="13">
        <v>0.8539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1"/>
      <c r="AI7" s="1"/>
    </row>
    <row x14ac:dyDescent="0.25" r="8" customHeight="1" ht="18.75">
      <c r="A8" s="1" t="s">
        <v>25</v>
      </c>
      <c r="B8" s="3">
        <v>1.126</v>
      </c>
      <c r="C8" s="3">
        <v>2.227</v>
      </c>
      <c r="D8" s="3">
        <v>1.323</v>
      </c>
      <c r="E8" s="3">
        <v>0.8328</v>
      </c>
      <c r="F8" s="3">
        <v>0.8722000000000001</v>
      </c>
      <c r="G8" s="3">
        <v>1.075</v>
      </c>
      <c r="H8" s="3">
        <v>0.6477</v>
      </c>
      <c r="I8" s="3">
        <v>0.3399</v>
      </c>
      <c r="J8" s="3">
        <v>0.1539</v>
      </c>
      <c r="K8" s="3">
        <v>0.1188</v>
      </c>
      <c r="L8" s="3">
        <v>0.0968</v>
      </c>
      <c r="M8" s="13">
        <v>0.0583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1"/>
      <c r="AI8" s="1"/>
    </row>
    <row x14ac:dyDescent="0.25" r="9" customHeight="1" ht="18.75">
      <c r="A9" s="1" t="s">
        <v>26</v>
      </c>
      <c r="B9" s="3">
        <v>6.57</v>
      </c>
      <c r="C9" s="3">
        <v>9.1</v>
      </c>
      <c r="D9" s="3">
        <v>8.85</v>
      </c>
      <c r="E9" s="3">
        <v>9.86</v>
      </c>
      <c r="F9" s="3">
        <v>6.1</v>
      </c>
      <c r="G9" s="3">
        <v>5.6</v>
      </c>
      <c r="H9" s="3">
        <v>4.99</v>
      </c>
      <c r="I9" s="13">
        <v>3.06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1"/>
      <c r="AI9" s="1"/>
    </row>
    <row x14ac:dyDescent="0.25" r="10" customHeight="1" ht="18.75">
      <c r="A10" s="1" t="s">
        <v>27</v>
      </c>
      <c r="B10" s="3">
        <v>16.63</v>
      </c>
      <c r="C10" s="3">
        <v>21.43</v>
      </c>
      <c r="D10" s="3">
        <v>13.57</v>
      </c>
      <c r="E10" s="3">
        <v>8.8</v>
      </c>
      <c r="F10" s="3">
        <v>7.91</v>
      </c>
      <c r="G10" s="3">
        <v>7.22</v>
      </c>
      <c r="H10" s="3">
        <v>6.78</v>
      </c>
      <c r="I10" s="3">
        <v>5.47</v>
      </c>
      <c r="J10" s="3">
        <v>4.72</v>
      </c>
      <c r="K10" s="3">
        <v>3.83</v>
      </c>
      <c r="L10" s="3">
        <v>3.02</v>
      </c>
      <c r="M10" s="3">
        <v>2.35</v>
      </c>
      <c r="N10" s="3">
        <v>1.52</v>
      </c>
      <c r="O10" s="3">
        <v>1.12</v>
      </c>
      <c r="P10" s="13">
        <v>0.864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1"/>
      <c r="AI10" s="1"/>
    </row>
    <row x14ac:dyDescent="0.25" r="11" customHeight="1" ht="18.75">
      <c r="A11" s="1" t="s">
        <v>28</v>
      </c>
      <c r="B11" s="3">
        <v>0.426</v>
      </c>
      <c r="C11" s="3">
        <v>2.38</v>
      </c>
      <c r="D11" s="3">
        <v>1.88</v>
      </c>
      <c r="E11" s="3">
        <v>2.37</v>
      </c>
      <c r="F11" s="3">
        <v>2.45</v>
      </c>
      <c r="G11" s="3">
        <v>1.69</v>
      </c>
      <c r="H11" s="3">
        <v>0.71</v>
      </c>
      <c r="I11" s="3">
        <v>0.273</v>
      </c>
      <c r="J11" s="3">
        <v>0.147</v>
      </c>
      <c r="K11" s="13">
        <v>0.047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1"/>
      <c r="AI11" s="1"/>
    </row>
    <row x14ac:dyDescent="0.25" r="12" customHeight="1" ht="18.75">
      <c r="A12" s="1" t="s">
        <v>29</v>
      </c>
      <c r="B12" s="3">
        <v>0.652</v>
      </c>
      <c r="C12" s="3">
        <v>1.42</v>
      </c>
      <c r="D12" s="3">
        <v>0.588</v>
      </c>
      <c r="E12" s="3">
        <v>0.563</v>
      </c>
      <c r="F12" s="3">
        <v>0.614</v>
      </c>
      <c r="G12" s="13">
        <v>0.365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1"/>
      <c r="AI12" s="1"/>
    </row>
    <row x14ac:dyDescent="0.25" r="13" customHeight="1" ht="18.75">
      <c r="A13" s="1" t="s">
        <v>30</v>
      </c>
      <c r="B13" s="3">
        <v>0.644</v>
      </c>
      <c r="C13" s="3">
        <v>2.55</v>
      </c>
      <c r="D13" s="3">
        <v>2.16</v>
      </c>
      <c r="E13" s="3">
        <v>1.38</v>
      </c>
      <c r="F13" s="3">
        <v>1.54</v>
      </c>
      <c r="G13" s="3">
        <v>1.11</v>
      </c>
      <c r="H13" s="3">
        <v>0.527</v>
      </c>
      <c r="I13" s="3">
        <v>0.74</v>
      </c>
      <c r="J13" s="13">
        <v>0.443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1"/>
      <c r="AI13" s="1"/>
    </row>
    <row x14ac:dyDescent="0.25" r="14" customHeight="1" ht="18.75">
      <c r="A14" s="1" t="s">
        <v>31</v>
      </c>
      <c r="B14" s="3">
        <v>0.141</v>
      </c>
      <c r="C14" s="3">
        <v>0.304</v>
      </c>
      <c r="D14" s="3">
        <v>0.237</v>
      </c>
      <c r="E14" s="3">
        <v>0.197</v>
      </c>
      <c r="F14" s="3">
        <v>0.168</v>
      </c>
      <c r="G14" s="3">
        <v>0.162</v>
      </c>
      <c r="H14" s="13">
        <v>0.157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1"/>
      <c r="AI14" s="1"/>
    </row>
    <row x14ac:dyDescent="0.25" r="15" customHeight="1" ht="18.75">
      <c r="A15" s="1" t="s">
        <v>32</v>
      </c>
      <c r="B15" s="3">
        <v>6.07</v>
      </c>
      <c r="C15" s="3">
        <v>13.87</v>
      </c>
      <c r="D15" s="3">
        <v>6.21</v>
      </c>
      <c r="E15" s="3">
        <v>3.84</v>
      </c>
      <c r="F15" s="3">
        <v>4.84</v>
      </c>
      <c r="G15" s="3">
        <v>4.72</v>
      </c>
      <c r="H15" s="3">
        <v>3.57</v>
      </c>
      <c r="I15" s="13">
        <v>2.29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1"/>
      <c r="AI15" s="1"/>
    </row>
    <row x14ac:dyDescent="0.25" r="16" customHeight="1" ht="18.75">
      <c r="A16" s="1" t="s">
        <v>33</v>
      </c>
      <c r="B16" s="3">
        <v>4.016</v>
      </c>
      <c r="C16" s="3">
        <v>9.697</v>
      </c>
      <c r="D16" s="3">
        <v>7.528</v>
      </c>
      <c r="E16" s="3">
        <v>3.415</v>
      </c>
      <c r="F16" s="3">
        <v>2.773</v>
      </c>
      <c r="G16" s="3">
        <v>2.565</v>
      </c>
      <c r="H16" s="3">
        <v>2.755</v>
      </c>
      <c r="I16" s="13">
        <v>2.032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1"/>
      <c r="AI16" s="1"/>
    </row>
    <row x14ac:dyDescent="0.25" r="17" customHeight="1" ht="18.75">
      <c r="A17" s="1" t="s">
        <v>34</v>
      </c>
      <c r="B17" s="3">
        <v>0.9347000000000001</v>
      </c>
      <c r="C17" s="3">
        <v>2.552</v>
      </c>
      <c r="D17" s="3">
        <v>1.661</v>
      </c>
      <c r="E17" s="3">
        <v>0.8097000000000001</v>
      </c>
      <c r="F17" s="3">
        <v>1.195</v>
      </c>
      <c r="G17" s="13">
        <v>0.9369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1"/>
      <c r="AI17" s="1"/>
    </row>
    <row x14ac:dyDescent="0.25" r="18" customHeight="1" ht="18.75">
      <c r="A18" s="1" t="s">
        <v>35</v>
      </c>
      <c r="B18" s="3">
        <v>0.5065</v>
      </c>
      <c r="C18" s="3">
        <v>1.165</v>
      </c>
      <c r="D18" s="3">
        <v>0.7231000000000001</v>
      </c>
      <c r="E18" s="3">
        <v>1.193</v>
      </c>
      <c r="F18" s="3">
        <v>0.988</v>
      </c>
      <c r="G18" s="3">
        <v>0.5214</v>
      </c>
      <c r="H18" s="3">
        <v>0.4775</v>
      </c>
      <c r="I18" s="13">
        <v>0.4122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1"/>
      <c r="AI18" s="1"/>
    </row>
    <row x14ac:dyDescent="0.25" r="19" customHeight="1" ht="18.75">
      <c r="A19" s="1" t="s">
        <v>36</v>
      </c>
      <c r="B19" s="3">
        <v>8.529</v>
      </c>
      <c r="C19" s="3">
        <v>21.415</v>
      </c>
      <c r="D19" s="3">
        <v>9.29</v>
      </c>
      <c r="E19" s="3">
        <v>6.714</v>
      </c>
      <c r="F19" s="3">
        <v>9.926</v>
      </c>
      <c r="G19" s="3">
        <v>8.207</v>
      </c>
      <c r="H19" s="3">
        <v>6.783</v>
      </c>
      <c r="I19" s="3">
        <v>4.236</v>
      </c>
      <c r="J19" s="3">
        <v>2.223</v>
      </c>
      <c r="K19" s="3">
        <v>1.154</v>
      </c>
      <c r="L19" s="13">
        <v>0.5778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1"/>
      <c r="AI19" s="1"/>
    </row>
    <row x14ac:dyDescent="0.25" r="20" customHeight="1" ht="18.75">
      <c r="A20" s="1" t="s">
        <v>37</v>
      </c>
      <c r="B20" s="3">
        <v>3.358</v>
      </c>
      <c r="C20" s="3">
        <v>3.861</v>
      </c>
      <c r="D20" s="3">
        <v>2.665</v>
      </c>
      <c r="E20" s="3">
        <v>1.913</v>
      </c>
      <c r="F20" s="3">
        <v>1.319</v>
      </c>
      <c r="G20" s="3">
        <v>0.8441000000000001</v>
      </c>
      <c r="H20" s="3">
        <v>0.44739999999999996</v>
      </c>
      <c r="I20" s="13">
        <v>0.258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1"/>
      <c r="AI20" s="1"/>
    </row>
    <row x14ac:dyDescent="0.25" r="21" customHeight="1" ht="18.75">
      <c r="A21" s="1" t="s">
        <v>38</v>
      </c>
      <c r="B21" s="3">
        <v>0.273</v>
      </c>
      <c r="C21" s="3">
        <v>1.03</v>
      </c>
      <c r="D21" s="3">
        <v>2.49</v>
      </c>
      <c r="E21" s="3">
        <v>1.09</v>
      </c>
      <c r="F21" s="3">
        <v>0.995</v>
      </c>
      <c r="G21" s="3">
        <v>1.22</v>
      </c>
      <c r="H21" s="3">
        <v>1.13</v>
      </c>
      <c r="I21" s="3">
        <v>1.47</v>
      </c>
      <c r="J21" s="3">
        <v>0.918</v>
      </c>
      <c r="K21" s="3">
        <v>0.504</v>
      </c>
      <c r="L21" s="3">
        <v>0.342</v>
      </c>
      <c r="M21" s="3">
        <v>0.007</v>
      </c>
      <c r="N21" s="13">
        <v>0.008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1"/>
      <c r="AI21" s="1"/>
    </row>
    <row x14ac:dyDescent="0.25" r="22" customHeight="1" ht="18.75">
      <c r="A22" s="1" t="s">
        <v>39</v>
      </c>
      <c r="B22" s="3">
        <v>0.5236000000000001</v>
      </c>
      <c r="C22" s="3">
        <v>0.8316</v>
      </c>
      <c r="D22" s="3">
        <v>0.6948</v>
      </c>
      <c r="E22" s="3">
        <v>0.5834</v>
      </c>
      <c r="F22" s="3">
        <v>0.6237</v>
      </c>
      <c r="G22" s="3">
        <v>0.4669</v>
      </c>
      <c r="H22" s="3">
        <v>0.2857</v>
      </c>
      <c r="I22" s="3">
        <v>0.0582</v>
      </c>
      <c r="J22" s="3">
        <v>0.0315</v>
      </c>
      <c r="K22" s="3">
        <v>0.0314</v>
      </c>
      <c r="L22" s="13">
        <v>0.0315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1"/>
      <c r="AI22" s="1"/>
    </row>
    <row x14ac:dyDescent="0.25" r="23" customHeight="1" ht="18.75">
      <c r="A23" s="1" t="s">
        <v>40</v>
      </c>
      <c r="B23" s="3">
        <v>0.596</v>
      </c>
      <c r="C23" s="3">
        <v>5.22</v>
      </c>
      <c r="D23" s="3">
        <v>11.77</v>
      </c>
      <c r="E23" s="3">
        <v>9.26</v>
      </c>
      <c r="F23" s="3">
        <v>7.76</v>
      </c>
      <c r="G23" s="3">
        <v>6.64</v>
      </c>
      <c r="H23" s="3">
        <v>4.02</v>
      </c>
      <c r="I23" s="3">
        <v>1.16</v>
      </c>
      <c r="J23" s="3">
        <v>0.569</v>
      </c>
      <c r="K23" s="3">
        <v>0.325</v>
      </c>
      <c r="L23" s="13">
        <v>0.143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1"/>
      <c r="AI23" s="1"/>
    </row>
    <row x14ac:dyDescent="0.25" r="24" customHeight="1" ht="18.75">
      <c r="A24" s="1" t="s">
        <v>41</v>
      </c>
      <c r="B24" s="3">
        <v>7.662</v>
      </c>
      <c r="C24" s="3">
        <v>11.834</v>
      </c>
      <c r="D24" s="3">
        <v>5.907</v>
      </c>
      <c r="E24" s="3">
        <v>3.801</v>
      </c>
      <c r="F24" s="3">
        <v>3.09</v>
      </c>
      <c r="G24" s="3">
        <v>2.735</v>
      </c>
      <c r="H24" s="3">
        <v>2.105</v>
      </c>
      <c r="I24" s="3">
        <v>1.503</v>
      </c>
      <c r="J24" s="13">
        <v>1.08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1"/>
      <c r="AI24" s="1"/>
    </row>
    <row x14ac:dyDescent="0.25" r="25" customHeight="1" ht="18.75">
      <c r="A25" s="1" t="s">
        <v>42</v>
      </c>
      <c r="B25" s="3">
        <v>5.049</v>
      </c>
      <c r="C25" s="3">
        <v>18.513</v>
      </c>
      <c r="D25" s="3">
        <v>13.889</v>
      </c>
      <c r="E25" s="3">
        <v>5.849</v>
      </c>
      <c r="F25" s="3">
        <v>7.09</v>
      </c>
      <c r="G25" s="3">
        <v>7.083</v>
      </c>
      <c r="H25" s="3">
        <v>4.766</v>
      </c>
      <c r="I25" s="3">
        <v>2.143</v>
      </c>
      <c r="J25" s="3">
        <v>1.026</v>
      </c>
      <c r="K25" s="3">
        <v>0.5024</v>
      </c>
      <c r="L25" s="3">
        <v>0.4487</v>
      </c>
      <c r="M25" s="13">
        <v>0.3185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1"/>
      <c r="AI25" s="1"/>
    </row>
    <row x14ac:dyDescent="0.25" r="26" customHeight="1" ht="18.75">
      <c r="A26" s="1" t="s">
        <v>43</v>
      </c>
      <c r="B26" s="3">
        <v>0.049</v>
      </c>
      <c r="C26" s="3">
        <v>4.646</v>
      </c>
      <c r="D26" s="3">
        <v>3.866</v>
      </c>
      <c r="E26" s="3">
        <v>3.745</v>
      </c>
      <c r="F26" s="3">
        <v>4.24</v>
      </c>
      <c r="G26" s="3">
        <v>3.958</v>
      </c>
      <c r="H26" s="3">
        <v>1.337</v>
      </c>
      <c r="I26" s="3">
        <v>0.7627999999999999</v>
      </c>
      <c r="J26" s="3">
        <v>0.5067</v>
      </c>
      <c r="K26" s="13">
        <v>0.30410000000000004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1"/>
      <c r="AI26" s="1"/>
    </row>
    <row x14ac:dyDescent="0.25" r="27" customHeight="1" ht="18.75">
      <c r="A27" s="1" t="s">
        <v>44</v>
      </c>
      <c r="B27" s="3">
        <v>0.1113</v>
      </c>
      <c r="C27" s="3">
        <v>0.38889999999999997</v>
      </c>
      <c r="D27" s="3">
        <v>0.5794</v>
      </c>
      <c r="E27" s="3">
        <v>0.5239</v>
      </c>
      <c r="F27" s="3">
        <v>0.5187</v>
      </c>
      <c r="G27" s="3">
        <v>0.3752</v>
      </c>
      <c r="H27" s="3">
        <v>0.19490000000000002</v>
      </c>
      <c r="I27" s="3">
        <v>0.0878</v>
      </c>
      <c r="J27" s="3">
        <v>0.0405</v>
      </c>
      <c r="K27" s="3">
        <v>0.0205</v>
      </c>
      <c r="L27" s="3">
        <v>0.0136</v>
      </c>
      <c r="M27" s="3">
        <v>0.0081</v>
      </c>
      <c r="N27" s="3">
        <v>0.0067</v>
      </c>
      <c r="O27" s="3">
        <v>0.0067</v>
      </c>
      <c r="P27" s="3">
        <v>0.005900000000000001</v>
      </c>
      <c r="Q27" s="3">
        <v>0.005900000000000001</v>
      </c>
      <c r="R27" s="13">
        <v>0.0072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1"/>
      <c r="AI27" s="1"/>
    </row>
    <row x14ac:dyDescent="0.25" r="28" customHeight="1" ht="18.75">
      <c r="A28" s="1" t="s">
        <v>45</v>
      </c>
      <c r="B28" s="3">
        <v>1.016</v>
      </c>
      <c r="C28" s="3">
        <v>1.111</v>
      </c>
      <c r="D28" s="3">
        <v>0.6902999999999999</v>
      </c>
      <c r="E28" s="3">
        <v>0.5115</v>
      </c>
      <c r="F28" s="3">
        <v>0.5391</v>
      </c>
      <c r="G28" s="3">
        <v>0.5812</v>
      </c>
      <c r="H28" s="3">
        <v>0.4081</v>
      </c>
      <c r="I28" s="13">
        <v>0.2521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1"/>
      <c r="AI28" s="1"/>
    </row>
    <row x14ac:dyDescent="0.25" r="29" customHeight="1" ht="18.75">
      <c r="A29" s="1" t="s">
        <v>46</v>
      </c>
      <c r="B29" s="3">
        <v>0.119</v>
      </c>
      <c r="C29" s="3">
        <v>24.482</v>
      </c>
      <c r="D29" s="3">
        <v>20.134</v>
      </c>
      <c r="E29" s="3">
        <v>10.571</v>
      </c>
      <c r="F29" s="3">
        <v>3.954</v>
      </c>
      <c r="G29" s="3">
        <v>3.352</v>
      </c>
      <c r="H29" s="3">
        <v>3.995</v>
      </c>
      <c r="I29" s="3">
        <v>3.51</v>
      </c>
      <c r="J29" s="3">
        <v>2.773</v>
      </c>
      <c r="K29" s="3">
        <v>2.287</v>
      </c>
      <c r="L29" s="3">
        <v>1.432</v>
      </c>
      <c r="M29" s="3">
        <v>0.9679</v>
      </c>
      <c r="N29" s="3">
        <v>0.5549</v>
      </c>
      <c r="O29" s="3">
        <v>0.3479</v>
      </c>
      <c r="P29" s="3">
        <v>0.2033</v>
      </c>
      <c r="Q29" s="3">
        <v>0.12969999999999998</v>
      </c>
      <c r="R29" s="3">
        <v>0.0712</v>
      </c>
      <c r="S29" s="3">
        <v>0.0546</v>
      </c>
      <c r="T29" s="3">
        <v>0.0407</v>
      </c>
      <c r="U29" s="3">
        <v>0.0317</v>
      </c>
      <c r="V29" s="3">
        <v>0.0289</v>
      </c>
      <c r="W29" s="3">
        <v>0.0241</v>
      </c>
      <c r="X29" s="13">
        <v>0.0221</v>
      </c>
      <c r="Y29" s="4"/>
      <c r="Z29" s="4"/>
      <c r="AA29" s="4"/>
      <c r="AB29" s="4"/>
      <c r="AC29" s="4"/>
      <c r="AD29" s="4"/>
      <c r="AE29" s="4"/>
      <c r="AF29" s="4"/>
      <c r="AG29" s="4"/>
      <c r="AH29" s="1"/>
      <c r="AI29" s="1"/>
    </row>
    <row x14ac:dyDescent="0.25" r="30" customHeight="1" ht="18.75">
      <c r="A30" s="1" t="s">
        <v>47</v>
      </c>
      <c r="B30" s="3">
        <v>3.385</v>
      </c>
      <c r="C30" s="3">
        <v>1.736</v>
      </c>
      <c r="D30" s="3">
        <v>0.96</v>
      </c>
      <c r="E30" s="3">
        <v>0.5799</v>
      </c>
      <c r="F30" s="3">
        <v>0.5398</v>
      </c>
      <c r="G30" s="3">
        <v>0.44110000000000005</v>
      </c>
      <c r="H30" s="3">
        <v>0.2808</v>
      </c>
      <c r="I30" s="3">
        <v>0.1681</v>
      </c>
      <c r="J30" s="3">
        <v>0.13440000000000002</v>
      </c>
      <c r="K30" s="13">
        <v>0.1029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1"/>
      <c r="AI30" s="1"/>
    </row>
    <row x14ac:dyDescent="0.25" r="31" customHeight="1" ht="18.75">
      <c r="A31" s="1" t="s">
        <v>48</v>
      </c>
      <c r="B31" s="3">
        <v>0.8869</v>
      </c>
      <c r="C31" s="3">
        <v>1.572</v>
      </c>
      <c r="D31" s="3">
        <v>0.48669999999999997</v>
      </c>
      <c r="E31" s="3">
        <v>0.409</v>
      </c>
      <c r="F31" s="3">
        <v>0.3775</v>
      </c>
      <c r="G31" s="3">
        <v>0.2948</v>
      </c>
      <c r="H31" s="3">
        <v>0.194</v>
      </c>
      <c r="I31" s="3">
        <v>0.15580000000000002</v>
      </c>
      <c r="J31" s="13">
        <v>0.0897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1"/>
      <c r="AI31" s="1"/>
    </row>
    <row x14ac:dyDescent="0.25" r="32" customHeight="1" ht="18.75">
      <c r="A32" s="1" t="s">
        <v>49</v>
      </c>
      <c r="B32" s="3">
        <v>1.3</v>
      </c>
      <c r="C32" s="3">
        <v>12.04</v>
      </c>
      <c r="D32" s="3">
        <v>11.773</v>
      </c>
      <c r="E32" s="3">
        <v>8.246</v>
      </c>
      <c r="F32" s="3">
        <v>6.476</v>
      </c>
      <c r="G32" s="3">
        <v>7.547</v>
      </c>
      <c r="H32" s="3">
        <v>6.67</v>
      </c>
      <c r="I32" s="3">
        <v>4.484</v>
      </c>
      <c r="J32" s="3">
        <v>1.707</v>
      </c>
      <c r="K32" s="13">
        <v>0.9445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1"/>
      <c r="AI32" s="1"/>
    </row>
    <row x14ac:dyDescent="0.25" r="33" customHeight="1" ht="18.75">
      <c r="A33" s="1" t="s">
        <v>50</v>
      </c>
      <c r="B33" s="3">
        <v>0.529</v>
      </c>
      <c r="C33" s="3">
        <v>1.94</v>
      </c>
      <c r="D33" s="3">
        <v>2.11</v>
      </c>
      <c r="E33" s="3">
        <v>1.29</v>
      </c>
      <c r="F33" s="3">
        <v>1.16</v>
      </c>
      <c r="G33" s="3">
        <v>0.787</v>
      </c>
      <c r="H33" s="13">
        <v>0.312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1"/>
      <c r="AI33" s="1"/>
    </row>
    <row x14ac:dyDescent="0.25" r="34" customHeight="1" ht="18.75">
      <c r="A34" s="1" t="s">
        <v>51</v>
      </c>
      <c r="B34" s="3">
        <v>2.09</v>
      </c>
      <c r="C34" s="3">
        <v>6.96</v>
      </c>
      <c r="D34" s="3">
        <v>5.99</v>
      </c>
      <c r="E34" s="3">
        <v>7.67</v>
      </c>
      <c r="F34" s="3">
        <v>9.27</v>
      </c>
      <c r="G34" s="3">
        <v>7.56</v>
      </c>
      <c r="H34" s="3">
        <v>3.29</v>
      </c>
      <c r="I34" s="3">
        <v>1.71</v>
      </c>
      <c r="J34" s="13">
        <v>0.657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1"/>
      <c r="AI34" s="1"/>
    </row>
    <row x14ac:dyDescent="0.25" r="35" customHeight="1" ht="18.75">
      <c r="A35" s="1" t="s">
        <v>52</v>
      </c>
      <c r="B35" s="3">
        <v>2.536</v>
      </c>
      <c r="C35" s="3">
        <v>4.48</v>
      </c>
      <c r="D35" s="3">
        <v>3.879</v>
      </c>
      <c r="E35" s="3">
        <v>2.552</v>
      </c>
      <c r="F35" s="3">
        <v>3.501</v>
      </c>
      <c r="G35" s="3">
        <v>4.69</v>
      </c>
      <c r="H35" s="3">
        <v>4.72</v>
      </c>
      <c r="I35" s="3">
        <v>3.146</v>
      </c>
      <c r="J35" s="3">
        <v>1.765</v>
      </c>
      <c r="K35" s="3">
        <v>0.9054</v>
      </c>
      <c r="L35" s="3">
        <v>0.4838</v>
      </c>
      <c r="M35" s="3">
        <v>0.25939999999999996</v>
      </c>
      <c r="N35" s="3">
        <v>0.13119999999999998</v>
      </c>
      <c r="O35" s="3">
        <v>0.0729</v>
      </c>
      <c r="P35" s="3">
        <v>0.0423</v>
      </c>
      <c r="Q35" s="3">
        <v>0.0294</v>
      </c>
      <c r="R35" s="3">
        <v>0.0217</v>
      </c>
      <c r="S35" s="13">
        <v>0.0182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1"/>
      <c r="AI35" s="1"/>
    </row>
    <row x14ac:dyDescent="0.25" r="36" customHeight="1" ht="18.75">
      <c r="A36" s="1" t="s">
        <v>53</v>
      </c>
      <c r="B36" s="3">
        <v>0.2377</v>
      </c>
      <c r="C36" s="3">
        <v>0.18619999999999998</v>
      </c>
      <c r="D36" s="3">
        <v>0.109</v>
      </c>
      <c r="E36" s="3">
        <v>0.0717</v>
      </c>
      <c r="F36" s="3">
        <v>0.0592</v>
      </c>
      <c r="G36" s="3">
        <v>0.0416</v>
      </c>
      <c r="H36" s="3">
        <v>0.0219</v>
      </c>
      <c r="I36" s="3">
        <v>0.0094</v>
      </c>
      <c r="J36" s="13">
        <v>0.0074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1"/>
      <c r="AI36" s="1"/>
    </row>
    <row x14ac:dyDescent="0.25" r="37" customHeight="1" ht="18.75">
      <c r="A37" s="1" t="s">
        <v>54</v>
      </c>
      <c r="B37" s="3">
        <v>0.3103</v>
      </c>
      <c r="C37" s="3">
        <v>1.752</v>
      </c>
      <c r="D37" s="3">
        <v>1.469</v>
      </c>
      <c r="E37" s="3">
        <v>2.038</v>
      </c>
      <c r="F37" s="3">
        <v>2.201</v>
      </c>
      <c r="G37" s="3">
        <v>2.963</v>
      </c>
      <c r="H37" s="3">
        <v>2.72</v>
      </c>
      <c r="I37" s="3">
        <v>2.043</v>
      </c>
      <c r="J37" s="3">
        <v>1.342</v>
      </c>
      <c r="K37" s="3">
        <v>0.3865</v>
      </c>
      <c r="L37" s="13">
        <v>0.0991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1"/>
      <c r="AI37" s="1"/>
    </row>
    <row x14ac:dyDescent="0.25" r="38" customHeight="1" ht="18.75">
      <c r="A38" s="1" t="s">
        <v>55</v>
      </c>
      <c r="B38" s="3">
        <v>4.592</v>
      </c>
      <c r="C38" s="3">
        <v>7.594</v>
      </c>
      <c r="D38" s="3">
        <v>3.812</v>
      </c>
      <c r="E38" s="3">
        <v>3.519</v>
      </c>
      <c r="F38" s="3">
        <v>4.078</v>
      </c>
      <c r="G38" s="3">
        <v>2.724</v>
      </c>
      <c r="H38" s="3">
        <v>1.635</v>
      </c>
      <c r="I38" s="3">
        <v>0.8617</v>
      </c>
      <c r="J38" s="3">
        <v>0.5237</v>
      </c>
      <c r="K38" s="3">
        <v>0.5035</v>
      </c>
      <c r="L38" s="3">
        <v>0.6762999999999999</v>
      </c>
      <c r="M38" s="13">
        <v>0.4093</v>
      </c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1"/>
      <c r="AI38" s="1"/>
    </row>
    <row x14ac:dyDescent="0.25" r="39" customHeight="1" ht="18.75">
      <c r="A39" s="1" t="s">
        <v>56</v>
      </c>
      <c r="B39" s="3">
        <v>1.106</v>
      </c>
      <c r="C39" s="3">
        <v>1.861</v>
      </c>
      <c r="D39" s="3">
        <v>2.766</v>
      </c>
      <c r="E39" s="3">
        <v>0.9432</v>
      </c>
      <c r="F39" s="3">
        <v>0.8925</v>
      </c>
      <c r="G39" s="3">
        <v>0.9709</v>
      </c>
      <c r="H39" s="3">
        <v>0.7397</v>
      </c>
      <c r="I39" s="13">
        <v>0.4382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1"/>
      <c r="AI39" s="1"/>
    </row>
    <row x14ac:dyDescent="0.25" r="40" customHeight="1" ht="18.75">
      <c r="A40" s="1" t="s">
        <v>57</v>
      </c>
      <c r="B40" s="3">
        <v>0.2339</v>
      </c>
      <c r="C40" s="3">
        <v>0.5306000000000001</v>
      </c>
      <c r="D40" s="3">
        <v>2.207</v>
      </c>
      <c r="E40" s="3">
        <v>1.424</v>
      </c>
      <c r="F40" s="3">
        <v>1.111</v>
      </c>
      <c r="G40" s="3">
        <v>1.294</v>
      </c>
      <c r="H40" s="3">
        <v>1.516</v>
      </c>
      <c r="I40" s="13">
        <v>1.158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1"/>
      <c r="AI40" s="1"/>
    </row>
    <row x14ac:dyDescent="0.25" r="41" customHeight="1" ht="18.75">
      <c r="A41" s="1" t="s">
        <v>58</v>
      </c>
      <c r="B41" s="3">
        <v>0.1301</v>
      </c>
      <c r="C41" s="3">
        <v>0.167</v>
      </c>
      <c r="D41" s="3">
        <v>0.2508</v>
      </c>
      <c r="E41" s="3">
        <v>0.19590000000000002</v>
      </c>
      <c r="F41" s="3">
        <v>0.2105</v>
      </c>
      <c r="G41" s="3">
        <v>0.223</v>
      </c>
      <c r="H41" s="3">
        <v>0.1666</v>
      </c>
      <c r="I41" s="13">
        <v>0.09240000000000001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1"/>
      <c r="AI41" s="1"/>
    </row>
    <row x14ac:dyDescent="0.25" r="42" customHeight="1" ht="18.75">
      <c r="A42" s="1" t="s">
        <v>59</v>
      </c>
      <c r="B42" s="3">
        <v>1.155</v>
      </c>
      <c r="C42" s="3">
        <v>2.451</v>
      </c>
      <c r="D42" s="3">
        <v>1.795</v>
      </c>
      <c r="E42" s="3">
        <v>1.101</v>
      </c>
      <c r="F42" s="3">
        <v>0.8627999999999999</v>
      </c>
      <c r="G42" s="3">
        <v>0.6315</v>
      </c>
      <c r="H42" s="3">
        <v>0.44930000000000003</v>
      </c>
      <c r="I42" s="13">
        <v>0.2802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1"/>
      <c r="AI42" s="1"/>
    </row>
    <row x14ac:dyDescent="0.25" r="43" customHeight="1" ht="18.75">
      <c r="A43" s="1" t="s">
        <v>60</v>
      </c>
      <c r="B43" s="3">
        <v>1.54</v>
      </c>
      <c r="C43" s="3">
        <v>3.16</v>
      </c>
      <c r="D43" s="3">
        <v>2.41</v>
      </c>
      <c r="E43" s="3">
        <v>3.38</v>
      </c>
      <c r="F43" s="3">
        <v>3.09</v>
      </c>
      <c r="G43" s="6">
        <v>2</v>
      </c>
      <c r="H43" s="3">
        <v>0.637</v>
      </c>
      <c r="I43" s="3">
        <v>0.225</v>
      </c>
      <c r="J43" s="3">
        <v>0.115</v>
      </c>
      <c r="K43" s="3">
        <v>0.071</v>
      </c>
      <c r="L43" s="3">
        <v>0.051</v>
      </c>
      <c r="M43" s="13">
        <v>0.037</v>
      </c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1"/>
      <c r="AI43" s="1"/>
    </row>
    <row x14ac:dyDescent="0.25" r="44" customHeight="1" ht="18.75">
      <c r="A44" s="1" t="s">
        <v>61</v>
      </c>
      <c r="B44" s="3">
        <v>0.284</v>
      </c>
      <c r="C44" s="3">
        <v>0.764</v>
      </c>
      <c r="D44" s="3">
        <v>0.739</v>
      </c>
      <c r="E44" s="3">
        <v>0.495</v>
      </c>
      <c r="F44" s="3">
        <v>0.489</v>
      </c>
      <c r="G44" s="3">
        <v>0.467</v>
      </c>
      <c r="H44" s="13">
        <v>0.183</v>
      </c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1"/>
      <c r="AI44" s="1"/>
    </row>
    <row x14ac:dyDescent="0.25" r="45" customHeight="1" ht="18.75">
      <c r="A45" s="1" t="s">
        <v>62</v>
      </c>
      <c r="B45" s="3">
        <v>0.263</v>
      </c>
      <c r="C45" s="3">
        <v>0.366</v>
      </c>
      <c r="D45" s="3">
        <v>0.93</v>
      </c>
      <c r="E45" s="3">
        <v>1.28</v>
      </c>
      <c r="F45" s="3">
        <v>1.01</v>
      </c>
      <c r="G45" s="3">
        <v>0.784</v>
      </c>
      <c r="H45" s="3">
        <v>0.413</v>
      </c>
      <c r="I45" s="3">
        <v>0.237</v>
      </c>
      <c r="J45" s="3">
        <v>0.181</v>
      </c>
      <c r="K45" s="13">
        <v>0.139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1"/>
      <c r="AI45" s="1"/>
    </row>
    <row x14ac:dyDescent="0.25" r="46" customHeight="1" ht="18.75">
      <c r="A46" s="1" t="s">
        <v>63</v>
      </c>
      <c r="B46" s="3">
        <v>0.212</v>
      </c>
      <c r="C46" s="3">
        <v>0.276</v>
      </c>
      <c r="D46" s="3">
        <v>0.612</v>
      </c>
      <c r="E46" s="3">
        <v>0.757</v>
      </c>
      <c r="F46" s="3">
        <v>0.479</v>
      </c>
      <c r="G46" s="3">
        <v>0.43</v>
      </c>
      <c r="H46" s="3">
        <v>0.394</v>
      </c>
      <c r="I46" s="3">
        <v>0.228</v>
      </c>
      <c r="J46" s="13">
        <v>0.125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1"/>
      <c r="AI46" s="1"/>
    </row>
    <row x14ac:dyDescent="0.25" r="47" customHeight="1" ht="18.75">
      <c r="A47" s="1" t="s">
        <v>64</v>
      </c>
      <c r="B47" s="3">
        <v>3.6</v>
      </c>
      <c r="C47" s="3">
        <v>14.44</v>
      </c>
      <c r="D47" s="3">
        <v>6.84</v>
      </c>
      <c r="E47" s="3">
        <v>7.14</v>
      </c>
      <c r="F47" s="3">
        <v>6.84</v>
      </c>
      <c r="G47" s="3">
        <v>5.49</v>
      </c>
      <c r="H47" s="3">
        <v>3.87</v>
      </c>
      <c r="I47" s="3">
        <v>2.3</v>
      </c>
      <c r="J47" s="3">
        <v>1.54</v>
      </c>
      <c r="K47" s="3">
        <v>1.15</v>
      </c>
      <c r="L47" s="3">
        <v>0.727</v>
      </c>
      <c r="M47" s="3">
        <v>0.482</v>
      </c>
      <c r="N47" s="3">
        <v>0.364</v>
      </c>
      <c r="O47" s="3">
        <v>0.267</v>
      </c>
      <c r="P47" s="3">
        <v>0.217</v>
      </c>
      <c r="Q47" s="3">
        <v>0.16</v>
      </c>
      <c r="R47" s="3">
        <v>0.147</v>
      </c>
      <c r="S47" s="3">
        <v>0.143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1"/>
      <c r="AI47" s="1"/>
    </row>
    <row x14ac:dyDescent="0.25" r="48" customHeight="1" ht="18.75">
      <c r="A48" s="1"/>
      <c r="B48" s="12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1"/>
      <c r="AI48" s="1"/>
    </row>
    <row x14ac:dyDescent="0.25" r="49" customHeight="1" ht="18.75">
      <c r="A49" s="1" t="s">
        <v>65</v>
      </c>
      <c r="B49" s="12" t="s">
        <v>66</v>
      </c>
      <c r="C49" s="5" t="s">
        <v>67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1"/>
      <c r="AI49" s="1"/>
    </row>
    <row x14ac:dyDescent="0.25" r="50" customHeight="1" ht="18.75">
      <c r="A50" s="1" t="s">
        <v>68</v>
      </c>
      <c r="B50" s="14">
        <v>1.7847222222222223</v>
      </c>
      <c r="C50" s="3">
        <v>1.114</v>
      </c>
      <c r="D50" s="4"/>
      <c r="E50" s="4"/>
      <c r="F50" s="15">
        <f>TEXT(A50,"yyyy/mm/dd") &amp; " " &amp; TEXT(B50,"hh:mm:ss")</f>
      </c>
      <c r="G50" s="15" t="s">
        <v>69</v>
      </c>
      <c r="H50" s="16"/>
      <c r="I50" s="17"/>
      <c r="J50" s="18" t="s">
        <v>19</v>
      </c>
      <c r="K50" s="19">
        <f>DATE(YEAR(L50), MONTH(L50), DAY(L50))</f>
        <v>25569.041666666668</v>
      </c>
      <c r="L50" s="18" t="s">
        <v>69</v>
      </c>
      <c r="M50" s="18" t="s">
        <v>70</v>
      </c>
      <c r="N50" s="18" t="s">
        <v>71</v>
      </c>
      <c r="O50" s="18" t="s">
        <v>72</v>
      </c>
      <c r="P50" s="18" t="s">
        <v>73</v>
      </c>
      <c r="Q50" s="18" t="s">
        <v>74</v>
      </c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"/>
      <c r="AI50" s="1"/>
    </row>
    <row x14ac:dyDescent="0.25" r="51" customHeight="1" ht="18.75">
      <c r="A51" s="1" t="s">
        <v>68</v>
      </c>
      <c r="B51" s="14">
        <v>1.9701388888888889</v>
      </c>
      <c r="C51" s="3">
        <v>2.935</v>
      </c>
      <c r="D51" s="4"/>
      <c r="E51" s="4"/>
      <c r="F51" s="4">
        <f>TEXT(A51,"yyyy/mm/dd") &amp; " " &amp; TEXT(B51,"hh:mm:ss")</f>
      </c>
      <c r="G51" s="4" t="s">
        <v>70</v>
      </c>
      <c r="H51" s="4"/>
      <c r="I51" s="4"/>
      <c r="J51" s="4" t="s">
        <v>20</v>
      </c>
      <c r="K51" s="19">
        <f>DATE(YEAR(L51), MONTH(L51), DAY(L51))</f>
        <v>25569.041666666668</v>
      </c>
      <c r="L51" s="4" t="s">
        <v>75</v>
      </c>
      <c r="M51" s="4" t="s">
        <v>76</v>
      </c>
      <c r="N51" s="4" t="s">
        <v>77</v>
      </c>
      <c r="O51" s="4" t="s">
        <v>78</v>
      </c>
      <c r="P51" s="4" t="s">
        <v>79</v>
      </c>
      <c r="Q51" s="4" t="s">
        <v>80</v>
      </c>
      <c r="R51" s="20" t="s">
        <v>81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1"/>
      <c r="AI51" s="1"/>
    </row>
    <row x14ac:dyDescent="0.25" r="52" customHeight="1" ht="18.75">
      <c r="A52" s="1" t="s">
        <v>82</v>
      </c>
      <c r="B52" s="14">
        <v>1.0284722222222222</v>
      </c>
      <c r="C52" s="3">
        <v>3.26</v>
      </c>
      <c r="D52" s="4"/>
      <c r="E52" s="4"/>
      <c r="F52" s="4">
        <f>TEXT(A52,"yyyy/mm/dd") &amp; " " &amp; TEXT(B52,"hh:mm:ss")</f>
      </c>
      <c r="G52" s="4" t="s">
        <v>71</v>
      </c>
      <c r="H52" s="4"/>
      <c r="I52" s="4"/>
      <c r="J52" s="4" t="s">
        <v>21</v>
      </c>
      <c r="K52" s="19">
        <f>DATE(YEAR(L52), MONTH(L52), DAY(L52))</f>
        <v>25569.041666666668</v>
      </c>
      <c r="L52" s="4" t="s">
        <v>83</v>
      </c>
      <c r="M52" s="4" t="s">
        <v>84</v>
      </c>
      <c r="N52" s="4" t="s">
        <v>85</v>
      </c>
      <c r="O52" s="4" t="s">
        <v>86</v>
      </c>
      <c r="P52" s="4" t="s">
        <v>87</v>
      </c>
      <c r="Q52" s="20" t="s">
        <v>88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1"/>
      <c r="AI52" s="1"/>
    </row>
    <row x14ac:dyDescent="0.25" r="53" customHeight="1" ht="18.75">
      <c r="A53" s="1" t="s">
        <v>89</v>
      </c>
      <c r="B53" s="14">
        <v>1.0222222222222221</v>
      </c>
      <c r="C53" s="3">
        <v>2.269</v>
      </c>
      <c r="D53" s="4"/>
      <c r="E53" s="4"/>
      <c r="F53" s="4">
        <f>TEXT(A53,"yyyy/mm/dd") &amp; " " &amp; TEXT(B53,"hh:mm:ss")</f>
      </c>
      <c r="G53" s="4" t="s">
        <v>72</v>
      </c>
      <c r="H53" s="4"/>
      <c r="I53" s="4"/>
      <c r="J53" s="4" t="s">
        <v>22</v>
      </c>
      <c r="K53" s="19">
        <f>DATE(YEAR(L53), MONTH(L53), DAY(L53))</f>
        <v>25569.041666666668</v>
      </c>
      <c r="L53" s="4" t="s">
        <v>90</v>
      </c>
      <c r="M53" s="4" t="s">
        <v>91</v>
      </c>
      <c r="N53" s="4" t="s">
        <v>92</v>
      </c>
      <c r="O53" s="4" t="s">
        <v>93</v>
      </c>
      <c r="P53" s="4" t="s">
        <v>94</v>
      </c>
      <c r="Q53" s="4" t="s">
        <v>95</v>
      </c>
      <c r="R53" s="4" t="s">
        <v>96</v>
      </c>
      <c r="S53" s="4" t="s">
        <v>97</v>
      </c>
      <c r="T53" s="4" t="s">
        <v>98</v>
      </c>
      <c r="U53" s="4" t="s">
        <v>99</v>
      </c>
      <c r="V53" s="20" t="s">
        <v>100</v>
      </c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1"/>
      <c r="AI53" s="1"/>
    </row>
    <row x14ac:dyDescent="0.25" r="54" customHeight="1" ht="18.75">
      <c r="A54" s="1" t="s">
        <v>101</v>
      </c>
      <c r="B54" s="14">
        <v>1.0194444444444444</v>
      </c>
      <c r="C54" s="3">
        <v>1.943</v>
      </c>
      <c r="D54" s="4"/>
      <c r="E54" s="4"/>
      <c r="F54" s="4">
        <f>TEXT(A54,"yyyy/mm/dd") &amp; " " &amp; TEXT(B54,"hh:mm:ss")</f>
      </c>
      <c r="G54" s="4" t="s">
        <v>73</v>
      </c>
      <c r="H54" s="4"/>
      <c r="I54" s="4"/>
      <c r="J54" s="4" t="s">
        <v>23</v>
      </c>
      <c r="K54" s="19">
        <f>DATE(YEAR(L54), MONTH(L54), DAY(L54))</f>
        <v>25569.041666666668</v>
      </c>
      <c r="L54" s="4" t="s">
        <v>102</v>
      </c>
      <c r="M54" s="4" t="s">
        <v>103</v>
      </c>
      <c r="N54" s="4" t="s">
        <v>104</v>
      </c>
      <c r="O54" s="4" t="s">
        <v>105</v>
      </c>
      <c r="P54" s="4" t="s">
        <v>106</v>
      </c>
      <c r="Q54" s="4" t="s">
        <v>107</v>
      </c>
      <c r="R54" s="20" t="s">
        <v>108</v>
      </c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1"/>
      <c r="AI54" s="1"/>
    </row>
    <row x14ac:dyDescent="0.25" r="55" customHeight="1" ht="18.75">
      <c r="A55" s="21" t="s">
        <v>109</v>
      </c>
      <c r="B55" s="22">
        <v>1.0013888888888889</v>
      </c>
      <c r="C55" s="13">
        <v>1.057</v>
      </c>
      <c r="D55" s="4"/>
      <c r="E55" s="4"/>
      <c r="F55" s="4">
        <f>TEXT(A55,"yyyy/mm/dd") &amp; " " &amp; TEXT(B55,"hh:mm:ss")</f>
      </c>
      <c r="G55" s="20" t="s">
        <v>74</v>
      </c>
      <c r="H55" s="4"/>
      <c r="I55" s="4"/>
      <c r="J55" s="4" t="s">
        <v>24</v>
      </c>
      <c r="K55" s="19">
        <f>DATE(YEAR(L55), MONTH(L55), DAY(L55))</f>
        <v>25569.041666666668</v>
      </c>
      <c r="L55" s="4" t="s">
        <v>110</v>
      </c>
      <c r="M55" s="4" t="s">
        <v>111</v>
      </c>
      <c r="N55" s="4" t="s">
        <v>112</v>
      </c>
      <c r="O55" s="4" t="s">
        <v>113</v>
      </c>
      <c r="P55" s="4" t="s">
        <v>114</v>
      </c>
      <c r="Q55" s="4" t="s">
        <v>115</v>
      </c>
      <c r="R55" s="4" t="s">
        <v>116</v>
      </c>
      <c r="S55" s="4" t="s">
        <v>117</v>
      </c>
      <c r="T55" s="4" t="s">
        <v>118</v>
      </c>
      <c r="U55" s="4" t="s">
        <v>119</v>
      </c>
      <c r="V55" s="20" t="s">
        <v>120</v>
      </c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23"/>
      <c r="AI55" s="1"/>
    </row>
    <row x14ac:dyDescent="0.25" r="56" customHeight="1" ht="18.75">
      <c r="A56" s="1" t="s">
        <v>121</v>
      </c>
      <c r="B56" s="14">
        <v>1.854861111111111</v>
      </c>
      <c r="C56" s="3">
        <v>0.159</v>
      </c>
      <c r="D56" s="4"/>
      <c r="E56" s="4"/>
      <c r="F56" s="4">
        <f>TEXT(A56,"yyyy/mm/dd") &amp; " " &amp; TEXT(B56,"hh:mm:ss")</f>
      </c>
      <c r="G56" s="4" t="s">
        <v>75</v>
      </c>
      <c r="H56" s="4"/>
      <c r="I56" s="4"/>
      <c r="J56" s="4" t="s">
        <v>25</v>
      </c>
      <c r="K56" s="19">
        <f>DATE(YEAR(L56), MONTH(L56), DAY(L56))</f>
        <v>25569.041666666668</v>
      </c>
      <c r="L56" s="4" t="s">
        <v>122</v>
      </c>
      <c r="M56" s="4" t="s">
        <v>123</v>
      </c>
      <c r="N56" s="4" t="s">
        <v>124</v>
      </c>
      <c r="O56" s="4" t="s">
        <v>125</v>
      </c>
      <c r="P56" s="4" t="s">
        <v>126</v>
      </c>
      <c r="Q56" s="4" t="s">
        <v>127</v>
      </c>
      <c r="R56" s="4" t="s">
        <v>128</v>
      </c>
      <c r="S56" s="4" t="s">
        <v>129</v>
      </c>
      <c r="T56" s="4" t="s">
        <v>130</v>
      </c>
      <c r="U56" s="4" t="s">
        <v>131</v>
      </c>
      <c r="V56" s="4" t="s">
        <v>132</v>
      </c>
      <c r="W56" s="20" t="s">
        <v>133</v>
      </c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1"/>
      <c r="AI56" s="1"/>
    </row>
    <row x14ac:dyDescent="0.25" r="57" customHeight="1" ht="18.75">
      <c r="A57" s="1" t="s">
        <v>121</v>
      </c>
      <c r="B57" s="14">
        <v>1.9972222222222222</v>
      </c>
      <c r="C57" s="3">
        <v>10.68</v>
      </c>
      <c r="D57" s="4"/>
      <c r="E57" s="4"/>
      <c r="F57" s="4">
        <f>TEXT(A57,"yyyy/mm/dd") &amp; " " &amp; TEXT(B57,"hh:mm:ss")</f>
      </c>
      <c r="G57" s="4" t="s">
        <v>76</v>
      </c>
      <c r="H57" s="4"/>
      <c r="I57" s="4"/>
      <c r="J57" s="4" t="s">
        <v>26</v>
      </c>
      <c r="K57" s="19">
        <f>DATE(YEAR(L57), MONTH(L57), DAY(L57))</f>
        <v>25569.041666666668</v>
      </c>
      <c r="L57" s="4" t="s">
        <v>134</v>
      </c>
      <c r="M57" s="4" t="s">
        <v>135</v>
      </c>
      <c r="N57" s="4" t="s">
        <v>136</v>
      </c>
      <c r="O57" s="4" t="s">
        <v>137</v>
      </c>
      <c r="P57" s="4" t="s">
        <v>138</v>
      </c>
      <c r="Q57" s="4" t="s">
        <v>139</v>
      </c>
      <c r="R57" s="4" t="s">
        <v>140</v>
      </c>
      <c r="S57" s="20" t="s">
        <v>141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1"/>
      <c r="AI57" s="1"/>
    </row>
    <row x14ac:dyDescent="0.25" r="58" customHeight="1" ht="18.75">
      <c r="A58" s="1" t="s">
        <v>142</v>
      </c>
      <c r="B58" s="14">
        <v>1.011111111111111</v>
      </c>
      <c r="C58" s="3">
        <v>3.57</v>
      </c>
      <c r="D58" s="4"/>
      <c r="E58" s="4"/>
      <c r="F58" s="4">
        <f>TEXT(A58,"yyyy/mm/dd") &amp; " " &amp; TEXT(B58,"hh:mm:ss")</f>
      </c>
      <c r="G58" s="4" t="s">
        <v>77</v>
      </c>
      <c r="H58" s="4"/>
      <c r="I58" s="4"/>
      <c r="J58" s="4" t="s">
        <v>27</v>
      </c>
      <c r="K58" s="19">
        <f>DATE(YEAR(L58), MONTH(L58), DAY(L58))</f>
        <v>25569.041666666668</v>
      </c>
      <c r="L58" s="4" t="s">
        <v>143</v>
      </c>
      <c r="M58" s="4" t="s">
        <v>144</v>
      </c>
      <c r="N58" s="4" t="s">
        <v>145</v>
      </c>
      <c r="O58" s="4" t="s">
        <v>146</v>
      </c>
      <c r="P58" s="4" t="s">
        <v>147</v>
      </c>
      <c r="Q58" s="4" t="s">
        <v>148</v>
      </c>
      <c r="R58" s="4" t="s">
        <v>149</v>
      </c>
      <c r="S58" s="4" t="s">
        <v>150</v>
      </c>
      <c r="T58" s="4" t="s">
        <v>151</v>
      </c>
      <c r="U58" s="4" t="s">
        <v>152</v>
      </c>
      <c r="V58" s="4" t="s">
        <v>153</v>
      </c>
      <c r="W58" s="4" t="s">
        <v>154</v>
      </c>
      <c r="X58" s="4" t="s">
        <v>155</v>
      </c>
      <c r="Y58" s="4" t="s">
        <v>156</v>
      </c>
      <c r="Z58" s="20" t="s">
        <v>157</v>
      </c>
      <c r="AA58" s="4"/>
      <c r="AB58" s="4"/>
      <c r="AC58" s="4"/>
      <c r="AD58" s="4"/>
      <c r="AE58" s="4"/>
      <c r="AF58" s="4"/>
      <c r="AG58" s="4"/>
      <c r="AH58" s="1"/>
      <c r="AI58" s="1"/>
    </row>
    <row x14ac:dyDescent="0.25" r="59" customHeight="1" ht="18.75">
      <c r="A59" s="1" t="s">
        <v>158</v>
      </c>
      <c r="B59" s="14">
        <v>1.0083333333333333</v>
      </c>
      <c r="C59" s="3">
        <v>2.1</v>
      </c>
      <c r="D59" s="4"/>
      <c r="E59" s="4"/>
      <c r="F59" s="4">
        <f>TEXT(A59,"yyyy/mm/dd") &amp; " " &amp; TEXT(B59,"hh:mm:ss")</f>
      </c>
      <c r="G59" s="4" t="s">
        <v>78</v>
      </c>
      <c r="H59" s="4"/>
      <c r="I59" s="4"/>
      <c r="J59" s="4" t="s">
        <v>28</v>
      </c>
      <c r="K59" s="19">
        <f>DATE(YEAR(L59), MONTH(L59), DAY(L59))</f>
        <v>25569.041666666668</v>
      </c>
      <c r="L59" s="4" t="s">
        <v>159</v>
      </c>
      <c r="M59" s="4" t="s">
        <v>160</v>
      </c>
      <c r="N59" s="4" t="s">
        <v>161</v>
      </c>
      <c r="O59" s="4" t="s">
        <v>162</v>
      </c>
      <c r="P59" s="4" t="s">
        <v>163</v>
      </c>
      <c r="Q59" s="4" t="s">
        <v>164</v>
      </c>
      <c r="R59" s="4" t="s">
        <v>165</v>
      </c>
      <c r="S59" s="4" t="s">
        <v>166</v>
      </c>
      <c r="T59" s="4" t="s">
        <v>167</v>
      </c>
      <c r="U59" s="20" t="s">
        <v>168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1"/>
      <c r="AI59" s="1"/>
    </row>
    <row x14ac:dyDescent="0.25" r="60" customHeight="1" ht="18.75">
      <c r="A60" s="1" t="s">
        <v>169</v>
      </c>
      <c r="B60" s="14">
        <v>1.00625</v>
      </c>
      <c r="C60" s="3">
        <v>1.62</v>
      </c>
      <c r="D60" s="4"/>
      <c r="E60" s="4"/>
      <c r="F60" s="4">
        <f>TEXT(A60,"yyyy/mm/dd") &amp; " " &amp; TEXT(B60,"hh:mm:ss")</f>
      </c>
      <c r="G60" s="4" t="s">
        <v>79</v>
      </c>
      <c r="H60" s="4"/>
      <c r="I60" s="4"/>
      <c r="J60" s="4" t="s">
        <v>29</v>
      </c>
      <c r="K60" s="19">
        <f>DATE(YEAR(L60), MONTH(L60), DAY(L60))</f>
        <v>25569.041666666668</v>
      </c>
      <c r="L60" s="4" t="s">
        <v>170</v>
      </c>
      <c r="M60" s="4" t="s">
        <v>171</v>
      </c>
      <c r="N60" s="4" t="s">
        <v>172</v>
      </c>
      <c r="O60" s="4" t="s">
        <v>173</v>
      </c>
      <c r="P60" s="4" t="s">
        <v>174</v>
      </c>
      <c r="Q60" s="20" t="s">
        <v>175</v>
      </c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1"/>
      <c r="AI60" s="1"/>
    </row>
    <row x14ac:dyDescent="0.25" r="61" customHeight="1" ht="18.75">
      <c r="A61" s="1" t="s">
        <v>176</v>
      </c>
      <c r="B61" s="14">
        <v>1.0006944444444446</v>
      </c>
      <c r="C61" s="3">
        <v>1.73</v>
      </c>
      <c r="D61" s="4"/>
      <c r="E61" s="4"/>
      <c r="F61" s="4">
        <f>TEXT(A61,"yyyy/mm/dd") &amp; " " &amp; TEXT(B61,"hh:mm:ss")</f>
      </c>
      <c r="G61" s="4" t="s">
        <v>80</v>
      </c>
      <c r="H61" s="4"/>
      <c r="I61" s="4"/>
      <c r="J61" s="4" t="s">
        <v>30</v>
      </c>
      <c r="K61" s="19">
        <f>DATE(YEAR(L61), MONTH(L61), DAY(L61))</f>
        <v>25569.041666666668</v>
      </c>
      <c r="L61" s="4" t="s">
        <v>177</v>
      </c>
      <c r="M61" s="4" t="s">
        <v>178</v>
      </c>
      <c r="N61" s="4" t="s">
        <v>179</v>
      </c>
      <c r="O61" s="4" t="s">
        <v>180</v>
      </c>
      <c r="P61" s="4" t="s">
        <v>181</v>
      </c>
      <c r="Q61" s="4" t="s">
        <v>182</v>
      </c>
      <c r="R61" s="4" t="s">
        <v>183</v>
      </c>
      <c r="S61" s="4" t="s">
        <v>184</v>
      </c>
      <c r="T61" s="20" t="s">
        <v>185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1"/>
      <c r="AI61" s="1"/>
    </row>
    <row x14ac:dyDescent="0.25" r="62" customHeight="1" ht="18.75">
      <c r="A62" s="21" t="s">
        <v>186</v>
      </c>
      <c r="B62" s="24">
        <v>1.0020833333333334</v>
      </c>
      <c r="C62" s="13">
        <v>1.19</v>
      </c>
      <c r="D62" s="4"/>
      <c r="E62" s="4"/>
      <c r="F62" s="4">
        <f>TEXT(A62,"yyyy/mm/dd") &amp; " " &amp; TEXT(B62,"hh:mm:ss")</f>
      </c>
      <c r="G62" s="20" t="s">
        <v>81</v>
      </c>
      <c r="H62" s="4"/>
      <c r="I62" s="4"/>
      <c r="J62" s="4" t="s">
        <v>31</v>
      </c>
      <c r="K62" s="19">
        <f>DATE(YEAR(L62), MONTH(L62), DAY(L62))</f>
        <v>25569.041666666668</v>
      </c>
      <c r="L62" s="4" t="s">
        <v>187</v>
      </c>
      <c r="M62" s="4" t="s">
        <v>188</v>
      </c>
      <c r="N62" s="4" t="s">
        <v>189</v>
      </c>
      <c r="O62" s="4" t="s">
        <v>190</v>
      </c>
      <c r="P62" s="4" t="s">
        <v>191</v>
      </c>
      <c r="Q62" s="4" t="s">
        <v>192</v>
      </c>
      <c r="R62" s="20" t="s">
        <v>193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23"/>
      <c r="AI62" s="1"/>
    </row>
    <row x14ac:dyDescent="0.25" r="63" customHeight="1" ht="18.75">
      <c r="A63" s="1" t="s">
        <v>194</v>
      </c>
      <c r="B63" s="14">
        <v>1.3222222222222222</v>
      </c>
      <c r="C63" s="3">
        <v>0.075</v>
      </c>
      <c r="D63" s="4"/>
      <c r="E63" s="4"/>
      <c r="F63" s="4">
        <f>TEXT(A63,"yyyy/mm/dd") &amp; " " &amp; TEXT(B63,"hh:mm:ss")</f>
      </c>
      <c r="G63" s="4" t="s">
        <v>83</v>
      </c>
      <c r="H63" s="4"/>
      <c r="I63" s="4"/>
      <c r="J63" s="4" t="s">
        <v>32</v>
      </c>
      <c r="K63" s="19">
        <f>DATE(YEAR(L63), MONTH(L63), DAY(L63))</f>
        <v>25569.041666666668</v>
      </c>
      <c r="L63" s="4" t="s">
        <v>195</v>
      </c>
      <c r="M63" s="4" t="s">
        <v>196</v>
      </c>
      <c r="N63" s="4" t="s">
        <v>197</v>
      </c>
      <c r="O63" s="4" t="s">
        <v>198</v>
      </c>
      <c r="P63" s="4" t="s">
        <v>199</v>
      </c>
      <c r="Q63" s="4" t="s">
        <v>200</v>
      </c>
      <c r="R63" s="4" t="s">
        <v>201</v>
      </c>
      <c r="S63" s="20" t="s">
        <v>202</v>
      </c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1"/>
      <c r="AI63" s="1"/>
    </row>
    <row x14ac:dyDescent="0.25" r="64" customHeight="1" ht="18.75">
      <c r="A64" s="1" t="s">
        <v>194</v>
      </c>
      <c r="B64" s="14">
        <v>1.7527777777777778</v>
      </c>
      <c r="C64" s="3">
        <v>0.188</v>
      </c>
      <c r="D64" s="4"/>
      <c r="E64" s="4"/>
      <c r="F64" s="4">
        <f>TEXT(A64,"yyyy/mm/dd") &amp; " " &amp; TEXT(B64,"hh:mm:ss")</f>
      </c>
      <c r="G64" s="4" t="s">
        <v>84</v>
      </c>
      <c r="H64" s="4"/>
      <c r="I64" s="4"/>
      <c r="J64" s="4" t="s">
        <v>33</v>
      </c>
      <c r="K64" s="19">
        <f>DATE(YEAR(L64), MONTH(L64), DAY(L64))</f>
        <v>25569.041666666668</v>
      </c>
      <c r="L64" s="4" t="s">
        <v>203</v>
      </c>
      <c r="M64" s="4" t="s">
        <v>204</v>
      </c>
      <c r="N64" s="4" t="s">
        <v>205</v>
      </c>
      <c r="O64" s="4" t="s">
        <v>206</v>
      </c>
      <c r="P64" s="4" t="s">
        <v>207</v>
      </c>
      <c r="Q64" s="4" t="s">
        <v>208</v>
      </c>
      <c r="R64" s="4" t="s">
        <v>209</v>
      </c>
      <c r="S64" s="20" t="s">
        <v>210</v>
      </c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1"/>
      <c r="AI64" s="1"/>
    </row>
    <row x14ac:dyDescent="0.25" r="65" customHeight="1" ht="18.75">
      <c r="A65" s="1" t="s">
        <v>211</v>
      </c>
      <c r="B65" s="14">
        <v>1.023611111111111</v>
      </c>
      <c r="C65" s="3">
        <v>0.146</v>
      </c>
      <c r="D65" s="4"/>
      <c r="E65" s="4"/>
      <c r="F65" s="4">
        <f>TEXT(A65,"yyyy/mm/dd") &amp; " " &amp; TEXT(B65,"hh:mm:ss")</f>
      </c>
      <c r="G65" s="4" t="s">
        <v>85</v>
      </c>
      <c r="H65" s="4"/>
      <c r="I65" s="4"/>
      <c r="J65" s="4" t="s">
        <v>34</v>
      </c>
      <c r="K65" s="19">
        <f>DATE(YEAR(L65), MONTH(L65), DAY(L65))</f>
        <v>25569.041666666668</v>
      </c>
      <c r="L65" s="4" t="s">
        <v>212</v>
      </c>
      <c r="M65" s="4" t="s">
        <v>213</v>
      </c>
      <c r="N65" s="4" t="s">
        <v>214</v>
      </c>
      <c r="O65" s="4" t="s">
        <v>215</v>
      </c>
      <c r="P65" s="4" t="s">
        <v>216</v>
      </c>
      <c r="Q65" s="20" t="s">
        <v>217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1"/>
      <c r="AI65" s="1"/>
    </row>
    <row x14ac:dyDescent="0.25" r="66" customHeight="1" ht="18.75">
      <c r="A66" s="1" t="s">
        <v>218</v>
      </c>
      <c r="B66" s="14">
        <v>1.2340277777777777</v>
      </c>
      <c r="C66" s="3">
        <v>0.181</v>
      </c>
      <c r="D66" s="4"/>
      <c r="E66" s="4"/>
      <c r="F66" s="4">
        <f>TEXT(A66,"yyyy/mm/dd") &amp; " " &amp; TEXT(B66,"hh:mm:ss")</f>
      </c>
      <c r="G66" s="4" t="s">
        <v>86</v>
      </c>
      <c r="H66" s="4"/>
      <c r="I66" s="4"/>
      <c r="J66" s="4" t="s">
        <v>35</v>
      </c>
      <c r="K66" s="19">
        <f>DATE(YEAR(L66), MONTH(L66), DAY(L66))</f>
        <v>25569.041666666668</v>
      </c>
      <c r="L66" s="4" t="s">
        <v>219</v>
      </c>
      <c r="M66" s="4" t="s">
        <v>220</v>
      </c>
      <c r="N66" s="4" t="s">
        <v>221</v>
      </c>
      <c r="O66" s="4" t="s">
        <v>222</v>
      </c>
      <c r="P66" s="4" t="s">
        <v>223</v>
      </c>
      <c r="Q66" s="4" t="s">
        <v>224</v>
      </c>
      <c r="R66" s="4" t="s">
        <v>225</v>
      </c>
      <c r="S66" s="20" t="s">
        <v>226</v>
      </c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1"/>
      <c r="AI66" s="1"/>
    </row>
    <row x14ac:dyDescent="0.25" r="67" customHeight="1" ht="18.75">
      <c r="A67" s="1" t="s">
        <v>227</v>
      </c>
      <c r="B67" s="14">
        <v>1.0020833333333334</v>
      </c>
      <c r="C67" s="3">
        <v>0.181</v>
      </c>
      <c r="D67" s="4"/>
      <c r="E67" s="4"/>
      <c r="F67" s="4">
        <f>TEXT(A67,"yyyy/mm/dd") &amp; " " &amp; TEXT(B67,"hh:mm:ss")</f>
      </c>
      <c r="G67" s="4" t="s">
        <v>87</v>
      </c>
      <c r="H67" s="4"/>
      <c r="I67" s="4"/>
      <c r="J67" s="4" t="s">
        <v>36</v>
      </c>
      <c r="K67" s="19">
        <f>DATE(YEAR(L67), MONTH(L67), DAY(L67))</f>
        <v>25569.041666666668</v>
      </c>
      <c r="L67" s="4" t="s">
        <v>228</v>
      </c>
      <c r="M67" s="4" t="s">
        <v>229</v>
      </c>
      <c r="N67" s="4" t="s">
        <v>230</v>
      </c>
      <c r="O67" s="4" t="s">
        <v>231</v>
      </c>
      <c r="P67" s="4" t="s">
        <v>232</v>
      </c>
      <c r="Q67" s="4" t="s">
        <v>233</v>
      </c>
      <c r="R67" s="4" t="s">
        <v>234</v>
      </c>
      <c r="S67" s="4" t="s">
        <v>235</v>
      </c>
      <c r="T67" s="4" t="s">
        <v>236</v>
      </c>
      <c r="U67" s="4" t="s">
        <v>237</v>
      </c>
      <c r="V67" s="20" t="s">
        <v>238</v>
      </c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1"/>
      <c r="AI67" s="1"/>
    </row>
    <row x14ac:dyDescent="0.25" r="68" customHeight="1" ht="18.75">
      <c r="A68" s="21" t="s">
        <v>239</v>
      </c>
      <c r="B68" s="24">
        <v>1.007638888888889</v>
      </c>
      <c r="C68" s="13">
        <v>0.146</v>
      </c>
      <c r="D68" s="4"/>
      <c r="E68" s="4"/>
      <c r="F68" s="4">
        <f>TEXT(A68,"yyyy/mm/dd") &amp; " " &amp; TEXT(B68,"hh:mm:ss")</f>
      </c>
      <c r="G68" s="20" t="s">
        <v>88</v>
      </c>
      <c r="H68" s="4"/>
      <c r="I68" s="4"/>
      <c r="J68" s="4" t="s">
        <v>37</v>
      </c>
      <c r="K68" s="19">
        <f>DATE(YEAR(L68), MONTH(L68), DAY(L68))</f>
        <v>25569.041666666668</v>
      </c>
      <c r="L68" s="4" t="s">
        <v>240</v>
      </c>
      <c r="M68" s="4" t="s">
        <v>241</v>
      </c>
      <c r="N68" s="4" t="s">
        <v>242</v>
      </c>
      <c r="O68" s="4" t="s">
        <v>243</v>
      </c>
      <c r="P68" s="4" t="s">
        <v>244</v>
      </c>
      <c r="Q68" s="4" t="s">
        <v>245</v>
      </c>
      <c r="R68" s="4" t="s">
        <v>246</v>
      </c>
      <c r="S68" s="20" t="s">
        <v>247</v>
      </c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23"/>
      <c r="AI68" s="1"/>
    </row>
    <row x14ac:dyDescent="0.25" r="69" customHeight="1" ht="18.75">
      <c r="A69" s="1" t="s">
        <v>248</v>
      </c>
      <c r="B69" s="14">
        <v>1.4395833333333332</v>
      </c>
      <c r="C69" s="3">
        <v>3.6</v>
      </c>
      <c r="D69" s="4"/>
      <c r="E69" s="4"/>
      <c r="F69" s="4">
        <f>TEXT(A69,"yyyy/mm/dd") &amp; " " &amp; TEXT(B69,"hh:mm:ss")</f>
      </c>
      <c r="G69" s="4" t="s">
        <v>90</v>
      </c>
      <c r="H69" s="4"/>
      <c r="I69" s="4"/>
      <c r="J69" s="4" t="s">
        <v>38</v>
      </c>
      <c r="K69" s="19">
        <f>DATE(YEAR(L69), MONTH(L69), DAY(L69))</f>
        <v>25569.041666666668</v>
      </c>
      <c r="L69" s="4" t="s">
        <v>249</v>
      </c>
      <c r="M69" s="4" t="s">
        <v>250</v>
      </c>
      <c r="N69" s="4" t="s">
        <v>251</v>
      </c>
      <c r="O69" s="4" t="s">
        <v>252</v>
      </c>
      <c r="P69" s="4" t="s">
        <v>253</v>
      </c>
      <c r="Q69" s="4" t="s">
        <v>254</v>
      </c>
      <c r="R69" s="4" t="s">
        <v>255</v>
      </c>
      <c r="S69" s="4" t="s">
        <v>256</v>
      </c>
      <c r="T69" s="4" t="s">
        <v>257</v>
      </c>
      <c r="U69" s="4" t="s">
        <v>258</v>
      </c>
      <c r="V69" s="4" t="s">
        <v>259</v>
      </c>
      <c r="W69" s="4" t="s">
        <v>260</v>
      </c>
      <c r="X69" s="20" t="s">
        <v>261</v>
      </c>
      <c r="Y69" s="4"/>
      <c r="Z69" s="4"/>
      <c r="AA69" s="4"/>
      <c r="AB69" s="4"/>
      <c r="AC69" s="4"/>
      <c r="AD69" s="4"/>
      <c r="AE69" s="4"/>
      <c r="AF69" s="4"/>
      <c r="AG69" s="4"/>
      <c r="AH69" s="1"/>
      <c r="AI69" s="1"/>
    </row>
    <row x14ac:dyDescent="0.25" r="70" customHeight="1" ht="18.75">
      <c r="A70" s="1" t="s">
        <v>248</v>
      </c>
      <c r="B70" s="14">
        <v>1.6520833333333333</v>
      </c>
      <c r="C70" s="3">
        <v>7.33</v>
      </c>
      <c r="D70" s="4"/>
      <c r="E70" s="4"/>
      <c r="F70" s="4">
        <f>TEXT(A70,"yyyy/mm/dd") &amp; " " &amp; TEXT(B70,"hh:mm:ss")</f>
      </c>
      <c r="G70" s="4" t="s">
        <v>91</v>
      </c>
      <c r="H70" s="4"/>
      <c r="I70" s="4"/>
      <c r="J70" s="4" t="s">
        <v>39</v>
      </c>
      <c r="K70" s="19">
        <f>DATE(YEAR(L70), MONTH(L70), DAY(L70))</f>
        <v>25569.041666666668</v>
      </c>
      <c r="L70" s="4" t="s">
        <v>262</v>
      </c>
      <c r="M70" s="4" t="s">
        <v>263</v>
      </c>
      <c r="N70" s="4" t="s">
        <v>264</v>
      </c>
      <c r="O70" s="4" t="s">
        <v>265</v>
      </c>
      <c r="P70" s="4" t="s">
        <v>266</v>
      </c>
      <c r="Q70" s="4" t="s">
        <v>267</v>
      </c>
      <c r="R70" s="4" t="s">
        <v>268</v>
      </c>
      <c r="S70" s="4" t="s">
        <v>269</v>
      </c>
      <c r="T70" s="4" t="s">
        <v>270</v>
      </c>
      <c r="U70" s="4" t="s">
        <v>271</v>
      </c>
      <c r="V70" s="20" t="s">
        <v>272</v>
      </c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1"/>
      <c r="AI70" s="1"/>
    </row>
    <row x14ac:dyDescent="0.25" r="71" customHeight="1" ht="18.75">
      <c r="A71" s="1" t="s">
        <v>248</v>
      </c>
      <c r="B71" s="14">
        <v>1.9840277777777777</v>
      </c>
      <c r="C71" s="3">
        <v>6.12</v>
      </c>
      <c r="D71" s="4"/>
      <c r="E71" s="4"/>
      <c r="F71" s="4">
        <f>TEXT(A71,"yyyy/mm/dd") &amp; " " &amp; TEXT(B71,"hh:mm:ss")</f>
      </c>
      <c r="G71" s="4" t="s">
        <v>92</v>
      </c>
      <c r="H71" s="4"/>
      <c r="I71" s="4"/>
      <c r="J71" s="4" t="s">
        <v>40</v>
      </c>
      <c r="K71" s="19">
        <f>DATE(YEAR(L71), MONTH(L71), DAY(L71))</f>
        <v>25569.041666666668</v>
      </c>
      <c r="L71" s="4" t="s">
        <v>273</v>
      </c>
      <c r="M71" s="4" t="s">
        <v>274</v>
      </c>
      <c r="N71" s="4" t="s">
        <v>275</v>
      </c>
      <c r="O71" s="4" t="s">
        <v>276</v>
      </c>
      <c r="P71" s="4" t="s">
        <v>277</v>
      </c>
      <c r="Q71" s="4" t="s">
        <v>278</v>
      </c>
      <c r="R71" s="4" t="s">
        <v>279</v>
      </c>
      <c r="S71" s="4" t="s">
        <v>280</v>
      </c>
      <c r="T71" s="4" t="s">
        <v>281</v>
      </c>
      <c r="U71" s="4" t="s">
        <v>282</v>
      </c>
      <c r="V71" s="20" t="s">
        <v>283</v>
      </c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1"/>
      <c r="AI71" s="1"/>
    </row>
    <row x14ac:dyDescent="0.25" r="72" customHeight="1" ht="18.75">
      <c r="A72" s="1" t="s">
        <v>284</v>
      </c>
      <c r="B72" s="14">
        <v>1.0159722222222223</v>
      </c>
      <c r="C72" s="3">
        <v>4.84</v>
      </c>
      <c r="D72" s="4"/>
      <c r="E72" s="4"/>
      <c r="F72" s="4">
        <f>TEXT(A72,"yyyy/mm/dd") &amp; " " &amp; TEXT(B72,"hh:mm:ss")</f>
      </c>
      <c r="G72" s="4" t="s">
        <v>93</v>
      </c>
      <c r="H72" s="4"/>
      <c r="I72" s="4"/>
      <c r="J72" s="4" t="s">
        <v>41</v>
      </c>
      <c r="K72" s="19">
        <f>DATE(YEAR(L72), MONTH(L72), DAY(L72))</f>
        <v>25569.041666666668</v>
      </c>
      <c r="L72" s="4" t="s">
        <v>285</v>
      </c>
      <c r="M72" s="4" t="s">
        <v>286</v>
      </c>
      <c r="N72" s="4" t="s">
        <v>287</v>
      </c>
      <c r="O72" s="4" t="s">
        <v>288</v>
      </c>
      <c r="P72" s="4" t="s">
        <v>289</v>
      </c>
      <c r="Q72" s="4" t="s">
        <v>290</v>
      </c>
      <c r="R72" s="4" t="s">
        <v>291</v>
      </c>
      <c r="S72" s="4" t="s">
        <v>292</v>
      </c>
      <c r="T72" s="20" t="s">
        <v>293</v>
      </c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1"/>
      <c r="AI72" s="1"/>
    </row>
    <row x14ac:dyDescent="0.25" r="73" customHeight="1" ht="18.75">
      <c r="A73" s="1" t="s">
        <v>294</v>
      </c>
      <c r="B73" s="14">
        <v>1.011111111111111</v>
      </c>
      <c r="C73" s="3">
        <v>3.02</v>
      </c>
      <c r="D73" s="4"/>
      <c r="E73" s="4"/>
      <c r="F73" s="4">
        <f>TEXT(A73,"yyyy/mm/dd") &amp; " " &amp; TEXT(B73,"hh:mm:ss")</f>
      </c>
      <c r="G73" s="4" t="s">
        <v>94</v>
      </c>
      <c r="H73" s="4"/>
      <c r="I73" s="4"/>
      <c r="J73" s="4" t="s">
        <v>42</v>
      </c>
      <c r="K73" s="19">
        <f>DATE(YEAR(L73), MONTH(L73), DAY(L73))</f>
        <v>25569.041666666668</v>
      </c>
      <c r="L73" s="4" t="s">
        <v>295</v>
      </c>
      <c r="M73" s="4" t="s">
        <v>296</v>
      </c>
      <c r="N73" s="4" t="s">
        <v>297</v>
      </c>
      <c r="O73" s="4" t="s">
        <v>298</v>
      </c>
      <c r="P73" s="4" t="s">
        <v>299</v>
      </c>
      <c r="Q73" s="4" t="s">
        <v>300</v>
      </c>
      <c r="R73" s="4" t="s">
        <v>301</v>
      </c>
      <c r="S73" s="4" t="s">
        <v>302</v>
      </c>
      <c r="T73" s="4" t="s">
        <v>303</v>
      </c>
      <c r="U73" s="4" t="s">
        <v>304</v>
      </c>
      <c r="V73" s="4" t="s">
        <v>305</v>
      </c>
      <c r="W73" s="20" t="s">
        <v>306</v>
      </c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1"/>
      <c r="AI73" s="1"/>
    </row>
    <row x14ac:dyDescent="0.25" r="74" customHeight="1" ht="18.75">
      <c r="A74" s="1" t="s">
        <v>307</v>
      </c>
      <c r="B74" s="14">
        <v>1.0090277777777779</v>
      </c>
      <c r="C74" s="3">
        <v>2.42</v>
      </c>
      <c r="D74" s="4"/>
      <c r="E74" s="4"/>
      <c r="F74" s="4">
        <f>TEXT(A74,"yyyy/mm/dd") &amp; " " &amp; TEXT(B74,"hh:mm:ss")</f>
      </c>
      <c r="G74" s="4" t="s">
        <v>95</v>
      </c>
      <c r="H74" s="4"/>
      <c r="I74" s="4"/>
      <c r="J74" s="4" t="s">
        <v>43</v>
      </c>
      <c r="K74" s="19">
        <f>DATE(YEAR(L74), MONTH(L74), DAY(L74))</f>
        <v>25569.041666666668</v>
      </c>
      <c r="L74" s="4" t="s">
        <v>308</v>
      </c>
      <c r="M74" s="20" t="s">
        <v>309</v>
      </c>
      <c r="N74" s="4" t="s">
        <v>310</v>
      </c>
      <c r="O74" s="4" t="s">
        <v>311</v>
      </c>
      <c r="P74" s="4" t="s">
        <v>312</v>
      </c>
      <c r="Q74" s="4" t="s">
        <v>313</v>
      </c>
      <c r="R74" s="4" t="s">
        <v>314</v>
      </c>
      <c r="S74" s="4" t="s">
        <v>315</v>
      </c>
      <c r="T74" s="4" t="s">
        <v>316</v>
      </c>
      <c r="U74" s="20" t="s">
        <v>317</v>
      </c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18"/>
      <c r="AH74" s="1"/>
      <c r="AI74" s="1"/>
    </row>
    <row x14ac:dyDescent="0.25" r="75" customHeight="1" ht="18.75">
      <c r="A75" s="1" t="s">
        <v>318</v>
      </c>
      <c r="B75" s="14">
        <v>1.0034722222222223</v>
      </c>
      <c r="C75" s="3">
        <v>2.38</v>
      </c>
      <c r="D75" s="4"/>
      <c r="E75" s="4"/>
      <c r="F75" s="4">
        <f>TEXT(A75,"yyyy/mm/dd") &amp; " " &amp; TEXT(B75,"hh:mm:ss")</f>
      </c>
      <c r="G75" s="4" t="s">
        <v>96</v>
      </c>
      <c r="H75" s="4"/>
      <c r="I75" s="4"/>
      <c r="J75" s="4" t="s">
        <v>44</v>
      </c>
      <c r="K75" s="19">
        <f>DATE(YEAR(L75), MONTH(L75), DAY(L75))</f>
        <v>25569.041666666668</v>
      </c>
      <c r="L75" s="4" t="s">
        <v>319</v>
      </c>
      <c r="M75" s="4" t="s">
        <v>320</v>
      </c>
      <c r="N75" s="4" t="s">
        <v>321</v>
      </c>
      <c r="O75" s="4" t="s">
        <v>322</v>
      </c>
      <c r="P75" s="4" t="s">
        <v>323</v>
      </c>
      <c r="Q75" s="4" t="s">
        <v>324</v>
      </c>
      <c r="R75" s="4" t="s">
        <v>325</v>
      </c>
      <c r="S75" s="4" t="s">
        <v>326</v>
      </c>
      <c r="T75" s="4" t="s">
        <v>327</v>
      </c>
      <c r="U75" s="4" t="s">
        <v>328</v>
      </c>
      <c r="V75" s="4" t="s">
        <v>329</v>
      </c>
      <c r="W75" s="4" t="s">
        <v>330</v>
      </c>
      <c r="X75" s="4" t="s">
        <v>331</v>
      </c>
      <c r="Y75" s="4" t="s">
        <v>332</v>
      </c>
      <c r="Z75" s="4" t="s">
        <v>333</v>
      </c>
      <c r="AA75" s="4" t="s">
        <v>334</v>
      </c>
      <c r="AB75" s="20" t="s">
        <v>335</v>
      </c>
      <c r="AC75" s="4"/>
      <c r="AD75" s="4"/>
      <c r="AE75" s="4"/>
      <c r="AF75" s="4"/>
      <c r="AG75" s="4"/>
      <c r="AH75" s="1"/>
      <c r="AI75" s="1"/>
    </row>
    <row x14ac:dyDescent="0.25" r="76" customHeight="1" ht="18.75">
      <c r="A76" s="1" t="s">
        <v>336</v>
      </c>
      <c r="B76" s="14">
        <v>1.0340277777777778</v>
      </c>
      <c r="C76" s="3">
        <v>1.62</v>
      </c>
      <c r="D76" s="4"/>
      <c r="E76" s="4"/>
      <c r="F76" s="4">
        <f>TEXT(A76,"yyyy/mm/dd") &amp; " " &amp; TEXT(B76,"hh:mm:ss")</f>
      </c>
      <c r="G76" s="4" t="s">
        <v>97</v>
      </c>
      <c r="H76" s="4"/>
      <c r="I76" s="4"/>
      <c r="J76" s="4" t="s">
        <v>45</v>
      </c>
      <c r="K76" s="19">
        <f>DATE(YEAR(L76), MONTH(L76), DAY(L76))</f>
        <v>25569.041666666668</v>
      </c>
      <c r="L76" s="4" t="s">
        <v>337</v>
      </c>
      <c r="M76" s="4" t="s">
        <v>338</v>
      </c>
      <c r="N76" s="4" t="s">
        <v>339</v>
      </c>
      <c r="O76" s="4" t="s">
        <v>340</v>
      </c>
      <c r="P76" s="4" t="s">
        <v>341</v>
      </c>
      <c r="Q76" s="4" t="s">
        <v>342</v>
      </c>
      <c r="R76" s="4" t="s">
        <v>343</v>
      </c>
      <c r="S76" s="20" t="s">
        <v>344</v>
      </c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1"/>
      <c r="AI76" s="1"/>
    </row>
    <row x14ac:dyDescent="0.25" r="77" customHeight="1" ht="18.75">
      <c r="A77" s="1" t="s">
        <v>345</v>
      </c>
      <c r="B77" s="25">
        <v>1.0020833333333334</v>
      </c>
      <c r="C77" s="3">
        <v>0.9</v>
      </c>
      <c r="D77" s="4"/>
      <c r="E77" s="4"/>
      <c r="F77" s="4">
        <f>TEXT(A77,"yyyy/mm/dd") &amp; " " &amp; TEXT(B77,"hh:mm:ss")</f>
      </c>
      <c r="G77" s="4" t="s">
        <v>98</v>
      </c>
      <c r="H77" s="4"/>
      <c r="I77" s="4"/>
      <c r="J77" s="4" t="s">
        <v>46</v>
      </c>
      <c r="K77" s="19">
        <f>DATE(YEAR(L77), MONTH(L77), DAY(L77))</f>
        <v>25569.041666666668</v>
      </c>
      <c r="L77" s="4" t="s">
        <v>346</v>
      </c>
      <c r="M77" s="4" t="s">
        <v>347</v>
      </c>
      <c r="N77" s="4" t="s">
        <v>348</v>
      </c>
      <c r="O77" s="4" t="s">
        <v>349</v>
      </c>
      <c r="P77" s="4" t="s">
        <v>350</v>
      </c>
      <c r="Q77" s="4" t="s">
        <v>351</v>
      </c>
      <c r="R77" s="4" t="s">
        <v>352</v>
      </c>
      <c r="S77" s="4" t="s">
        <v>353</v>
      </c>
      <c r="T77" s="4" t="s">
        <v>354</v>
      </c>
      <c r="U77" s="4" t="s">
        <v>355</v>
      </c>
      <c r="V77" s="4" t="s">
        <v>356</v>
      </c>
      <c r="W77" s="4" t="s">
        <v>357</v>
      </c>
      <c r="X77" s="4" t="s">
        <v>358</v>
      </c>
      <c r="Y77" s="4" t="s">
        <v>359</v>
      </c>
      <c r="Z77" s="4" t="s">
        <v>360</v>
      </c>
      <c r="AA77" s="4" t="s">
        <v>361</v>
      </c>
      <c r="AB77" s="4" t="s">
        <v>362</v>
      </c>
      <c r="AC77" s="4" t="s">
        <v>363</v>
      </c>
      <c r="AD77" s="4" t="s">
        <v>364</v>
      </c>
      <c r="AE77" s="4" t="s">
        <v>365</v>
      </c>
      <c r="AF77" s="4" t="s">
        <v>366</v>
      </c>
      <c r="AG77" s="4" t="s">
        <v>367</v>
      </c>
      <c r="AH77" s="23" t="s">
        <v>368</v>
      </c>
      <c r="AI77" s="1"/>
    </row>
    <row x14ac:dyDescent="0.25" r="78" customHeight="1" ht="18.75">
      <c r="A78" s="1" t="s">
        <v>369</v>
      </c>
      <c r="B78" s="14">
        <v>1.0270833333333333</v>
      </c>
      <c r="C78" s="3">
        <v>0.775</v>
      </c>
      <c r="D78" s="4"/>
      <c r="E78" s="4"/>
      <c r="F78" s="4">
        <f>TEXT(A78,"yyyy/mm/dd") &amp; " " &amp; TEXT(B78,"hh:mm:ss")</f>
      </c>
      <c r="G78" s="4" t="s">
        <v>99</v>
      </c>
      <c r="H78" s="4"/>
      <c r="I78" s="4"/>
      <c r="J78" s="4" t="s">
        <v>47</v>
      </c>
      <c r="K78" s="19">
        <f>DATE(YEAR(L78), MONTH(L78), DAY(L78))</f>
        <v>25569.041666666668</v>
      </c>
      <c r="L78" s="4" t="s">
        <v>370</v>
      </c>
      <c r="M78" s="4" t="s">
        <v>371</v>
      </c>
      <c r="N78" s="4" t="s">
        <v>372</v>
      </c>
      <c r="O78" s="4" t="s">
        <v>373</v>
      </c>
      <c r="P78" s="4" t="s">
        <v>374</v>
      </c>
      <c r="Q78" s="4" t="s">
        <v>375</v>
      </c>
      <c r="R78" s="4" t="s">
        <v>376</v>
      </c>
      <c r="S78" s="4" t="s">
        <v>377</v>
      </c>
      <c r="T78" s="4" t="s">
        <v>378</v>
      </c>
      <c r="U78" s="20" t="s">
        <v>379</v>
      </c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1"/>
      <c r="AI78" s="1"/>
    </row>
    <row x14ac:dyDescent="0.25" r="79" customHeight="1" ht="18.75">
      <c r="A79" s="21" t="s">
        <v>380</v>
      </c>
      <c r="B79" s="24">
        <v>1.2375</v>
      </c>
      <c r="C79" s="13">
        <v>0.48</v>
      </c>
      <c r="D79" s="4"/>
      <c r="E79" s="4"/>
      <c r="F79" s="4">
        <f>TEXT(A79,"yyyy/mm/dd") &amp; " " &amp; TEXT(B79,"hh:mm:ss")</f>
      </c>
      <c r="G79" s="20" t="s">
        <v>100</v>
      </c>
      <c r="H79" s="4"/>
      <c r="I79" s="4"/>
      <c r="J79" s="4" t="s">
        <v>48</v>
      </c>
      <c r="K79" s="19">
        <f>DATE(YEAR(L79), MONTH(L79), DAY(L79))</f>
        <v>25569.041666666668</v>
      </c>
      <c r="L79" s="4" t="s">
        <v>381</v>
      </c>
      <c r="M79" s="4" t="s">
        <v>382</v>
      </c>
      <c r="N79" s="4" t="s">
        <v>383</v>
      </c>
      <c r="O79" s="4" t="s">
        <v>384</v>
      </c>
      <c r="P79" s="4" t="s">
        <v>385</v>
      </c>
      <c r="Q79" s="4" t="s">
        <v>386</v>
      </c>
      <c r="R79" s="4" t="s">
        <v>387</v>
      </c>
      <c r="S79" s="4" t="s">
        <v>388</v>
      </c>
      <c r="T79" s="20" t="s">
        <v>389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23"/>
      <c r="AI79" s="1"/>
    </row>
    <row x14ac:dyDescent="0.25" r="80" customHeight="1" ht="18.75">
      <c r="A80" s="1" t="s">
        <v>390</v>
      </c>
      <c r="B80" s="14">
        <v>1.3270833333333334</v>
      </c>
      <c r="C80" s="3">
        <v>0.2017</v>
      </c>
      <c r="D80" s="4"/>
      <c r="E80" s="4"/>
      <c r="F80" s="4">
        <f>TEXT(A80,"yyyy/mm/dd") &amp; " " &amp; TEXT(B80,"hh:mm:ss")</f>
      </c>
      <c r="G80" s="4" t="s">
        <v>102</v>
      </c>
      <c r="H80" s="4"/>
      <c r="I80" s="4"/>
      <c r="J80" s="4" t="s">
        <v>49</v>
      </c>
      <c r="K80" s="19">
        <f>DATE(YEAR(L80), MONTH(L80), DAY(L80))</f>
        <v>25569.041666666668</v>
      </c>
      <c r="L80" s="4" t="s">
        <v>391</v>
      </c>
      <c r="M80" s="4" t="s">
        <v>387</v>
      </c>
      <c r="N80" s="4" t="s">
        <v>392</v>
      </c>
      <c r="O80" s="4" t="s">
        <v>393</v>
      </c>
      <c r="P80" s="4" t="s">
        <v>388</v>
      </c>
      <c r="Q80" s="4" t="s">
        <v>394</v>
      </c>
      <c r="R80" s="4" t="s">
        <v>395</v>
      </c>
      <c r="S80" s="4" t="s">
        <v>396</v>
      </c>
      <c r="T80" s="4" t="s">
        <v>397</v>
      </c>
      <c r="U80" s="20" t="s">
        <v>398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1"/>
      <c r="AI80" s="1"/>
    </row>
    <row x14ac:dyDescent="0.25" r="81" customHeight="1" ht="18.75">
      <c r="A81" s="1" t="s">
        <v>390</v>
      </c>
      <c r="B81" s="14">
        <v>1.6909722222222223</v>
      </c>
      <c r="C81" s="3">
        <v>0.1749</v>
      </c>
      <c r="D81" s="4"/>
      <c r="E81" s="4"/>
      <c r="F81" s="4">
        <f>TEXT(A81,"yyyy/mm/dd") &amp; " " &amp; TEXT(B81,"hh:mm:ss")</f>
      </c>
      <c r="G81" s="4" t="s">
        <v>103</v>
      </c>
      <c r="H81" s="4"/>
      <c r="I81" s="4"/>
      <c r="J81" s="4" t="s">
        <v>50</v>
      </c>
      <c r="K81" s="19">
        <f>DATE(YEAR(L81), MONTH(L81), DAY(L81))</f>
        <v>25569.041666666668</v>
      </c>
      <c r="L81" s="4" t="s">
        <v>399</v>
      </c>
      <c r="M81" s="4" t="s">
        <v>400</v>
      </c>
      <c r="N81" s="4" t="s">
        <v>401</v>
      </c>
      <c r="O81" s="4" t="s">
        <v>402</v>
      </c>
      <c r="P81" s="4" t="s">
        <v>403</v>
      </c>
      <c r="Q81" s="4" t="s">
        <v>404</v>
      </c>
      <c r="R81" s="20" t="s">
        <v>405</v>
      </c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1"/>
      <c r="AI81" s="1"/>
    </row>
    <row x14ac:dyDescent="0.25" r="82" customHeight="1" ht="18.75">
      <c r="A82" s="1" t="s">
        <v>406</v>
      </c>
      <c r="B82" s="14">
        <v>1.0159722222222223</v>
      </c>
      <c r="C82" s="3">
        <v>0.191</v>
      </c>
      <c r="D82" s="4"/>
      <c r="E82" s="4"/>
      <c r="F82" s="4">
        <f>TEXT(A82,"yyyy/mm/dd") &amp; " " &amp; TEXT(B82,"hh:mm:ss")</f>
      </c>
      <c r="G82" s="4" t="s">
        <v>104</v>
      </c>
      <c r="H82" s="4"/>
      <c r="I82" s="4"/>
      <c r="J82" s="4" t="s">
        <v>51</v>
      </c>
      <c r="K82" s="19">
        <f>DATE(YEAR(L82), MONTH(L82), DAY(L82))</f>
        <v>25569.041666666668</v>
      </c>
      <c r="L82" s="4" t="s">
        <v>407</v>
      </c>
      <c r="M82" s="4" t="s">
        <v>408</v>
      </c>
      <c r="N82" s="4" t="s">
        <v>409</v>
      </c>
      <c r="O82" s="4" t="s">
        <v>410</v>
      </c>
      <c r="P82" s="4" t="s">
        <v>411</v>
      </c>
      <c r="Q82" s="4" t="s">
        <v>412</v>
      </c>
      <c r="R82" s="4" t="s">
        <v>413</v>
      </c>
      <c r="S82" s="4" t="s">
        <v>93</v>
      </c>
      <c r="T82" s="20" t="s">
        <v>414</v>
      </c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1"/>
      <c r="AI82" s="1"/>
    </row>
    <row x14ac:dyDescent="0.25" r="83" customHeight="1" ht="18.75">
      <c r="A83" s="1" t="s">
        <v>415</v>
      </c>
      <c r="B83" s="14">
        <v>1.007638888888889</v>
      </c>
      <c r="C83" s="3">
        <v>0.1581</v>
      </c>
      <c r="D83" s="4"/>
      <c r="E83" s="4"/>
      <c r="F83" s="4">
        <f>TEXT(A83,"yyyy/mm/dd") &amp; " " &amp; TEXT(B83,"hh:mm:ss")</f>
      </c>
      <c r="G83" s="4" t="s">
        <v>105</v>
      </c>
      <c r="H83" s="4"/>
      <c r="I83" s="4"/>
      <c r="J83" s="4" t="s">
        <v>52</v>
      </c>
      <c r="K83" s="19">
        <f>DATE(YEAR(L83), MONTH(L83), DAY(L83))</f>
        <v>25569.041666666668</v>
      </c>
      <c r="L83" s="4" t="s">
        <v>416</v>
      </c>
      <c r="M83" s="4" t="s">
        <v>417</v>
      </c>
      <c r="N83" s="4" t="s">
        <v>418</v>
      </c>
      <c r="O83" s="4" t="s">
        <v>419</v>
      </c>
      <c r="P83" s="4" t="s">
        <v>420</v>
      </c>
      <c r="Q83" s="4" t="s">
        <v>421</v>
      </c>
      <c r="R83" s="4" t="s">
        <v>422</v>
      </c>
      <c r="S83" s="4" t="s">
        <v>423</v>
      </c>
      <c r="T83" s="4" t="s">
        <v>424</v>
      </c>
      <c r="U83" s="4" t="s">
        <v>425</v>
      </c>
      <c r="V83" s="4" t="s">
        <v>426</v>
      </c>
      <c r="W83" s="4" t="s">
        <v>427</v>
      </c>
      <c r="X83" s="4" t="s">
        <v>428</v>
      </c>
      <c r="Y83" s="4" t="s">
        <v>429</v>
      </c>
      <c r="Z83" s="4" t="s">
        <v>430</v>
      </c>
      <c r="AA83" s="4" t="s">
        <v>431</v>
      </c>
      <c r="AB83" s="4" t="s">
        <v>432</v>
      </c>
      <c r="AC83" s="20" t="s">
        <v>433</v>
      </c>
      <c r="AD83" s="4"/>
      <c r="AE83" s="4"/>
      <c r="AF83" s="4"/>
      <c r="AG83" s="4"/>
      <c r="AH83" s="1"/>
      <c r="AI83" s="1"/>
    </row>
    <row x14ac:dyDescent="0.25" r="84" customHeight="1" ht="18.75">
      <c r="A84" s="1" t="s">
        <v>434</v>
      </c>
      <c r="B84" s="14">
        <v>1.00625</v>
      </c>
      <c r="C84" s="3">
        <v>0.0757</v>
      </c>
      <c r="D84" s="4"/>
      <c r="E84" s="4"/>
      <c r="F84" s="4">
        <f>TEXT(A84,"yyyy/mm/dd") &amp; " " &amp; TEXT(B84,"hh:mm:ss")</f>
      </c>
      <c r="G84" s="4" t="s">
        <v>106</v>
      </c>
      <c r="H84" s="4"/>
      <c r="I84" s="4"/>
      <c r="J84" s="4" t="s">
        <v>53</v>
      </c>
      <c r="K84" s="19">
        <f>DATE(YEAR(L84), MONTH(L84), DAY(L84))</f>
        <v>25569.041666666668</v>
      </c>
      <c r="L84" s="4" t="s">
        <v>435</v>
      </c>
      <c r="M84" s="4" t="s">
        <v>436</v>
      </c>
      <c r="N84" s="4" t="s">
        <v>437</v>
      </c>
      <c r="O84" s="4" t="s">
        <v>438</v>
      </c>
      <c r="P84" s="4" t="s">
        <v>439</v>
      </c>
      <c r="Q84" s="4" t="s">
        <v>440</v>
      </c>
      <c r="R84" s="4" t="s">
        <v>441</v>
      </c>
      <c r="S84" s="4" t="s">
        <v>442</v>
      </c>
      <c r="T84" s="20" t="s">
        <v>443</v>
      </c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1"/>
      <c r="AI84" s="1"/>
    </row>
    <row x14ac:dyDescent="0.25" r="85" customHeight="1" ht="18.75">
      <c r="A85" s="1" t="s">
        <v>444</v>
      </c>
      <c r="B85" s="14">
        <v>1.0375</v>
      </c>
      <c r="C85" s="3">
        <v>0.0436</v>
      </c>
      <c r="D85" s="4"/>
      <c r="E85" s="4"/>
      <c r="F85" s="4">
        <f>TEXT(A85,"yyyy/mm/dd") &amp; " " &amp; TEXT(B85,"hh:mm:ss")</f>
      </c>
      <c r="G85" s="4" t="s">
        <v>107</v>
      </c>
      <c r="H85" s="4"/>
      <c r="I85" s="4"/>
      <c r="J85" s="4" t="s">
        <v>54</v>
      </c>
      <c r="K85" s="19">
        <f>DATE(YEAR(L85), MONTH(L85), DAY(L85))</f>
        <v>25569.041666666668</v>
      </c>
      <c r="L85" s="4" t="s">
        <v>445</v>
      </c>
      <c r="M85" s="4" t="s">
        <v>446</v>
      </c>
      <c r="N85" s="4" t="s">
        <v>447</v>
      </c>
      <c r="O85" s="4" t="s">
        <v>448</v>
      </c>
      <c r="P85" s="4" t="s">
        <v>449</v>
      </c>
      <c r="Q85" s="4" t="s">
        <v>450</v>
      </c>
      <c r="R85" s="4" t="s">
        <v>451</v>
      </c>
      <c r="S85" s="4" t="s">
        <v>452</v>
      </c>
      <c r="T85" s="4" t="s">
        <v>437</v>
      </c>
      <c r="U85" s="4" t="s">
        <v>453</v>
      </c>
      <c r="V85" s="20" t="s">
        <v>439</v>
      </c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1"/>
      <c r="AI85" s="1"/>
    </row>
    <row x14ac:dyDescent="0.25" r="86" customHeight="1" ht="18.75">
      <c r="A86" s="21" t="s">
        <v>454</v>
      </c>
      <c r="B86" s="24">
        <v>1.0020833333333334</v>
      </c>
      <c r="C86" s="13">
        <v>0.026699999999999998</v>
      </c>
      <c r="D86" s="4"/>
      <c r="E86" s="4"/>
      <c r="F86" s="4">
        <f>TEXT(A86,"yyyy/mm/dd") &amp; " " &amp; TEXT(B86,"hh:mm:ss")</f>
      </c>
      <c r="G86" s="20" t="s">
        <v>108</v>
      </c>
      <c r="H86" s="4"/>
      <c r="I86" s="4"/>
      <c r="J86" s="4" t="s">
        <v>55</v>
      </c>
      <c r="K86" s="19">
        <f>DATE(YEAR(L86), MONTH(L86), DAY(L86))</f>
        <v>25569.041666666668</v>
      </c>
      <c r="L86" s="4" t="s">
        <v>455</v>
      </c>
      <c r="M86" s="4" t="s">
        <v>456</v>
      </c>
      <c r="N86" s="4" t="s">
        <v>457</v>
      </c>
      <c r="O86" s="4" t="s">
        <v>458</v>
      </c>
      <c r="P86" s="4" t="s">
        <v>113</v>
      </c>
      <c r="Q86" s="4" t="s">
        <v>114</v>
      </c>
      <c r="R86" s="4" t="s">
        <v>115</v>
      </c>
      <c r="S86" s="4" t="s">
        <v>116</v>
      </c>
      <c r="T86" s="4" t="s">
        <v>459</v>
      </c>
      <c r="U86" s="4" t="s">
        <v>460</v>
      </c>
      <c r="V86" s="4" t="s">
        <v>461</v>
      </c>
      <c r="W86" s="20" t="s">
        <v>120</v>
      </c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23"/>
      <c r="AI86" s="1"/>
    </row>
    <row x14ac:dyDescent="0.25" r="87" customHeight="1" ht="18.75">
      <c r="A87" s="1" t="s">
        <v>462</v>
      </c>
      <c r="B87" s="14">
        <v>1.1131944444444444</v>
      </c>
      <c r="C87" s="3">
        <v>5.04</v>
      </c>
      <c r="D87" s="4"/>
      <c r="E87" s="4"/>
      <c r="F87" s="4">
        <f>TEXT(A87,"yyyy/mm/dd") &amp; " " &amp; TEXT(B87,"hh:mm:ss")</f>
      </c>
      <c r="G87" s="4" t="s">
        <v>110</v>
      </c>
      <c r="H87" s="4"/>
      <c r="I87" s="4"/>
      <c r="J87" s="4" t="s">
        <v>56</v>
      </c>
      <c r="K87" s="19">
        <f>DATE(YEAR(L87), MONTH(L87), DAY(L87))</f>
        <v>25569.041666666668</v>
      </c>
      <c r="L87" s="4" t="s">
        <v>463</v>
      </c>
      <c r="M87" s="4" t="s">
        <v>464</v>
      </c>
      <c r="N87" s="4" t="s">
        <v>465</v>
      </c>
      <c r="O87" s="4" t="s">
        <v>466</v>
      </c>
      <c r="P87" s="4" t="s">
        <v>467</v>
      </c>
      <c r="Q87" s="4" t="s">
        <v>468</v>
      </c>
      <c r="R87" s="4" t="s">
        <v>469</v>
      </c>
      <c r="S87" s="20" t="s">
        <v>470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1"/>
      <c r="AI87" s="1"/>
    </row>
    <row x14ac:dyDescent="0.25" r="88" customHeight="1" ht="18.75">
      <c r="A88" s="1" t="s">
        <v>462</v>
      </c>
      <c r="B88" s="14">
        <v>1.3694444444444445</v>
      </c>
      <c r="C88" s="3">
        <v>8.428</v>
      </c>
      <c r="D88" s="4"/>
      <c r="E88" s="4"/>
      <c r="F88" s="4">
        <f>TEXT(A88,"yyyy/mm/dd") &amp; " " &amp; TEXT(B88,"hh:mm:ss")</f>
      </c>
      <c r="G88" s="4" t="s">
        <v>111</v>
      </c>
      <c r="H88" s="4"/>
      <c r="I88" s="4"/>
      <c r="J88" s="4" t="s">
        <v>57</v>
      </c>
      <c r="K88" s="19">
        <f>DATE(YEAR(L88), MONTH(L88), DAY(L88))</f>
        <v>25569.041666666668</v>
      </c>
      <c r="L88" s="4" t="s">
        <v>471</v>
      </c>
      <c r="M88" s="4" t="s">
        <v>472</v>
      </c>
      <c r="N88" s="4" t="s">
        <v>382</v>
      </c>
      <c r="O88" s="4" t="s">
        <v>383</v>
      </c>
      <c r="P88" s="4" t="s">
        <v>473</v>
      </c>
      <c r="Q88" s="4" t="s">
        <v>384</v>
      </c>
      <c r="R88" s="4" t="s">
        <v>385</v>
      </c>
      <c r="S88" s="20" t="s">
        <v>474</v>
      </c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1"/>
      <c r="AI88" s="1"/>
    </row>
    <row x14ac:dyDescent="0.25" r="89" customHeight="1" ht="18.75">
      <c r="A89" s="1" t="s">
        <v>462</v>
      </c>
      <c r="B89" s="14">
        <v>1.6534722222222222</v>
      </c>
      <c r="C89" s="3">
        <v>9.269</v>
      </c>
      <c r="D89" s="4"/>
      <c r="E89" s="4"/>
      <c r="F89" s="4">
        <f>TEXT(A89,"yyyy/mm/dd") &amp; " " &amp; TEXT(B89,"hh:mm:ss")</f>
      </c>
      <c r="G89" s="4" t="s">
        <v>112</v>
      </c>
      <c r="H89" s="4"/>
      <c r="I89" s="4"/>
      <c r="J89" s="4" t="s">
        <v>58</v>
      </c>
      <c r="K89" s="19">
        <f>DATE(YEAR(L89), MONTH(L89), DAY(L89))</f>
        <v>25569.041666666668</v>
      </c>
      <c r="L89" s="4" t="s">
        <v>475</v>
      </c>
      <c r="M89" s="4" t="s">
        <v>476</v>
      </c>
      <c r="N89" s="4" t="s">
        <v>382</v>
      </c>
      <c r="O89" s="4" t="s">
        <v>383</v>
      </c>
      <c r="P89" s="4" t="s">
        <v>384</v>
      </c>
      <c r="Q89" s="4" t="s">
        <v>385</v>
      </c>
      <c r="R89" s="4" t="s">
        <v>386</v>
      </c>
      <c r="S89" s="20" t="s">
        <v>477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1"/>
      <c r="AI89" s="1"/>
    </row>
    <row x14ac:dyDescent="0.25" r="90" customHeight="1" ht="18.75">
      <c r="A90" s="1" t="s">
        <v>478</v>
      </c>
      <c r="B90" s="14">
        <v>1.0034722222222223</v>
      </c>
      <c r="C90" s="3">
        <v>6.001</v>
      </c>
      <c r="D90" s="4"/>
      <c r="E90" s="4"/>
      <c r="F90" s="4">
        <f>TEXT(A90,"yyyy/mm/dd") &amp; " " &amp; TEXT(B90,"hh:mm:ss")</f>
      </c>
      <c r="G90" s="4" t="s">
        <v>113</v>
      </c>
      <c r="H90" s="4"/>
      <c r="I90" s="4"/>
      <c r="J90" s="4" t="s">
        <v>59</v>
      </c>
      <c r="K90" s="19">
        <f>DATE(YEAR(L90), MONTH(L90), DAY(L90))</f>
        <v>25569.041666666668</v>
      </c>
      <c r="L90" s="4" t="s">
        <v>479</v>
      </c>
      <c r="M90" s="4" t="s">
        <v>480</v>
      </c>
      <c r="N90" s="4" t="s">
        <v>481</v>
      </c>
      <c r="O90" s="4" t="s">
        <v>482</v>
      </c>
      <c r="P90" s="4" t="s">
        <v>483</v>
      </c>
      <c r="Q90" s="4" t="s">
        <v>484</v>
      </c>
      <c r="R90" s="4" t="s">
        <v>485</v>
      </c>
      <c r="S90" s="20" t="s">
        <v>486</v>
      </c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1"/>
      <c r="AI90" s="1"/>
    </row>
    <row x14ac:dyDescent="0.25" r="91" customHeight="1" ht="18.75">
      <c r="A91" s="1" t="s">
        <v>487</v>
      </c>
      <c r="B91" s="14">
        <v>1.0048611111111112</v>
      </c>
      <c r="C91" s="3">
        <v>4.499</v>
      </c>
      <c r="D91" s="4"/>
      <c r="E91" s="4"/>
      <c r="F91" s="4">
        <f>TEXT(A91,"yyyy/mm/dd") &amp; " " &amp; TEXT(B91,"hh:mm:ss")</f>
      </c>
      <c r="G91" s="4" t="s">
        <v>114</v>
      </c>
      <c r="H91" s="4"/>
      <c r="I91" s="4"/>
      <c r="J91" s="4" t="s">
        <v>60</v>
      </c>
      <c r="K91" s="19">
        <f>DATE(YEAR(L91), MONTH(L91), DAY(L91))</f>
        <v>25569.041666666668</v>
      </c>
      <c r="L91" s="4" t="s">
        <v>488</v>
      </c>
      <c r="M91" s="4" t="s">
        <v>489</v>
      </c>
      <c r="N91" s="4" t="s">
        <v>490</v>
      </c>
      <c r="O91" s="4" t="s">
        <v>491</v>
      </c>
      <c r="P91" s="4" t="s">
        <v>492</v>
      </c>
      <c r="Q91" s="4" t="s">
        <v>493</v>
      </c>
      <c r="R91" s="4" t="s">
        <v>494</v>
      </c>
      <c r="S91" s="4" t="s">
        <v>495</v>
      </c>
      <c r="T91" s="4" t="s">
        <v>496</v>
      </c>
      <c r="U91" s="4" t="s">
        <v>497</v>
      </c>
      <c r="V91" s="4" t="s">
        <v>498</v>
      </c>
      <c r="W91" s="20" t="s">
        <v>499</v>
      </c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1"/>
      <c r="AI91" s="1"/>
    </row>
    <row x14ac:dyDescent="0.25" r="92" customHeight="1" ht="18.75">
      <c r="A92" s="1" t="s">
        <v>500</v>
      </c>
      <c r="B92" s="14">
        <v>1.0145833333333334</v>
      </c>
      <c r="C92" s="3">
        <v>4.207</v>
      </c>
      <c r="D92" s="4"/>
      <c r="E92" s="4"/>
      <c r="F92" s="4">
        <f>TEXT(A92,"yyyy/mm/dd") &amp; " " &amp; TEXT(B92,"hh:mm:ss")</f>
      </c>
      <c r="G92" s="4" t="s">
        <v>115</v>
      </c>
      <c r="H92" s="4"/>
      <c r="I92" s="4"/>
      <c r="J92" s="4" t="s">
        <v>61</v>
      </c>
      <c r="K92" s="19">
        <f>DATE(YEAR(L92), MONTH(L92), DAY(L92))</f>
        <v>25569.041666666668</v>
      </c>
      <c r="L92" s="4" t="s">
        <v>501</v>
      </c>
      <c r="M92" s="4" t="s">
        <v>502</v>
      </c>
      <c r="N92" s="4" t="s">
        <v>503</v>
      </c>
      <c r="O92" s="4" t="s">
        <v>504</v>
      </c>
      <c r="P92" s="4" t="s">
        <v>505</v>
      </c>
      <c r="Q92" s="4" t="s">
        <v>506</v>
      </c>
      <c r="R92" s="20" t="s">
        <v>507</v>
      </c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1"/>
      <c r="AI92" s="1"/>
    </row>
    <row x14ac:dyDescent="0.25" r="93" customHeight="1" ht="18.75">
      <c r="A93" s="1" t="s">
        <v>508</v>
      </c>
      <c r="B93" s="14">
        <v>1.01875</v>
      </c>
      <c r="C93" s="3">
        <v>3.747</v>
      </c>
      <c r="D93" s="4"/>
      <c r="E93" s="4"/>
      <c r="F93" s="4">
        <f>TEXT(A93,"yyyy/mm/dd") &amp; " " &amp; TEXT(B93,"hh:mm:ss")</f>
      </c>
      <c r="G93" s="4" t="s">
        <v>116</v>
      </c>
      <c r="H93" s="4"/>
      <c r="I93" s="4"/>
      <c r="J93" s="4" t="s">
        <v>62</v>
      </c>
      <c r="K93" s="19">
        <f>DATE(YEAR(L93), MONTH(L93), DAY(L93))</f>
        <v>25569.041666666668</v>
      </c>
      <c r="L93" s="4" t="s">
        <v>509</v>
      </c>
      <c r="M93" s="4" t="s">
        <v>510</v>
      </c>
      <c r="N93" s="4" t="s">
        <v>511</v>
      </c>
      <c r="O93" s="4" t="s">
        <v>512</v>
      </c>
      <c r="P93" s="4" t="s">
        <v>513</v>
      </c>
      <c r="Q93" s="4" t="s">
        <v>514</v>
      </c>
      <c r="R93" s="4" t="s">
        <v>515</v>
      </c>
      <c r="S93" s="4" t="s">
        <v>516</v>
      </c>
      <c r="T93" s="4" t="s">
        <v>517</v>
      </c>
      <c r="U93" s="20" t="s">
        <v>518</v>
      </c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1"/>
      <c r="AI93" s="1"/>
    </row>
    <row x14ac:dyDescent="0.25" r="94" customHeight="1" ht="18.75">
      <c r="A94" s="1" t="s">
        <v>519</v>
      </c>
      <c r="B94" s="14">
        <v>1.0027777777777778</v>
      </c>
      <c r="C94" s="3">
        <v>2.962</v>
      </c>
      <c r="D94" s="4"/>
      <c r="E94" s="4"/>
      <c r="F94" s="4">
        <f>TEXT(A94,"yyyy/mm/dd") &amp; " " &amp; TEXT(B94,"hh:mm:ss")</f>
      </c>
      <c r="G94" s="4" t="s">
        <v>117</v>
      </c>
      <c r="H94" s="4"/>
      <c r="I94" s="4"/>
      <c r="J94" s="4" t="s">
        <v>63</v>
      </c>
      <c r="K94" s="19">
        <f>DATE(YEAR(L94), MONTH(L94), DAY(L94))</f>
        <v>25569.041666666668</v>
      </c>
      <c r="L94" s="4" t="s">
        <v>520</v>
      </c>
      <c r="M94" s="4" t="s">
        <v>521</v>
      </c>
      <c r="N94" s="4" t="s">
        <v>522</v>
      </c>
      <c r="O94" s="4" t="s">
        <v>523</v>
      </c>
      <c r="P94" s="4" t="s">
        <v>524</v>
      </c>
      <c r="Q94" s="4" t="s">
        <v>525</v>
      </c>
      <c r="R94" s="4" t="s">
        <v>526</v>
      </c>
      <c r="S94" s="4" t="s">
        <v>527</v>
      </c>
      <c r="T94" s="20" t="s">
        <v>528</v>
      </c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1"/>
      <c r="AI94" s="1"/>
    </row>
    <row x14ac:dyDescent="0.25" r="95" customHeight="1" ht="18.75">
      <c r="A95" s="1" t="s">
        <v>529</v>
      </c>
      <c r="B95" s="14">
        <v>1.0180555555555555</v>
      </c>
      <c r="C95" s="3">
        <v>1.92</v>
      </c>
      <c r="D95" s="4"/>
      <c r="E95" s="4"/>
      <c r="F95" s="4">
        <f>TEXT(A95,"yyyy/mm/dd") &amp; " " &amp; TEXT(B95,"hh:mm:ss")</f>
      </c>
      <c r="G95" s="4" t="s">
        <v>118</v>
      </c>
      <c r="H95" s="4"/>
      <c r="I95" s="4"/>
      <c r="J95" s="4" t="s">
        <v>64</v>
      </c>
      <c r="K95" s="19">
        <f>DATE(YEAR(L95), MONTH(L95), DAY(L95))</f>
        <v>25569.041666666668</v>
      </c>
      <c r="L95" s="4" t="s">
        <v>530</v>
      </c>
      <c r="M95" s="4" t="s">
        <v>531</v>
      </c>
      <c r="N95" s="4" t="s">
        <v>532</v>
      </c>
      <c r="O95" s="4" t="s">
        <v>533</v>
      </c>
      <c r="P95" s="4" t="s">
        <v>534</v>
      </c>
      <c r="Q95" s="4" t="s">
        <v>535</v>
      </c>
      <c r="R95" s="4" t="s">
        <v>536</v>
      </c>
      <c r="S95" s="4" t="s">
        <v>537</v>
      </c>
      <c r="T95" s="4" t="s">
        <v>538</v>
      </c>
      <c r="U95" s="4" t="s">
        <v>539</v>
      </c>
      <c r="V95" s="4" t="s">
        <v>540</v>
      </c>
      <c r="W95" s="4" t="s">
        <v>541</v>
      </c>
      <c r="X95" s="4" t="s">
        <v>542</v>
      </c>
      <c r="Y95" s="4" t="s">
        <v>543</v>
      </c>
      <c r="Z95" s="4" t="s">
        <v>544</v>
      </c>
      <c r="AA95" s="4" t="s">
        <v>545</v>
      </c>
      <c r="AB95" s="4" t="s">
        <v>546</v>
      </c>
      <c r="AC95" s="4" t="s">
        <v>547</v>
      </c>
      <c r="AD95" s="4"/>
      <c r="AE95" s="4"/>
      <c r="AF95" s="4"/>
      <c r="AG95" s="4"/>
      <c r="AH95" s="1"/>
      <c r="AI95" s="1"/>
    </row>
    <row x14ac:dyDescent="0.25" r="96" customHeight="1" ht="18.75">
      <c r="A96" s="1" t="s">
        <v>548</v>
      </c>
      <c r="B96" s="14">
        <v>1.254861111111111</v>
      </c>
      <c r="C96" s="3">
        <v>1.251</v>
      </c>
      <c r="D96" s="4"/>
      <c r="E96" s="4"/>
      <c r="F96" s="4">
        <f>TEXT(A96,"yyyy/mm/dd") &amp; " " &amp; TEXT(B96,"hh:mm:ss")</f>
      </c>
      <c r="G96" s="4" t="s">
        <v>119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1"/>
      <c r="AI96" s="1"/>
    </row>
    <row x14ac:dyDescent="0.25" r="97" customHeight="1" ht="18.75">
      <c r="A97" s="21" t="s">
        <v>549</v>
      </c>
      <c r="B97" s="24">
        <v>1.2583333333333333</v>
      </c>
      <c r="C97" s="13">
        <v>0.8539</v>
      </c>
      <c r="D97" s="4"/>
      <c r="E97" s="4"/>
      <c r="F97" s="4">
        <f>TEXT(A97,"yyyy/mm/dd") &amp; " " &amp; TEXT(B97,"hh:mm:ss")</f>
      </c>
      <c r="G97" s="20" t="s">
        <v>120</v>
      </c>
      <c r="H97" s="4"/>
      <c r="I97" s="4"/>
      <c r="J97" s="4"/>
      <c r="K97" s="26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23"/>
      <c r="AI97" s="1"/>
    </row>
    <row x14ac:dyDescent="0.25" r="98" customHeight="1" ht="18.75">
      <c r="A98" s="1" t="s">
        <v>550</v>
      </c>
      <c r="B98" s="14">
        <v>1.3006944444444444</v>
      </c>
      <c r="C98" s="3">
        <v>1.126</v>
      </c>
      <c r="D98" s="4"/>
      <c r="E98" s="4"/>
      <c r="F98" s="4">
        <f>TEXT(A98,"yyyy/mm/dd") &amp; " " &amp; TEXT(B98,"hh:mm:ss")</f>
      </c>
      <c r="G98" s="4" t="s">
        <v>122</v>
      </c>
      <c r="H98" s="4"/>
      <c r="I98" s="4"/>
      <c r="J98" s="18" t="s">
        <v>19</v>
      </c>
      <c r="K98" s="2">
        <f>L50-$K50</f>
        <v>25569.041666666668</v>
      </c>
      <c r="L98" s="2">
        <f>M50-$K50</f>
        <v>25569.041666666668</v>
      </c>
      <c r="M98" s="2">
        <f>N50-$K50</f>
        <v>25569.041666666668</v>
      </c>
      <c r="N98" s="2">
        <f>O50-$K50</f>
        <v>25569.041666666668</v>
      </c>
      <c r="O98" s="2">
        <f>P50-$K50</f>
        <v>25569.041666666668</v>
      </c>
      <c r="P98" s="2">
        <f>Q50-$K50</f>
        <v>25569.041666666668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7"/>
      <c r="AI98" s="2"/>
    </row>
    <row x14ac:dyDescent="0.25" r="99" customHeight="1" ht="18.75">
      <c r="A99" s="1" t="s">
        <v>550</v>
      </c>
      <c r="B99" s="14">
        <v>1.5208333333333335</v>
      </c>
      <c r="C99" s="3">
        <v>2.227</v>
      </c>
      <c r="D99" s="4"/>
      <c r="E99" s="4"/>
      <c r="F99" s="4">
        <f>TEXT(A99,"yyyy/mm/dd") &amp; " " &amp; TEXT(B99,"hh:mm:ss")</f>
      </c>
      <c r="G99" s="4" t="s">
        <v>123</v>
      </c>
      <c r="H99" s="4"/>
      <c r="I99" s="4"/>
      <c r="J99" s="18" t="s">
        <v>20</v>
      </c>
      <c r="K99" s="2">
        <f>L51-$K51</f>
        <v>25569.041666666668</v>
      </c>
      <c r="L99" s="2">
        <f>M51-$K51</f>
        <v>25569.041666666668</v>
      </c>
      <c r="M99" s="2">
        <f>N51-$K51</f>
        <v>25569.041666666668</v>
      </c>
      <c r="N99" s="2">
        <f>O51-$K51</f>
        <v>25569.041666666668</v>
      </c>
      <c r="O99" s="2">
        <f>P51-$K51</f>
        <v>25569.041666666668</v>
      </c>
      <c r="P99" s="2">
        <f>Q51-$K51</f>
        <v>25569.041666666668</v>
      </c>
      <c r="Q99" s="2">
        <f>R51-$K51</f>
        <v>25569.041666666668</v>
      </c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7"/>
      <c r="AI99" s="2"/>
    </row>
    <row x14ac:dyDescent="0.25" r="100" customHeight="1" ht="18.75">
      <c r="A100" s="1" t="s">
        <v>550</v>
      </c>
      <c r="B100" s="14">
        <v>1.7416666666666667</v>
      </c>
      <c r="C100" s="3">
        <v>1.323</v>
      </c>
      <c r="D100" s="4"/>
      <c r="E100" s="4"/>
      <c r="F100" s="4">
        <f>TEXT(A100,"yyyy/mm/dd") &amp; " " &amp; TEXT(B100,"hh:mm:ss")</f>
      </c>
      <c r="G100" s="4" t="s">
        <v>124</v>
      </c>
      <c r="H100" s="4"/>
      <c r="I100" s="4"/>
      <c r="J100" s="18" t="s">
        <v>21</v>
      </c>
      <c r="K100" s="2">
        <f>L52-$K52</f>
        <v>25569.041666666668</v>
      </c>
      <c r="L100" s="2">
        <f>M52-$K52</f>
        <v>25569.041666666668</v>
      </c>
      <c r="M100" s="2">
        <f>N52-$K52</f>
        <v>25569.041666666668</v>
      </c>
      <c r="N100" s="2">
        <f>O52-$K52</f>
        <v>25569.041666666668</v>
      </c>
      <c r="O100" s="2">
        <f>P52-$K52</f>
        <v>25569.041666666668</v>
      </c>
      <c r="P100" s="2">
        <f>Q52-$K52</f>
        <v>25569.041666666668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7"/>
      <c r="AI100" s="2"/>
    </row>
    <row x14ac:dyDescent="0.25" r="101" customHeight="1" ht="18.75">
      <c r="A101" s="1" t="s">
        <v>551</v>
      </c>
      <c r="B101" s="14">
        <v>1.0048611111111112</v>
      </c>
      <c r="C101" s="3">
        <v>0.8328</v>
      </c>
      <c r="D101" s="4"/>
      <c r="E101" s="4"/>
      <c r="F101" s="4">
        <f>TEXT(A101,"yyyy/mm/dd") &amp; " " &amp; TEXT(B101,"hh:mm:ss")</f>
      </c>
      <c r="G101" s="4" t="s">
        <v>125</v>
      </c>
      <c r="H101" s="4"/>
      <c r="I101" s="4"/>
      <c r="J101" s="18" t="s">
        <v>22</v>
      </c>
      <c r="K101" s="2">
        <f>L53-$K53</f>
        <v>25569.041666666668</v>
      </c>
      <c r="L101" s="2">
        <f>M53-$K53</f>
        <v>25569.041666666668</v>
      </c>
      <c r="M101" s="2">
        <f>N53-$K53</f>
        <v>25569.041666666668</v>
      </c>
      <c r="N101" s="2">
        <f>O53-$K53</f>
        <v>25569.041666666668</v>
      </c>
      <c r="O101" s="2">
        <f>P53-$K53</f>
        <v>25569.041666666668</v>
      </c>
      <c r="P101" s="2">
        <f>Q53-$K53</f>
        <v>25569.041666666668</v>
      </c>
      <c r="Q101" s="2">
        <f>R53-$K53</f>
        <v>25569.041666666668</v>
      </c>
      <c r="R101" s="2">
        <f>S53-$K53</f>
        <v>25569.041666666668</v>
      </c>
      <c r="S101" s="2">
        <f>T53-$K53</f>
        <v>25569.041666666668</v>
      </c>
      <c r="T101" s="2">
        <f>U53-$K53</f>
        <v>25569.041666666668</v>
      </c>
      <c r="U101" s="2">
        <f>V53-$K53</f>
        <v>25569.041666666668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7"/>
      <c r="AI101" s="2"/>
    </row>
    <row x14ac:dyDescent="0.25" r="102" customHeight="1" ht="18.75">
      <c r="A102" s="1" t="s">
        <v>552</v>
      </c>
      <c r="B102" s="14">
        <v>1.0243055555555556</v>
      </c>
      <c r="C102" s="3">
        <v>0.8722000000000001</v>
      </c>
      <c r="D102" s="4"/>
      <c r="E102" s="4"/>
      <c r="F102" s="4">
        <f>TEXT(A102,"yyyy/mm/dd") &amp; " " &amp; TEXT(B102,"hh:mm:ss")</f>
      </c>
      <c r="G102" s="4" t="s">
        <v>126</v>
      </c>
      <c r="H102" s="4"/>
      <c r="I102" s="4"/>
      <c r="J102" s="18" t="s">
        <v>23</v>
      </c>
      <c r="K102" s="2">
        <f>L54-$K54</f>
        <v>25569.041666666668</v>
      </c>
      <c r="L102" s="2">
        <f>M54-$K54</f>
        <v>25569.041666666668</v>
      </c>
      <c r="M102" s="2">
        <f>N54-$K54</f>
        <v>25569.041666666668</v>
      </c>
      <c r="N102" s="2">
        <f>O54-$K54</f>
        <v>25569.041666666668</v>
      </c>
      <c r="O102" s="2">
        <f>P54-$K54</f>
        <v>25569.041666666668</v>
      </c>
      <c r="P102" s="2">
        <f>Q54-$K54</f>
        <v>25569.041666666668</v>
      </c>
      <c r="Q102" s="2">
        <f>R54-$K54</f>
        <v>25569.041666666668</v>
      </c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7"/>
      <c r="AI102" s="2"/>
    </row>
    <row x14ac:dyDescent="0.25" r="103" customHeight="1" ht="18.75">
      <c r="A103" s="1" t="s">
        <v>553</v>
      </c>
      <c r="B103" s="14">
        <v>1.0034722222222223</v>
      </c>
      <c r="C103" s="3">
        <v>1.075</v>
      </c>
      <c r="D103" s="4"/>
      <c r="E103" s="4"/>
      <c r="F103" s="4">
        <f>TEXT(A103,"yyyy/mm/dd") &amp; " " &amp; TEXT(B103,"hh:mm:ss")</f>
      </c>
      <c r="G103" s="4" t="s">
        <v>127</v>
      </c>
      <c r="H103" s="4"/>
      <c r="I103" s="4"/>
      <c r="J103" s="18" t="s">
        <v>24</v>
      </c>
      <c r="K103" s="2">
        <f>L55-$K55</f>
        <v>25569.041666666668</v>
      </c>
      <c r="L103" s="2">
        <f>M55-$K55</f>
        <v>25569.041666666668</v>
      </c>
      <c r="M103" s="2">
        <f>N55-$K55</f>
        <v>25569.041666666668</v>
      </c>
      <c r="N103" s="2">
        <f>O55-$K55</f>
        <v>25569.041666666668</v>
      </c>
      <c r="O103" s="2">
        <f>P55-$K55</f>
        <v>25569.041666666668</v>
      </c>
      <c r="P103" s="2">
        <f>Q55-$K55</f>
        <v>25569.041666666668</v>
      </c>
      <c r="Q103" s="2">
        <f>R55-$K55</f>
        <v>25569.041666666668</v>
      </c>
      <c r="R103" s="2">
        <f>S55-$K55</f>
        <v>25569.041666666668</v>
      </c>
      <c r="S103" s="2">
        <f>T55-$K55</f>
        <v>25569.041666666668</v>
      </c>
      <c r="T103" s="2">
        <f>U55-$K55</f>
        <v>25569.041666666668</v>
      </c>
      <c r="U103" s="2">
        <f>V55-$K55</f>
        <v>25569.041666666668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7"/>
      <c r="AI103" s="2"/>
    </row>
    <row x14ac:dyDescent="0.25" r="104" customHeight="1" ht="18.75">
      <c r="A104" s="1" t="s">
        <v>554</v>
      </c>
      <c r="B104" s="14">
        <v>1.0069444444444444</v>
      </c>
      <c r="C104" s="3">
        <v>0.6477</v>
      </c>
      <c r="D104" s="4"/>
      <c r="E104" s="4"/>
      <c r="F104" s="4">
        <f>TEXT(A104,"yyyy/mm/dd") &amp; " " &amp; TEXT(B104,"hh:mm:ss")</f>
      </c>
      <c r="G104" s="4" t="s">
        <v>128</v>
      </c>
      <c r="H104" s="4"/>
      <c r="I104" s="4"/>
      <c r="J104" s="18" t="s">
        <v>25</v>
      </c>
      <c r="K104" s="2">
        <f>L56-$K56</f>
        <v>25569.041666666668</v>
      </c>
      <c r="L104" s="2">
        <f>M56-$K56</f>
        <v>25569.041666666668</v>
      </c>
      <c r="M104" s="2">
        <f>N56-$K56</f>
        <v>25569.041666666668</v>
      </c>
      <c r="N104" s="2">
        <f>O56-$K56</f>
        <v>25569.041666666668</v>
      </c>
      <c r="O104" s="2">
        <f>P56-$K56</f>
        <v>25569.041666666668</v>
      </c>
      <c r="P104" s="2">
        <f>Q56-$K56</f>
        <v>25569.041666666668</v>
      </c>
      <c r="Q104" s="2">
        <f>R56-$K56</f>
        <v>25569.041666666668</v>
      </c>
      <c r="R104" s="2">
        <f>S56-$K56</f>
        <v>25569.041666666668</v>
      </c>
      <c r="S104" s="2">
        <f>T56-$K56</f>
        <v>25569.041666666668</v>
      </c>
      <c r="T104" s="2">
        <f>U56-$K56</f>
        <v>25569.041666666668</v>
      </c>
      <c r="U104" s="2">
        <f>V56-$K56</f>
        <v>25569.041666666668</v>
      </c>
      <c r="V104" s="2">
        <f>W56-$K56</f>
        <v>25569.041666666668</v>
      </c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7"/>
      <c r="AI104" s="2"/>
    </row>
    <row x14ac:dyDescent="0.25" r="105" customHeight="1" ht="18.75">
      <c r="A105" s="1" t="s">
        <v>555</v>
      </c>
      <c r="B105" s="14">
        <v>1.2486111111111111</v>
      </c>
      <c r="C105" s="3">
        <v>0.3399</v>
      </c>
      <c r="D105" s="4"/>
      <c r="E105" s="4"/>
      <c r="F105" s="4">
        <f>TEXT(A105,"yyyy/mm/dd") &amp; " " &amp; TEXT(B105,"hh:mm:ss")</f>
      </c>
      <c r="G105" s="4" t="s">
        <v>129</v>
      </c>
      <c r="H105" s="4"/>
      <c r="I105" s="4"/>
      <c r="J105" s="18" t="s">
        <v>26</v>
      </c>
      <c r="K105" s="2">
        <f>L57-$K57</f>
        <v>25569.041666666668</v>
      </c>
      <c r="L105" s="2">
        <f>M57-$K57</f>
        <v>25569.041666666668</v>
      </c>
      <c r="M105" s="2">
        <f>N57-$K57</f>
        <v>25569.041666666668</v>
      </c>
      <c r="N105" s="2">
        <f>O57-$K57</f>
        <v>25569.041666666668</v>
      </c>
      <c r="O105" s="2">
        <f>P57-$K57</f>
        <v>25569.041666666668</v>
      </c>
      <c r="P105" s="2">
        <f>Q57-$K57</f>
        <v>25569.041666666668</v>
      </c>
      <c r="Q105" s="2">
        <f>R57-$K57</f>
        <v>25569.041666666668</v>
      </c>
      <c r="R105" s="2">
        <f>S57-$K57</f>
        <v>25569.041666666668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7"/>
      <c r="AI105" s="2"/>
    </row>
    <row x14ac:dyDescent="0.25" r="106" customHeight="1" ht="18.75">
      <c r="A106" s="1" t="s">
        <v>556</v>
      </c>
      <c r="B106" s="14">
        <v>1.0027777777777778</v>
      </c>
      <c r="C106" s="3">
        <v>0.1539</v>
      </c>
      <c r="D106" s="4"/>
      <c r="E106" s="4"/>
      <c r="F106" s="4">
        <f>TEXT(A106,"yyyy/mm/dd") &amp; " " &amp; TEXT(B106,"hh:mm:ss")</f>
      </c>
      <c r="G106" s="4" t="s">
        <v>130</v>
      </c>
      <c r="H106" s="4"/>
      <c r="I106" s="4"/>
      <c r="J106" s="18" t="s">
        <v>27</v>
      </c>
      <c r="K106" s="2">
        <f>L58-$K58</f>
        <v>25569.041666666668</v>
      </c>
      <c r="L106" s="2">
        <f>M58-$K58</f>
        <v>25569.041666666668</v>
      </c>
      <c r="M106" s="2">
        <f>N58-$K58</f>
        <v>25569.041666666668</v>
      </c>
      <c r="N106" s="2">
        <f>O58-$K58</f>
        <v>25569.041666666668</v>
      </c>
      <c r="O106" s="2">
        <f>P58-$K58</f>
        <v>25569.041666666668</v>
      </c>
      <c r="P106" s="2">
        <f>Q58-$K58</f>
        <v>25569.041666666668</v>
      </c>
      <c r="Q106" s="2">
        <f>R58-$K58</f>
        <v>25569.041666666668</v>
      </c>
      <c r="R106" s="2">
        <f>S58-$K58</f>
        <v>25569.041666666668</v>
      </c>
      <c r="S106" s="2">
        <f>T58-$K58</f>
        <v>25569.041666666668</v>
      </c>
      <c r="T106" s="2">
        <f>U58-$K58</f>
        <v>25569.041666666668</v>
      </c>
      <c r="U106" s="2">
        <f>V58-$K58</f>
        <v>25569.041666666668</v>
      </c>
      <c r="V106" s="2">
        <f>W58-$K58</f>
        <v>25569.041666666668</v>
      </c>
      <c r="W106" s="2">
        <f>X58-$K58</f>
        <v>25569.041666666668</v>
      </c>
      <c r="X106" s="2">
        <f>Y58-$K58</f>
        <v>25569.041666666668</v>
      </c>
      <c r="Y106" s="2">
        <f>Z58-$K58</f>
        <v>25569.041666666668</v>
      </c>
      <c r="Z106" s="2"/>
      <c r="AA106" s="2"/>
      <c r="AB106" s="2"/>
      <c r="AC106" s="2"/>
      <c r="AD106" s="2"/>
      <c r="AE106" s="2"/>
      <c r="AF106" s="2"/>
      <c r="AG106" s="2"/>
      <c r="AH106" s="27"/>
      <c r="AI106" s="2"/>
    </row>
    <row x14ac:dyDescent="0.25" r="107" customHeight="1" ht="18.75">
      <c r="A107" s="1" t="s">
        <v>556</v>
      </c>
      <c r="B107" s="14">
        <v>1.73125</v>
      </c>
      <c r="C107" s="3">
        <v>0.1188</v>
      </c>
      <c r="D107" s="4"/>
      <c r="E107" s="4"/>
      <c r="F107" s="4">
        <f>TEXT(A107,"yyyy/mm/dd") &amp; " " &amp; TEXT(B107,"hh:mm:ss")</f>
      </c>
      <c r="G107" s="4" t="s">
        <v>131</v>
      </c>
      <c r="H107" s="4"/>
      <c r="I107" s="4"/>
      <c r="J107" s="18" t="s">
        <v>28</v>
      </c>
      <c r="K107" s="2">
        <f>L59-$K59</f>
        <v>25569.041666666668</v>
      </c>
      <c r="L107" s="2">
        <f>M59-$K59</f>
        <v>25569.041666666668</v>
      </c>
      <c r="M107" s="2">
        <f>N59-$K59</f>
        <v>25569.041666666668</v>
      </c>
      <c r="N107" s="2">
        <f>O59-$K59</f>
        <v>25569.041666666668</v>
      </c>
      <c r="O107" s="2">
        <f>P59-$K59</f>
        <v>25569.041666666668</v>
      </c>
      <c r="P107" s="2">
        <f>Q59-$K59</f>
        <v>25569.041666666668</v>
      </c>
      <c r="Q107" s="2">
        <f>R59-$K59</f>
        <v>25569.041666666668</v>
      </c>
      <c r="R107" s="2">
        <f>S59-$K59</f>
        <v>25569.041666666668</v>
      </c>
      <c r="S107" s="2">
        <f>T59-$K59</f>
        <v>25569.041666666668</v>
      </c>
      <c r="T107" s="2">
        <f>U59-$K59</f>
        <v>25569.041666666668</v>
      </c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7"/>
      <c r="AI107" s="2"/>
    </row>
    <row x14ac:dyDescent="0.25" r="108" customHeight="1" ht="18.75">
      <c r="A108" s="1" t="s">
        <v>557</v>
      </c>
      <c r="B108" s="14">
        <v>1.0020833333333334</v>
      </c>
      <c r="C108" s="3">
        <v>0.0968</v>
      </c>
      <c r="D108" s="4"/>
      <c r="E108" s="4"/>
      <c r="F108" s="4">
        <f>TEXT(A108,"yyyy/mm/dd") &amp; " " &amp; TEXT(B108,"hh:mm:ss")</f>
      </c>
      <c r="G108" s="4" t="s">
        <v>132</v>
      </c>
      <c r="H108" s="4"/>
      <c r="I108" s="4"/>
      <c r="J108" s="18" t="s">
        <v>29</v>
      </c>
      <c r="K108" s="2">
        <f>L60-$K60</f>
        <v>25569.041666666668</v>
      </c>
      <c r="L108" s="2">
        <f>M60-$K60</f>
        <v>25569.041666666668</v>
      </c>
      <c r="M108" s="2">
        <f>N60-$K60</f>
        <v>25569.041666666668</v>
      </c>
      <c r="N108" s="2">
        <f>O60-$K60</f>
        <v>25569.041666666668</v>
      </c>
      <c r="O108" s="2">
        <f>P60-$K60</f>
        <v>25569.041666666668</v>
      </c>
      <c r="P108" s="2">
        <f>Q60-$K60</f>
        <v>25569.041666666668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7"/>
      <c r="AI108" s="2"/>
    </row>
    <row x14ac:dyDescent="0.25" r="109" customHeight="1" ht="18.75">
      <c r="A109" s="21" t="s">
        <v>558</v>
      </c>
      <c r="B109" s="24">
        <v>1.0034722222222223</v>
      </c>
      <c r="C109" s="13">
        <v>0.0583</v>
      </c>
      <c r="D109" s="4"/>
      <c r="E109" s="4"/>
      <c r="F109" s="4">
        <f>TEXT(A109,"yyyy/mm/dd") &amp; " " &amp; TEXT(B109,"hh:mm:ss")</f>
      </c>
      <c r="G109" s="20" t="s">
        <v>133</v>
      </c>
      <c r="H109" s="4"/>
      <c r="I109" s="4"/>
      <c r="J109" s="18" t="s">
        <v>30</v>
      </c>
      <c r="K109" s="2">
        <f>L61-$K61</f>
        <v>25569.041666666668</v>
      </c>
      <c r="L109" s="2">
        <f>M61-$K61</f>
        <v>25569.041666666668</v>
      </c>
      <c r="M109" s="2">
        <f>N61-$K61</f>
        <v>25569.041666666668</v>
      </c>
      <c r="N109" s="2">
        <f>O61-$K61</f>
        <v>25569.041666666668</v>
      </c>
      <c r="O109" s="2">
        <f>P61-$K61</f>
        <v>25569.041666666668</v>
      </c>
      <c r="P109" s="2">
        <f>Q61-$K61</f>
        <v>25569.041666666668</v>
      </c>
      <c r="Q109" s="2">
        <f>R61-$K61</f>
        <v>25569.041666666668</v>
      </c>
      <c r="R109" s="2">
        <f>S61-$K61</f>
        <v>25569.041666666668</v>
      </c>
      <c r="S109" s="2">
        <f>T61-$K61</f>
        <v>25569.041666666668</v>
      </c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7"/>
      <c r="AI109" s="2"/>
    </row>
    <row x14ac:dyDescent="0.25" r="110" customHeight="1" ht="18.75">
      <c r="A110" s="1" t="s">
        <v>559</v>
      </c>
      <c r="B110" s="14">
        <v>1.0944444444444446</v>
      </c>
      <c r="C110" s="3">
        <v>6.57</v>
      </c>
      <c r="D110" s="4"/>
      <c r="E110" s="4"/>
      <c r="F110" s="4">
        <f>TEXT(A110,"yyyy/mm/dd") &amp; " " &amp; TEXT(B110,"hh:mm:ss")</f>
      </c>
      <c r="G110" s="4" t="s">
        <v>134</v>
      </c>
      <c r="H110" s="4"/>
      <c r="I110" s="4"/>
      <c r="J110" s="18" t="s">
        <v>31</v>
      </c>
      <c r="K110" s="2">
        <f>L62-$K62</f>
        <v>25569.041666666668</v>
      </c>
      <c r="L110" s="2">
        <f>M62-$K62</f>
        <v>25569.041666666668</v>
      </c>
      <c r="M110" s="2">
        <f>N62-$K62</f>
        <v>25569.041666666668</v>
      </c>
      <c r="N110" s="2">
        <f>O62-$K62</f>
        <v>25569.041666666668</v>
      </c>
      <c r="O110" s="2">
        <f>P62-$K62</f>
        <v>25569.041666666668</v>
      </c>
      <c r="P110" s="2">
        <f>Q62-$K62</f>
        <v>25569.041666666668</v>
      </c>
      <c r="Q110" s="2">
        <f>R62-$K62</f>
        <v>25569.041666666668</v>
      </c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7"/>
      <c r="AI110" s="2"/>
    </row>
    <row x14ac:dyDescent="0.25" r="111" customHeight="1" ht="18.75">
      <c r="A111" s="1" t="s">
        <v>559</v>
      </c>
      <c r="B111" s="14">
        <v>1.1041666666666667</v>
      </c>
      <c r="C111" s="3">
        <v>9.1</v>
      </c>
      <c r="D111" s="4"/>
      <c r="E111" s="4"/>
      <c r="F111" s="4">
        <f>TEXT(A111,"yyyy/mm/dd") &amp; " " &amp; TEXT(B111,"hh:mm:ss")</f>
      </c>
      <c r="G111" s="4" t="s">
        <v>135</v>
      </c>
      <c r="H111" s="4"/>
      <c r="I111" s="4"/>
      <c r="J111" s="18" t="s">
        <v>32</v>
      </c>
      <c r="K111" s="2">
        <f>L63-$K63</f>
        <v>25569.041666666668</v>
      </c>
      <c r="L111" s="2">
        <f>M63-$K63</f>
        <v>25569.041666666668</v>
      </c>
      <c r="M111" s="2">
        <f>N63-$K63</f>
        <v>25569.041666666668</v>
      </c>
      <c r="N111" s="2">
        <f>O63-$K63</f>
        <v>25569.041666666668</v>
      </c>
      <c r="O111" s="2">
        <f>P63-$K63</f>
        <v>25569.041666666668</v>
      </c>
      <c r="P111" s="2">
        <f>Q63-$K63</f>
        <v>25569.041666666668</v>
      </c>
      <c r="Q111" s="2">
        <f>R63-$K63</f>
        <v>25569.041666666668</v>
      </c>
      <c r="R111" s="2">
        <f>S63-$K63</f>
        <v>25569.041666666668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7"/>
      <c r="AI111" s="2"/>
    </row>
    <row x14ac:dyDescent="0.25" r="112" customHeight="1" ht="18.75">
      <c r="A112" s="1" t="s">
        <v>559</v>
      </c>
      <c r="B112" s="14">
        <v>1.3583333333333334</v>
      </c>
      <c r="C112" s="3">
        <v>8.85</v>
      </c>
      <c r="D112" s="4"/>
      <c r="E112" s="4"/>
      <c r="F112" s="4">
        <f>TEXT(A112,"yyyy/mm/dd") &amp; " " &amp; TEXT(B112,"hh:mm:ss")</f>
      </c>
      <c r="G112" s="4" t="s">
        <v>136</v>
      </c>
      <c r="H112" s="4"/>
      <c r="I112" s="4"/>
      <c r="J112" s="18" t="s">
        <v>33</v>
      </c>
      <c r="K112" s="2">
        <f>L64-$K64</f>
        <v>25569.041666666668</v>
      </c>
      <c r="L112" s="2">
        <f>M64-$K64</f>
        <v>25569.041666666668</v>
      </c>
      <c r="M112" s="2">
        <f>N64-$K64</f>
        <v>25569.041666666668</v>
      </c>
      <c r="N112" s="2">
        <f>O64-$K64</f>
        <v>25569.041666666668</v>
      </c>
      <c r="O112" s="2">
        <f>P64-$K64</f>
        <v>25569.041666666668</v>
      </c>
      <c r="P112" s="2">
        <f>Q64-$K64</f>
        <v>25569.041666666668</v>
      </c>
      <c r="Q112" s="2">
        <f>R64-$K64</f>
        <v>25569.041666666668</v>
      </c>
      <c r="R112" s="2">
        <f>S64-$K64</f>
        <v>25569.041666666668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7"/>
      <c r="AI112" s="2"/>
    </row>
    <row x14ac:dyDescent="0.25" r="113" customHeight="1" ht="18.75">
      <c r="A113" s="1" t="s">
        <v>559</v>
      </c>
      <c r="B113" s="14">
        <v>1.675</v>
      </c>
      <c r="C113" s="3">
        <v>9.86</v>
      </c>
      <c r="D113" s="4"/>
      <c r="E113" s="4"/>
      <c r="F113" s="4">
        <f>TEXT(A113,"yyyy/mm/dd") &amp; " " &amp; TEXT(B113,"hh:mm:ss")</f>
      </c>
      <c r="G113" s="4" t="s">
        <v>137</v>
      </c>
      <c r="H113" s="4"/>
      <c r="I113" s="4"/>
      <c r="J113" s="18" t="s">
        <v>34</v>
      </c>
      <c r="K113" s="2">
        <f>L65-$K65</f>
        <v>25569.041666666668</v>
      </c>
      <c r="L113" s="2">
        <f>M65-$K65</f>
        <v>25569.041666666668</v>
      </c>
      <c r="M113" s="2">
        <f>N65-$K65</f>
        <v>25569.041666666668</v>
      </c>
      <c r="N113" s="2">
        <f>O65-$K65</f>
        <v>25569.041666666668</v>
      </c>
      <c r="O113" s="2">
        <f>P65-$K65</f>
        <v>25569.041666666668</v>
      </c>
      <c r="P113" s="2">
        <f>Q65-$K65</f>
        <v>25569.041666666668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7"/>
      <c r="AI113" s="2"/>
    </row>
    <row x14ac:dyDescent="0.25" r="114" customHeight="1" ht="18.75">
      <c r="A114" s="1" t="s">
        <v>560</v>
      </c>
      <c r="B114" s="14">
        <v>1.023611111111111</v>
      </c>
      <c r="C114" s="3">
        <v>6.1</v>
      </c>
      <c r="D114" s="4"/>
      <c r="E114" s="4"/>
      <c r="F114" s="4">
        <f>TEXT(A114,"yyyy/mm/dd") &amp; " " &amp; TEXT(B114,"hh:mm:ss")</f>
      </c>
      <c r="G114" s="4" t="s">
        <v>138</v>
      </c>
      <c r="H114" s="4"/>
      <c r="I114" s="4"/>
      <c r="J114" s="18" t="s">
        <v>35</v>
      </c>
      <c r="K114" s="2">
        <f>L66-$K66</f>
        <v>25569.041666666668</v>
      </c>
      <c r="L114" s="2">
        <f>M66-$K66</f>
        <v>25569.041666666668</v>
      </c>
      <c r="M114" s="2">
        <f>N66-$K66</f>
        <v>25569.041666666668</v>
      </c>
      <c r="N114" s="2">
        <f>O66-$K66</f>
        <v>25569.041666666668</v>
      </c>
      <c r="O114" s="2">
        <f>P66-$K66</f>
        <v>25569.041666666668</v>
      </c>
      <c r="P114" s="2">
        <f>Q66-$K66</f>
        <v>25569.041666666668</v>
      </c>
      <c r="Q114" s="2">
        <f>R66-$K66</f>
        <v>25569.041666666668</v>
      </c>
      <c r="R114" s="2">
        <f>S66-$K66</f>
        <v>25569.041666666668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7"/>
      <c r="AI114" s="2"/>
    </row>
    <row x14ac:dyDescent="0.25" r="115" customHeight="1" ht="18.75">
      <c r="A115" s="28" t="s">
        <v>561</v>
      </c>
      <c r="B115" s="14">
        <v>1.0138888888888888</v>
      </c>
      <c r="C115" s="3">
        <v>5.6</v>
      </c>
      <c r="D115" s="4"/>
      <c r="E115" s="4"/>
      <c r="F115" s="4">
        <f>TEXT(A115,"yyyy/mm/dd") &amp; " " &amp; TEXT(B115,"hh:mm:ss")</f>
      </c>
      <c r="G115" s="4" t="s">
        <v>139</v>
      </c>
      <c r="H115" s="4"/>
      <c r="I115" s="4"/>
      <c r="J115" s="18" t="s">
        <v>36</v>
      </c>
      <c r="K115" s="2">
        <f>L67-$K67</f>
        <v>25569.041666666668</v>
      </c>
      <c r="L115" s="2">
        <f>M67-$K67</f>
        <v>25569.041666666668</v>
      </c>
      <c r="M115" s="2">
        <f>N67-$K67</f>
        <v>25569.041666666668</v>
      </c>
      <c r="N115" s="2">
        <f>O67-$K67</f>
        <v>25569.041666666668</v>
      </c>
      <c r="O115" s="2">
        <f>P67-$K67</f>
        <v>25569.041666666668</v>
      </c>
      <c r="P115" s="2">
        <f>Q67-$K67</f>
        <v>25569.041666666668</v>
      </c>
      <c r="Q115" s="2">
        <f>R67-$K67</f>
        <v>25569.041666666668</v>
      </c>
      <c r="R115" s="2">
        <f>S67-$K67</f>
        <v>25569.041666666668</v>
      </c>
      <c r="S115" s="2">
        <f>T67-$K67</f>
        <v>25569.041666666668</v>
      </c>
      <c r="T115" s="2">
        <f>U67-$K67</f>
        <v>25569.041666666668</v>
      </c>
      <c r="U115" s="2">
        <f>V67-$K67</f>
        <v>25569.041666666668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7"/>
      <c r="AI115" s="2"/>
    </row>
    <row x14ac:dyDescent="0.25" r="116" customHeight="1" ht="18.75">
      <c r="A116" s="1" t="s">
        <v>562</v>
      </c>
      <c r="B116" s="14">
        <v>1.0131944444444445</v>
      </c>
      <c r="C116" s="3">
        <v>4.99</v>
      </c>
      <c r="D116" s="4"/>
      <c r="E116" s="4"/>
      <c r="F116" s="4">
        <f>TEXT(A116,"yyyy/mm/dd") &amp; " " &amp; TEXT(B116,"hh:mm:ss")</f>
      </c>
      <c r="G116" s="4" t="s">
        <v>140</v>
      </c>
      <c r="H116" s="4"/>
      <c r="I116" s="4"/>
      <c r="J116" s="18" t="s">
        <v>37</v>
      </c>
      <c r="K116" s="2">
        <f>L68-$K68</f>
        <v>25569.041666666668</v>
      </c>
      <c r="L116" s="2">
        <f>M68-$K68</f>
        <v>25569.041666666668</v>
      </c>
      <c r="M116" s="2">
        <f>N68-$K68</f>
        <v>25569.041666666668</v>
      </c>
      <c r="N116" s="2">
        <f>O68-$K68</f>
        <v>25569.041666666668</v>
      </c>
      <c r="O116" s="2">
        <f>P68-$K68</f>
        <v>25569.041666666668</v>
      </c>
      <c r="P116" s="2">
        <f>Q68-$K68</f>
        <v>25569.041666666668</v>
      </c>
      <c r="Q116" s="2">
        <f>R68-$K68</f>
        <v>25569.041666666668</v>
      </c>
      <c r="R116" s="2">
        <f>S68-$K68</f>
        <v>25569.041666666668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7"/>
      <c r="AI116" s="2"/>
    </row>
    <row x14ac:dyDescent="0.25" r="117" customHeight="1" ht="18.75">
      <c r="A117" s="21" t="s">
        <v>563</v>
      </c>
      <c r="B117" s="24">
        <v>1.0020833333333334</v>
      </c>
      <c r="C117" s="13">
        <v>3.06</v>
      </c>
      <c r="D117" s="4"/>
      <c r="E117" s="4"/>
      <c r="F117" s="4">
        <f>TEXT(A117,"yyyy/mm/dd") &amp; " " &amp; TEXT(B117,"hh:mm:ss")</f>
      </c>
      <c r="G117" s="20" t="s">
        <v>141</v>
      </c>
      <c r="H117" s="4"/>
      <c r="I117" s="4"/>
      <c r="J117" s="18" t="s">
        <v>38</v>
      </c>
      <c r="K117" s="2">
        <f>L69-$K69</f>
        <v>25569.041666666668</v>
      </c>
      <c r="L117" s="2">
        <f>M69-$K69</f>
        <v>25569.041666666668</v>
      </c>
      <c r="M117" s="2">
        <f>N69-$K69</f>
        <v>25569.041666666668</v>
      </c>
      <c r="N117" s="2">
        <f>O69-$K69</f>
        <v>25569.041666666668</v>
      </c>
      <c r="O117" s="2">
        <f>P69-$K69</f>
        <v>25569.041666666668</v>
      </c>
      <c r="P117" s="2">
        <f>Q69-$K69</f>
        <v>25569.041666666668</v>
      </c>
      <c r="Q117" s="2">
        <f>R69-$K69</f>
        <v>25569.041666666668</v>
      </c>
      <c r="R117" s="2">
        <f>S69-$K69</f>
        <v>25569.041666666668</v>
      </c>
      <c r="S117" s="2">
        <f>T69-$K69</f>
        <v>25569.041666666668</v>
      </c>
      <c r="T117" s="2">
        <f>U69-$K69</f>
        <v>25569.041666666668</v>
      </c>
      <c r="U117" s="2">
        <f>V69-$K69</f>
        <v>25569.041666666668</v>
      </c>
      <c r="V117" s="2">
        <f>W69-$K69</f>
        <v>25569.041666666668</v>
      </c>
      <c r="W117" s="2">
        <f>X69-$K69</f>
        <v>25569.041666666668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7"/>
      <c r="AI117" s="2"/>
    </row>
    <row x14ac:dyDescent="0.25" r="118" customHeight="1" ht="18.75">
      <c r="A118" s="1" t="s">
        <v>564</v>
      </c>
      <c r="B118" s="14">
        <v>1.1222222222222222</v>
      </c>
      <c r="C118" s="3">
        <v>16.63</v>
      </c>
      <c r="D118" s="4"/>
      <c r="E118" s="4"/>
      <c r="F118" s="4">
        <f>TEXT(A118,"yyyy/mm/dd") &amp; " " &amp; TEXT(B118,"hh:mm:ss")</f>
      </c>
      <c r="G118" s="4" t="s">
        <v>143</v>
      </c>
      <c r="H118" s="4"/>
      <c r="I118" s="4"/>
      <c r="J118" s="18" t="s">
        <v>39</v>
      </c>
      <c r="K118" s="2">
        <f>L70-$K70</f>
        <v>25569.041666666668</v>
      </c>
      <c r="L118" s="2">
        <f>M70-$K70</f>
        <v>25569.041666666668</v>
      </c>
      <c r="M118" s="2">
        <f>N70-$K70</f>
        <v>25569.041666666668</v>
      </c>
      <c r="N118" s="2">
        <f>O70-$K70</f>
        <v>25569.041666666668</v>
      </c>
      <c r="O118" s="2">
        <f>P70-$K70</f>
        <v>25569.041666666668</v>
      </c>
      <c r="P118" s="2">
        <f>Q70-$K70</f>
        <v>25569.041666666668</v>
      </c>
      <c r="Q118" s="2">
        <f>R70-$K70</f>
        <v>25569.041666666668</v>
      </c>
      <c r="R118" s="2">
        <f>S70-$K70</f>
        <v>25569.041666666668</v>
      </c>
      <c r="S118" s="2">
        <f>T70-$K70</f>
        <v>25569.041666666668</v>
      </c>
      <c r="T118" s="2">
        <f>U70-$K70</f>
        <v>25569.041666666668</v>
      </c>
      <c r="U118" s="2">
        <f>V70-$K70</f>
        <v>25569.041666666668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7"/>
      <c r="AI118" s="2"/>
    </row>
    <row x14ac:dyDescent="0.25" r="119" customHeight="1" ht="18.75">
      <c r="A119" s="1" t="s">
        <v>564</v>
      </c>
      <c r="B119" s="14">
        <v>1.1347222222222222</v>
      </c>
      <c r="C119" s="3">
        <v>21.43</v>
      </c>
      <c r="D119" s="4"/>
      <c r="E119" s="4"/>
      <c r="F119" s="4">
        <f>TEXT(A119,"yyyy/mm/dd") &amp; " " &amp; TEXT(B119,"hh:mm:ss")</f>
      </c>
      <c r="G119" s="4" t="s">
        <v>144</v>
      </c>
      <c r="H119" s="4"/>
      <c r="I119" s="4"/>
      <c r="J119" s="18" t="s">
        <v>40</v>
      </c>
      <c r="K119" s="2">
        <f>L71-$K71</f>
        <v>25569.041666666668</v>
      </c>
      <c r="L119" s="2">
        <f>M71-$K71</f>
        <v>25569.041666666668</v>
      </c>
      <c r="M119" s="2">
        <f>N71-$K71</f>
        <v>25569.041666666668</v>
      </c>
      <c r="N119" s="2">
        <f>O71-$K71</f>
        <v>25569.041666666668</v>
      </c>
      <c r="O119" s="2">
        <f>P71-$K71</f>
        <v>25569.041666666668</v>
      </c>
      <c r="P119" s="2">
        <f>Q71-$K71</f>
        <v>25569.041666666668</v>
      </c>
      <c r="Q119" s="2">
        <f>R71-$K71</f>
        <v>25569.041666666668</v>
      </c>
      <c r="R119" s="2">
        <f>S71-$K71</f>
        <v>25569.041666666668</v>
      </c>
      <c r="S119" s="2">
        <f>T71-$K71</f>
        <v>25569.041666666668</v>
      </c>
      <c r="T119" s="2">
        <f>U71-$K71</f>
        <v>25569.041666666668</v>
      </c>
      <c r="U119" s="2">
        <f>V71-$K71</f>
        <v>25569.041666666668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7"/>
      <c r="AI119" s="2"/>
    </row>
    <row x14ac:dyDescent="0.25" r="120" customHeight="1" ht="18.75">
      <c r="A120" s="1" t="s">
        <v>564</v>
      </c>
      <c r="B120" s="25">
        <v>1.7034722222222223</v>
      </c>
      <c r="C120" s="3">
        <v>13.57</v>
      </c>
      <c r="D120" s="4"/>
      <c r="E120" s="4"/>
      <c r="F120" s="4">
        <f>TEXT(A120,"yyyy/mm/dd") &amp; " " &amp; TEXT(B120,"hh:mm:ss")</f>
      </c>
      <c r="G120" s="4" t="s">
        <v>145</v>
      </c>
      <c r="H120" s="4"/>
      <c r="I120" s="4"/>
      <c r="J120" s="18" t="s">
        <v>41</v>
      </c>
      <c r="K120" s="2">
        <f>L72-$K72</f>
        <v>25569.041666666668</v>
      </c>
      <c r="L120" s="2">
        <f>M72-$K72</f>
        <v>25569.041666666668</v>
      </c>
      <c r="M120" s="2">
        <f>N72-$K72</f>
        <v>25569.041666666668</v>
      </c>
      <c r="N120" s="2">
        <f>O72-$K72</f>
        <v>25569.041666666668</v>
      </c>
      <c r="O120" s="2">
        <f>P72-$K72</f>
        <v>25569.041666666668</v>
      </c>
      <c r="P120" s="2">
        <f>Q72-$K72</f>
        <v>25569.041666666668</v>
      </c>
      <c r="Q120" s="2">
        <f>R72-$K72</f>
        <v>25569.041666666668</v>
      </c>
      <c r="R120" s="2">
        <f>S72-$K72</f>
        <v>25569.041666666668</v>
      </c>
      <c r="S120" s="2">
        <f>T72-$K72</f>
        <v>25569.041666666668</v>
      </c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7"/>
      <c r="AI120" s="2"/>
    </row>
    <row x14ac:dyDescent="0.25" r="121" customHeight="1" ht="18.75">
      <c r="A121" s="1" t="s">
        <v>565</v>
      </c>
      <c r="B121" s="25">
        <v>1.0138888888888888</v>
      </c>
      <c r="C121" s="3">
        <v>8.8</v>
      </c>
      <c r="D121" s="4"/>
      <c r="E121" s="4"/>
      <c r="F121" s="4">
        <f>TEXT(A121,"yyyy/mm/dd") &amp; " " &amp; TEXT(B121,"hh:mm:ss")</f>
      </c>
      <c r="G121" s="4" t="s">
        <v>146</v>
      </c>
      <c r="H121" s="4"/>
      <c r="I121" s="4"/>
      <c r="J121" s="18" t="s">
        <v>42</v>
      </c>
      <c r="K121" s="2">
        <f>L73-$K73</f>
        <v>25569.041666666668</v>
      </c>
      <c r="L121" s="2">
        <f>M73-$K73</f>
        <v>25569.041666666668</v>
      </c>
      <c r="M121" s="2">
        <f>N73-$K73</f>
        <v>25569.041666666668</v>
      </c>
      <c r="N121" s="2">
        <f>O73-$K73</f>
        <v>25569.041666666668</v>
      </c>
      <c r="O121" s="2">
        <f>P73-$K73</f>
        <v>25569.041666666668</v>
      </c>
      <c r="P121" s="2">
        <f>Q73-$K73</f>
        <v>25569.041666666668</v>
      </c>
      <c r="Q121" s="2">
        <f>R73-$K73</f>
        <v>25569.041666666668</v>
      </c>
      <c r="R121" s="2">
        <f>S73-$K73</f>
        <v>25569.041666666668</v>
      </c>
      <c r="S121" s="2">
        <f>T73-$K73</f>
        <v>25569.041666666668</v>
      </c>
      <c r="T121" s="2">
        <f>U73-$K73</f>
        <v>25569.041666666668</v>
      </c>
      <c r="U121" s="2">
        <f>V73-$K73</f>
        <v>25569.041666666668</v>
      </c>
      <c r="V121" s="2">
        <f>W73-$K73</f>
        <v>25569.041666666668</v>
      </c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7"/>
      <c r="AI121" s="2"/>
    </row>
    <row x14ac:dyDescent="0.25" r="122" customHeight="1" ht="18.75">
      <c r="A122" s="1" t="s">
        <v>566</v>
      </c>
      <c r="B122" s="25">
        <v>1.0006944444444446</v>
      </c>
      <c r="C122" s="3">
        <v>7.91</v>
      </c>
      <c r="D122" s="4"/>
      <c r="E122" s="4"/>
      <c r="F122" s="4">
        <f>TEXT(A122,"yyyy/mm/dd") &amp; " " &amp; TEXT(B122,"hh:mm:ss")</f>
      </c>
      <c r="G122" s="4" t="s">
        <v>147</v>
      </c>
      <c r="H122" s="4"/>
      <c r="I122" s="4"/>
      <c r="J122" s="18" t="s">
        <v>43</v>
      </c>
      <c r="K122" s="2">
        <f>L74-$K74</f>
        <v>25569.041666666668</v>
      </c>
      <c r="L122" s="2">
        <f>M74-$K74</f>
        <v>25569.041666666668</v>
      </c>
      <c r="M122" s="2">
        <f>N74-$K74</f>
        <v>25569.041666666668</v>
      </c>
      <c r="N122" s="2">
        <f>O74-$K74</f>
        <v>25569.041666666668</v>
      </c>
      <c r="O122" s="2">
        <f>P74-$K74</f>
        <v>25569.041666666668</v>
      </c>
      <c r="P122" s="2">
        <f>Q74-$K74</f>
        <v>25569.041666666668</v>
      </c>
      <c r="Q122" s="2">
        <f>R74-$K74</f>
        <v>25569.041666666668</v>
      </c>
      <c r="R122" s="2">
        <f>S74-$K74</f>
        <v>25569.041666666668</v>
      </c>
      <c r="S122" s="2">
        <f>T74-$K74</f>
        <v>25569.041666666668</v>
      </c>
      <c r="T122" s="2">
        <f>U74-$K74</f>
        <v>25569.041666666668</v>
      </c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7"/>
      <c r="AI122" s="2"/>
    </row>
    <row x14ac:dyDescent="0.25" r="123" customHeight="1" ht="18.75">
      <c r="A123" s="1" t="s">
        <v>567</v>
      </c>
      <c r="B123" s="25">
        <v>1.0069444444444444</v>
      </c>
      <c r="C123" s="3">
        <v>7.22</v>
      </c>
      <c r="D123" s="4"/>
      <c r="E123" s="4"/>
      <c r="F123" s="4">
        <f>TEXT(A123,"yyyy/mm/dd") &amp; " " &amp; TEXT(B123,"hh:mm:ss")</f>
      </c>
      <c r="G123" s="4" t="s">
        <v>148</v>
      </c>
      <c r="H123" s="4"/>
      <c r="I123" s="4"/>
      <c r="J123" s="18" t="s">
        <v>44</v>
      </c>
      <c r="K123" s="2">
        <f>L75-$K75</f>
        <v>25569.041666666668</v>
      </c>
      <c r="L123" s="2">
        <f>M75-$K75</f>
        <v>25569.041666666668</v>
      </c>
      <c r="M123" s="2">
        <f>N75-$K75</f>
        <v>25569.041666666668</v>
      </c>
      <c r="N123" s="2">
        <f>O75-$K75</f>
        <v>25569.041666666668</v>
      </c>
      <c r="O123" s="2">
        <f>P75-$K75</f>
        <v>25569.041666666668</v>
      </c>
      <c r="P123" s="2">
        <f>Q75-$K75</f>
        <v>25569.041666666668</v>
      </c>
      <c r="Q123" s="2">
        <f>R75-$K75</f>
        <v>25569.041666666668</v>
      </c>
      <c r="R123" s="2">
        <f>S75-$K75</f>
        <v>25569.041666666668</v>
      </c>
      <c r="S123" s="2">
        <f>T75-$K75</f>
        <v>25569.041666666668</v>
      </c>
      <c r="T123" s="2">
        <f>U75-$K75</f>
        <v>25569.041666666668</v>
      </c>
      <c r="U123" s="2">
        <f>V75-$K75</f>
        <v>25569.041666666668</v>
      </c>
      <c r="V123" s="2">
        <f>W75-$K75</f>
        <v>25569.041666666668</v>
      </c>
      <c r="W123" s="2">
        <f>X75-$K75</f>
        <v>25569.041666666668</v>
      </c>
      <c r="X123" s="2">
        <f>Y75-$K75</f>
        <v>25569.041666666668</v>
      </c>
      <c r="Y123" s="2">
        <f>Z75-$K75</f>
        <v>25569.041666666668</v>
      </c>
      <c r="Z123" s="2">
        <f>AA75-$K75</f>
        <v>25569.041666666668</v>
      </c>
      <c r="AA123" s="2">
        <f>AB75-$K75</f>
        <v>25569.041666666668</v>
      </c>
      <c r="AB123" s="2"/>
      <c r="AC123" s="2"/>
      <c r="AD123" s="2"/>
      <c r="AE123" s="2"/>
      <c r="AF123" s="2"/>
      <c r="AG123" s="2"/>
      <c r="AH123" s="27"/>
      <c r="AI123" s="2"/>
    </row>
    <row x14ac:dyDescent="0.25" r="124" customHeight="1" ht="18.75">
      <c r="A124" s="1" t="s">
        <v>567</v>
      </c>
      <c r="B124" s="25">
        <v>1.692361111111111</v>
      </c>
      <c r="C124" s="3">
        <v>6.78</v>
      </c>
      <c r="D124" s="4"/>
      <c r="E124" s="4"/>
      <c r="F124" s="4">
        <f>TEXT(A124,"yyyy/mm/dd") &amp; " " &amp; TEXT(B124,"hh:mm:ss")</f>
      </c>
      <c r="G124" s="4" t="s">
        <v>149</v>
      </c>
      <c r="H124" s="4"/>
      <c r="I124" s="4"/>
      <c r="J124" s="18" t="s">
        <v>45</v>
      </c>
      <c r="K124" s="2">
        <f>L76-$K76</f>
        <v>25569.041666666668</v>
      </c>
      <c r="L124" s="2">
        <f>M76-$K76</f>
        <v>25569.041666666668</v>
      </c>
      <c r="M124" s="2">
        <f>N76-$K76</f>
        <v>25569.041666666668</v>
      </c>
      <c r="N124" s="2">
        <f>O76-$K76</f>
        <v>25569.041666666668</v>
      </c>
      <c r="O124" s="2">
        <f>P76-$K76</f>
        <v>25569.041666666668</v>
      </c>
      <c r="P124" s="2">
        <f>Q76-$K76</f>
        <v>25569.041666666668</v>
      </c>
      <c r="Q124" s="2">
        <f>R76-$K76</f>
        <v>25569.041666666668</v>
      </c>
      <c r="R124" s="2">
        <f>S76-$K76</f>
        <v>25569.041666666668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7"/>
      <c r="AI124" s="2"/>
    </row>
    <row x14ac:dyDescent="0.25" r="125" customHeight="1" ht="18.75">
      <c r="A125" s="1" t="s">
        <v>568</v>
      </c>
      <c r="B125" s="25">
        <v>1.0034722222222223</v>
      </c>
      <c r="C125" s="3">
        <v>5.47</v>
      </c>
      <c r="D125" s="4"/>
      <c r="E125" s="4"/>
      <c r="F125" s="4">
        <f>TEXT(A125,"yyyy/mm/dd") &amp; " " &amp; TEXT(B125,"hh:mm:ss")</f>
      </c>
      <c r="G125" s="4" t="s">
        <v>150</v>
      </c>
      <c r="H125" s="4"/>
      <c r="I125" s="4"/>
      <c r="J125" s="18" t="s">
        <v>46</v>
      </c>
      <c r="K125" s="2">
        <f>L77-$K77</f>
        <v>25569.041666666668</v>
      </c>
      <c r="L125" s="2">
        <f>M77-$K77</f>
        <v>25569.041666666668</v>
      </c>
      <c r="M125" s="2">
        <f>N77-$K77</f>
        <v>25569.041666666668</v>
      </c>
      <c r="N125" s="2">
        <f>O77-$K77</f>
        <v>25569.041666666668</v>
      </c>
      <c r="O125" s="2">
        <f>P77-$K77</f>
        <v>25569.041666666668</v>
      </c>
      <c r="P125" s="2">
        <f>Q77-$K77</f>
        <v>25569.041666666668</v>
      </c>
      <c r="Q125" s="2">
        <f>R77-$K77</f>
        <v>25569.041666666668</v>
      </c>
      <c r="R125" s="2">
        <f>S77-$K77</f>
        <v>25569.041666666668</v>
      </c>
      <c r="S125" s="2">
        <f>T77-$K77</f>
        <v>25569.041666666668</v>
      </c>
      <c r="T125" s="2">
        <f>U77-$K77</f>
        <v>25569.041666666668</v>
      </c>
      <c r="U125" s="2">
        <f>V77-$K77</f>
        <v>25569.041666666668</v>
      </c>
      <c r="V125" s="2">
        <f>W77-$K77</f>
        <v>25569.041666666668</v>
      </c>
      <c r="W125" s="2">
        <f>X77-$K77</f>
        <v>25569.041666666668</v>
      </c>
      <c r="X125" s="2">
        <f>Y77-$K77</f>
        <v>25569.041666666668</v>
      </c>
      <c r="Y125" s="2">
        <f>Z77-$K77</f>
        <v>25569.041666666668</v>
      </c>
      <c r="Z125" s="2">
        <f>AA77-$K77</f>
        <v>25569.041666666668</v>
      </c>
      <c r="AA125" s="2">
        <f>AB77-$K77</f>
        <v>25569.041666666668</v>
      </c>
      <c r="AB125" s="2">
        <f>AC77-$K77</f>
        <v>25569.041666666668</v>
      </c>
      <c r="AC125" s="2">
        <f>AD77-$K77</f>
        <v>25569.041666666668</v>
      </c>
      <c r="AD125" s="2">
        <f>AE77-$K77</f>
        <v>25569.041666666668</v>
      </c>
      <c r="AE125" s="2">
        <f>AF77-$K77</f>
        <v>25569.041666666668</v>
      </c>
      <c r="AF125" s="2">
        <f>AG77-$K77</f>
        <v>25569.041666666668</v>
      </c>
      <c r="AG125" s="2">
        <f>AH77-$K77</f>
        <v>25569.041666666668</v>
      </c>
      <c r="AH125" s="27"/>
      <c r="AI125" s="2"/>
    </row>
    <row x14ac:dyDescent="0.25" r="126" customHeight="1" ht="18.75">
      <c r="A126" s="1" t="s">
        <v>569</v>
      </c>
      <c r="B126" s="25">
        <v>1.0027777777777778</v>
      </c>
      <c r="C126" s="3">
        <v>4.72</v>
      </c>
      <c r="D126" s="4"/>
      <c r="E126" s="4"/>
      <c r="F126" s="4">
        <f>TEXT(A126,"yyyy/mm/dd") &amp; " " &amp; TEXT(B126,"hh:mm:ss")</f>
      </c>
      <c r="G126" s="4" t="s">
        <v>151</v>
      </c>
      <c r="H126" s="4"/>
      <c r="I126" s="4"/>
      <c r="J126" s="18" t="s">
        <v>47</v>
      </c>
      <c r="K126" s="2">
        <f>L78-$K78</f>
        <v>25569.041666666668</v>
      </c>
      <c r="L126" s="2">
        <f>M78-$K78</f>
        <v>25569.041666666668</v>
      </c>
      <c r="M126" s="2">
        <f>N78-$K78</f>
        <v>25569.041666666668</v>
      </c>
      <c r="N126" s="2">
        <f>O78-$K78</f>
        <v>25569.041666666668</v>
      </c>
      <c r="O126" s="2">
        <f>P78-$K78</f>
        <v>25569.041666666668</v>
      </c>
      <c r="P126" s="2">
        <f>Q78-$K78</f>
        <v>25569.041666666668</v>
      </c>
      <c r="Q126" s="2">
        <f>R78-$K78</f>
        <v>25569.041666666668</v>
      </c>
      <c r="R126" s="2">
        <f>S78-$K78</f>
        <v>25569.041666666668</v>
      </c>
      <c r="S126" s="2">
        <f>T78-$K78</f>
        <v>25569.041666666668</v>
      </c>
      <c r="T126" s="2">
        <f>U78-$K78</f>
        <v>25569.041666666668</v>
      </c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7"/>
      <c r="AI126" s="2"/>
    </row>
    <row x14ac:dyDescent="0.25" r="127" customHeight="1" ht="18.75">
      <c r="A127" s="1" t="s">
        <v>570</v>
      </c>
      <c r="B127" s="25">
        <v>1.011111111111111</v>
      </c>
      <c r="C127" s="3">
        <v>3.83</v>
      </c>
      <c r="D127" s="4"/>
      <c r="E127" s="4"/>
      <c r="F127" s="4">
        <f>TEXT(A127,"yyyy/mm/dd") &amp; " " &amp; TEXT(B127,"hh:mm:ss")</f>
      </c>
      <c r="G127" s="4" t="s">
        <v>152</v>
      </c>
      <c r="H127" s="4"/>
      <c r="I127" s="4"/>
      <c r="J127" s="18" t="s">
        <v>48</v>
      </c>
      <c r="K127" s="2">
        <f>L79-$K79</f>
        <v>25569.041666666668</v>
      </c>
      <c r="L127" s="2">
        <f>M79-$K79</f>
        <v>25569.041666666668</v>
      </c>
      <c r="M127" s="2">
        <f>N79-$K79</f>
        <v>25569.041666666668</v>
      </c>
      <c r="N127" s="2">
        <f>O79-$K79</f>
        <v>25569.041666666668</v>
      </c>
      <c r="O127" s="2">
        <f>P79-$K79</f>
        <v>25569.041666666668</v>
      </c>
      <c r="P127" s="2">
        <f>Q79-$K79</f>
        <v>25569.041666666668</v>
      </c>
      <c r="Q127" s="2">
        <f>R79-$K79</f>
        <v>25569.041666666668</v>
      </c>
      <c r="R127" s="2">
        <f>S79-$K79</f>
        <v>25569.041666666668</v>
      </c>
      <c r="S127" s="2">
        <f>T79-$K79</f>
        <v>25569.041666666668</v>
      </c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7"/>
      <c r="AI127" s="2"/>
    </row>
    <row x14ac:dyDescent="0.25" r="128" customHeight="1" ht="18.75">
      <c r="A128" s="1" t="s">
        <v>571</v>
      </c>
      <c r="B128" s="25">
        <v>1.242361111111111</v>
      </c>
      <c r="C128" s="3">
        <v>3.02</v>
      </c>
      <c r="D128" s="4"/>
      <c r="E128" s="4"/>
      <c r="F128" s="4">
        <f>TEXT(A128,"yyyy/mm/dd") &amp; " " &amp; TEXT(B128,"hh:mm:ss")</f>
      </c>
      <c r="G128" s="4" t="s">
        <v>153</v>
      </c>
      <c r="H128" s="4"/>
      <c r="I128" s="4"/>
      <c r="J128" s="18" t="s">
        <v>49</v>
      </c>
      <c r="K128" s="2">
        <f>L80-$K80</f>
        <v>25569.041666666668</v>
      </c>
      <c r="L128" s="2">
        <f>M80-$K80</f>
        <v>25569.041666666668</v>
      </c>
      <c r="M128" s="2">
        <f>N80-$K80</f>
        <v>25569.041666666668</v>
      </c>
      <c r="N128" s="2">
        <f>O80-$K80</f>
        <v>25569.041666666668</v>
      </c>
      <c r="O128" s="2">
        <f>P80-$K80</f>
        <v>25569.041666666668</v>
      </c>
      <c r="P128" s="2">
        <f>Q80-$K80</f>
        <v>25569.041666666668</v>
      </c>
      <c r="Q128" s="2">
        <f>R80-$K80</f>
        <v>25569.041666666668</v>
      </c>
      <c r="R128" s="2">
        <f>S80-$K80</f>
        <v>25569.041666666668</v>
      </c>
      <c r="S128" s="2">
        <f>T80-$K80</f>
        <v>25569.041666666668</v>
      </c>
      <c r="T128" s="2">
        <f>U80-$K80</f>
        <v>25569.041666666668</v>
      </c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7"/>
      <c r="AI128" s="2"/>
    </row>
    <row x14ac:dyDescent="0.25" r="129" customHeight="1" ht="18.75">
      <c r="A129" s="1" t="s">
        <v>572</v>
      </c>
      <c r="B129" s="25">
        <v>1.020138888888889</v>
      </c>
      <c r="C129" s="3">
        <v>2.35</v>
      </c>
      <c r="D129" s="4"/>
      <c r="E129" s="4"/>
      <c r="F129" s="4">
        <f>TEXT(A129,"yyyy/mm/dd") &amp; " " &amp; TEXT(B129,"hh:mm:ss")</f>
      </c>
      <c r="G129" s="4" t="s">
        <v>154</v>
      </c>
      <c r="H129" s="4"/>
      <c r="I129" s="4"/>
      <c r="J129" s="18" t="s">
        <v>50</v>
      </c>
      <c r="K129" s="2">
        <f>L81-$K81</f>
        <v>25569.041666666668</v>
      </c>
      <c r="L129" s="2">
        <f>M81-$K81</f>
        <v>25569.041666666668</v>
      </c>
      <c r="M129" s="2">
        <f>N81-$K81</f>
        <v>25569.041666666668</v>
      </c>
      <c r="N129" s="2">
        <f>O81-$K81</f>
        <v>25569.041666666668</v>
      </c>
      <c r="O129" s="2">
        <f>P81-$K81</f>
        <v>25569.041666666668</v>
      </c>
      <c r="P129" s="2">
        <f>Q81-$K81</f>
        <v>25569.041666666668</v>
      </c>
      <c r="Q129" s="2">
        <f>R81-$K81</f>
        <v>25569.041666666668</v>
      </c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7"/>
      <c r="AI129" s="2"/>
    </row>
    <row x14ac:dyDescent="0.25" r="130" customHeight="1" ht="18.75">
      <c r="A130" s="1" t="s">
        <v>573</v>
      </c>
      <c r="B130" s="25">
        <v>1.0027777777777778</v>
      </c>
      <c r="C130" s="3">
        <v>1.52</v>
      </c>
      <c r="D130" s="4"/>
      <c r="E130" s="4"/>
      <c r="F130" s="4">
        <f>TEXT(A130,"yyyy/mm/dd") &amp; " " &amp; TEXT(B130,"hh:mm:ss")</f>
      </c>
      <c r="G130" s="4" t="s">
        <v>155</v>
      </c>
      <c r="H130" s="4"/>
      <c r="I130" s="4"/>
      <c r="J130" s="18" t="s">
        <v>51</v>
      </c>
      <c r="K130" s="2">
        <f>L82-$K82</f>
        <v>25569.041666666668</v>
      </c>
      <c r="L130" s="2">
        <f>M82-$K82</f>
        <v>25569.041666666668</v>
      </c>
      <c r="M130" s="2">
        <f>N82-$K82</f>
        <v>25569.041666666668</v>
      </c>
      <c r="N130" s="2">
        <f>O82-$K82</f>
        <v>25569.041666666668</v>
      </c>
      <c r="O130" s="2">
        <f>P82-$K82</f>
        <v>25569.041666666668</v>
      </c>
      <c r="P130" s="2">
        <f>Q82-$K82</f>
        <v>25569.041666666668</v>
      </c>
      <c r="Q130" s="2">
        <f>R82-$K82</f>
        <v>25569.041666666668</v>
      </c>
      <c r="R130" s="2">
        <f>S82-$K82</f>
        <v>25569.041666666668</v>
      </c>
      <c r="S130" s="2">
        <f>T82-$K82</f>
        <v>25569.041666666668</v>
      </c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7"/>
      <c r="AI130" s="2"/>
    </row>
    <row x14ac:dyDescent="0.25" r="131" customHeight="1" ht="18.75">
      <c r="A131" s="1" t="s">
        <v>574</v>
      </c>
      <c r="B131" s="25">
        <v>1.2402777777777778</v>
      </c>
      <c r="C131" s="3">
        <v>1.12</v>
      </c>
      <c r="D131" s="4"/>
      <c r="E131" s="4"/>
      <c r="F131" s="4">
        <f>TEXT(A131,"yyyy/mm/dd") &amp; " " &amp; TEXT(B131,"hh:mm:ss")</f>
      </c>
      <c r="G131" s="4" t="s">
        <v>156</v>
      </c>
      <c r="H131" s="4"/>
      <c r="I131" s="4"/>
      <c r="J131" s="18" t="s">
        <v>52</v>
      </c>
      <c r="K131" s="2">
        <f>L83-$K83</f>
        <v>25569.041666666668</v>
      </c>
      <c r="L131" s="2">
        <f>M83-$K83</f>
        <v>25569.041666666668</v>
      </c>
      <c r="M131" s="2">
        <f>N83-$K83</f>
        <v>25569.041666666668</v>
      </c>
      <c r="N131" s="2">
        <f>O83-$K83</f>
        <v>25569.041666666668</v>
      </c>
      <c r="O131" s="2">
        <f>P83-$K83</f>
        <v>25569.041666666668</v>
      </c>
      <c r="P131" s="2">
        <f>Q83-$K83</f>
        <v>25569.041666666668</v>
      </c>
      <c r="Q131" s="2">
        <f>R83-$K83</f>
        <v>25569.041666666668</v>
      </c>
      <c r="R131" s="2">
        <f>S83-$K83</f>
        <v>25569.041666666668</v>
      </c>
      <c r="S131" s="2">
        <f>T83-$K83</f>
        <v>25569.041666666668</v>
      </c>
      <c r="T131" s="2">
        <f>U83-$K83</f>
        <v>25569.041666666668</v>
      </c>
      <c r="U131" s="2">
        <f>V83-$K83</f>
        <v>25569.041666666668</v>
      </c>
      <c r="V131" s="2">
        <f>W83-$K83</f>
        <v>25569.041666666668</v>
      </c>
      <c r="W131" s="2">
        <f>X83-$K83</f>
        <v>25569.041666666668</v>
      </c>
      <c r="X131" s="2">
        <f>Y83-$K83</f>
        <v>25569.041666666668</v>
      </c>
      <c r="Y131" s="2">
        <f>Z83-$K83</f>
        <v>25569.041666666668</v>
      </c>
      <c r="Z131" s="2">
        <f>AA83-$K83</f>
        <v>25569.041666666668</v>
      </c>
      <c r="AA131" s="2">
        <f>AB83-$K83</f>
        <v>25569.041666666668</v>
      </c>
      <c r="AB131" s="2">
        <f>AC83-$K83</f>
        <v>25569.041666666668</v>
      </c>
      <c r="AC131" s="2"/>
      <c r="AD131" s="2"/>
      <c r="AE131" s="2"/>
      <c r="AF131" s="2"/>
      <c r="AG131" s="2"/>
      <c r="AH131" s="27"/>
      <c r="AI131" s="2"/>
    </row>
    <row x14ac:dyDescent="0.25" r="132" customHeight="1" ht="18.75">
      <c r="A132" s="21" t="s">
        <v>575</v>
      </c>
      <c r="B132" s="22">
        <v>1.24375</v>
      </c>
      <c r="C132" s="13">
        <v>0.864</v>
      </c>
      <c r="D132" s="4"/>
      <c r="E132" s="4"/>
      <c r="F132" s="4">
        <f>TEXT(A132,"yyyy/mm/dd") &amp; " " &amp; TEXT(B132,"hh:mm:ss")</f>
      </c>
      <c r="G132" s="20" t="s">
        <v>157</v>
      </c>
      <c r="H132" s="4"/>
      <c r="I132" s="4"/>
      <c r="J132" s="18" t="s">
        <v>53</v>
      </c>
      <c r="K132" s="2">
        <f>L84-$K84</f>
        <v>25569.041666666668</v>
      </c>
      <c r="L132" s="2">
        <f>M84-$K84</f>
        <v>25569.041666666668</v>
      </c>
      <c r="M132" s="2">
        <f>N84-$K84</f>
        <v>25569.041666666668</v>
      </c>
      <c r="N132" s="2">
        <f>O84-$K84</f>
        <v>25569.041666666668</v>
      </c>
      <c r="O132" s="2">
        <f>P84-$K84</f>
        <v>25569.041666666668</v>
      </c>
      <c r="P132" s="2">
        <f>Q84-$K84</f>
        <v>25569.041666666668</v>
      </c>
      <c r="Q132" s="2">
        <f>R84-$K84</f>
        <v>25569.041666666668</v>
      </c>
      <c r="R132" s="2">
        <f>S84-$K84</f>
        <v>25569.041666666668</v>
      </c>
      <c r="S132" s="2">
        <f>T84-$K84</f>
        <v>25569.041666666668</v>
      </c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7"/>
      <c r="AI132" s="2"/>
    </row>
    <row x14ac:dyDescent="0.25" r="133" customHeight="1" ht="18.75">
      <c r="A133" s="1" t="s">
        <v>576</v>
      </c>
      <c r="B133" s="14">
        <v>1.4618055555555556</v>
      </c>
      <c r="C133" s="3">
        <v>0.426</v>
      </c>
      <c r="D133" s="4"/>
      <c r="E133" s="4"/>
      <c r="F133" s="4">
        <f>TEXT(A133,"yyyy/mm/dd") &amp; " " &amp; TEXT(B133,"hh:mm:ss")</f>
      </c>
      <c r="G133" s="4" t="s">
        <v>159</v>
      </c>
      <c r="H133" s="4"/>
      <c r="I133" s="4"/>
      <c r="J133" s="18" t="s">
        <v>54</v>
      </c>
      <c r="K133" s="2">
        <f>L85-$K85</f>
        <v>25569.041666666668</v>
      </c>
      <c r="L133" s="2">
        <f>M85-$K85</f>
        <v>25569.041666666668</v>
      </c>
      <c r="M133" s="2">
        <f>N85-$K85</f>
        <v>25569.041666666668</v>
      </c>
      <c r="N133" s="2">
        <f>O85-$K85</f>
        <v>25569.041666666668</v>
      </c>
      <c r="O133" s="2">
        <f>P85-$K85</f>
        <v>25569.041666666668</v>
      </c>
      <c r="P133" s="2">
        <f>Q85-$K85</f>
        <v>25569.041666666668</v>
      </c>
      <c r="Q133" s="2">
        <f>R85-$K85</f>
        <v>25569.041666666668</v>
      </c>
      <c r="R133" s="2">
        <f>S85-$K85</f>
        <v>25569.041666666668</v>
      </c>
      <c r="S133" s="2">
        <f>T85-$K85</f>
        <v>25569.041666666668</v>
      </c>
      <c r="T133" s="2">
        <f>U85-$K85</f>
        <v>25569.041666666668</v>
      </c>
      <c r="U133" s="2">
        <f>V85-$K85</f>
        <v>25569.041666666668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7"/>
      <c r="AI133" s="2"/>
    </row>
    <row x14ac:dyDescent="0.25" r="134" customHeight="1" ht="18.75">
      <c r="A134" s="1" t="s">
        <v>576</v>
      </c>
      <c r="B134" s="14">
        <v>1.7041666666666666</v>
      </c>
      <c r="C134" s="3">
        <v>2.38</v>
      </c>
      <c r="D134" s="4"/>
      <c r="E134" s="4"/>
      <c r="F134" s="4">
        <f>TEXT(A134,"yyyy/mm/dd") &amp; " " &amp; TEXT(B134,"hh:mm:ss")</f>
      </c>
      <c r="G134" s="4" t="s">
        <v>160</v>
      </c>
      <c r="H134" s="4"/>
      <c r="I134" s="4"/>
      <c r="J134" s="18" t="s">
        <v>55</v>
      </c>
      <c r="K134" s="2">
        <f>L86-$K86</f>
        <v>25569.041666666668</v>
      </c>
      <c r="L134" s="2">
        <f>M86-$K86</f>
        <v>25569.041666666668</v>
      </c>
      <c r="M134" s="2">
        <f>N86-$K86</f>
        <v>25569.041666666668</v>
      </c>
      <c r="N134" s="2">
        <f>O86-$K86</f>
        <v>25569.041666666668</v>
      </c>
      <c r="O134" s="2">
        <f>P86-$K86</f>
        <v>25569.041666666668</v>
      </c>
      <c r="P134" s="2">
        <f>Q86-$K86</f>
        <v>25569.041666666668</v>
      </c>
      <c r="Q134" s="2">
        <f>R86-$K86</f>
        <v>25569.041666666668</v>
      </c>
      <c r="R134" s="2">
        <f>S86-$K86</f>
        <v>25569.041666666668</v>
      </c>
      <c r="S134" s="2">
        <f>T86-$K86</f>
        <v>25569.041666666668</v>
      </c>
      <c r="T134" s="2">
        <f>U86-$K86</f>
        <v>25569.041666666668</v>
      </c>
      <c r="U134" s="2">
        <f>V86-$K86</f>
        <v>25569.041666666668</v>
      </c>
      <c r="V134" s="2">
        <f>W86-$K86</f>
        <v>25569.041666666668</v>
      </c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7"/>
      <c r="AI134" s="2"/>
    </row>
    <row x14ac:dyDescent="0.25" r="135" customHeight="1" ht="18.75">
      <c r="A135" s="1" t="s">
        <v>577</v>
      </c>
      <c r="B135" s="14">
        <v>1.0215277777777778</v>
      </c>
      <c r="C135" s="3">
        <v>1.88</v>
      </c>
      <c r="D135" s="4"/>
      <c r="E135" s="4"/>
      <c r="F135" s="4">
        <f>TEXT(A135,"yyyy/mm/dd") &amp; " " &amp; TEXT(B135,"hh:mm:ss")</f>
      </c>
      <c r="G135" s="4" t="s">
        <v>161</v>
      </c>
      <c r="H135" s="4"/>
      <c r="I135" s="4"/>
      <c r="J135" s="18" t="s">
        <v>56</v>
      </c>
      <c r="K135" s="2">
        <f>L87-$K87</f>
        <v>25569.041666666668</v>
      </c>
      <c r="L135" s="2">
        <f>M87-$K87</f>
        <v>25569.041666666668</v>
      </c>
      <c r="M135" s="2">
        <f>N87-$K87</f>
        <v>25569.041666666668</v>
      </c>
      <c r="N135" s="2">
        <f>O87-$K87</f>
        <v>25569.041666666668</v>
      </c>
      <c r="O135" s="2">
        <f>P87-$K87</f>
        <v>25569.041666666668</v>
      </c>
      <c r="P135" s="2">
        <f>Q87-$K87</f>
        <v>25569.041666666668</v>
      </c>
      <c r="Q135" s="2">
        <f>R87-$K87</f>
        <v>25569.041666666668</v>
      </c>
      <c r="R135" s="2">
        <f>S87-$K87</f>
        <v>25569.041666666668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7"/>
      <c r="AI135" s="2"/>
    </row>
    <row x14ac:dyDescent="0.25" r="136" customHeight="1" ht="18.75">
      <c r="A136" s="1" t="s">
        <v>578</v>
      </c>
      <c r="B136" s="14">
        <v>1.00625</v>
      </c>
      <c r="C136" s="3">
        <v>2.37</v>
      </c>
      <c r="D136" s="4"/>
      <c r="E136" s="4"/>
      <c r="F136" s="4">
        <f>TEXT(A136,"yyyy/mm/dd") &amp; " " &amp; TEXT(B136,"hh:mm:ss")</f>
      </c>
      <c r="G136" s="4" t="s">
        <v>162</v>
      </c>
      <c r="H136" s="4"/>
      <c r="I136" s="4"/>
      <c r="J136" s="18" t="s">
        <v>57</v>
      </c>
      <c r="K136" s="2">
        <f>L88-$K88</f>
        <v>25569.041666666668</v>
      </c>
      <c r="L136" s="2">
        <f>M88-$K88</f>
        <v>25569.041666666668</v>
      </c>
      <c r="M136" s="2">
        <f>N88-$K88</f>
        <v>25569.041666666668</v>
      </c>
      <c r="N136" s="2">
        <f>O88-$K88</f>
        <v>25569.041666666668</v>
      </c>
      <c r="O136" s="2">
        <f>P88-$K88</f>
        <v>25569.041666666668</v>
      </c>
      <c r="P136" s="2">
        <f>Q88-$K88</f>
        <v>25569.041666666668</v>
      </c>
      <c r="Q136" s="2">
        <f>R88-$K88</f>
        <v>25569.041666666668</v>
      </c>
      <c r="R136" s="2">
        <f>S88-$K88</f>
        <v>25569.041666666668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7"/>
      <c r="AI136" s="2"/>
    </row>
    <row x14ac:dyDescent="0.25" r="137" customHeight="1" ht="18.75">
      <c r="A137" s="1" t="s">
        <v>579</v>
      </c>
      <c r="B137" s="14">
        <v>1.0041666666666667</v>
      </c>
      <c r="C137" s="3">
        <v>2.45</v>
      </c>
      <c r="D137" s="4"/>
      <c r="E137" s="4"/>
      <c r="F137" s="4">
        <f>TEXT(A137,"yyyy/mm/dd") &amp; " " &amp; TEXT(B137,"hh:mm:ss")</f>
      </c>
      <c r="G137" s="4" t="s">
        <v>163</v>
      </c>
      <c r="H137" s="4"/>
      <c r="I137" s="4"/>
      <c r="J137" s="18" t="s">
        <v>58</v>
      </c>
      <c r="K137" s="2">
        <f>L89-$K89</f>
        <v>25569.041666666668</v>
      </c>
      <c r="L137" s="2">
        <f>M89-$K89</f>
        <v>25569.041666666668</v>
      </c>
      <c r="M137" s="2">
        <f>N89-$K89</f>
        <v>25569.041666666668</v>
      </c>
      <c r="N137" s="2">
        <f>O89-$K89</f>
        <v>25569.041666666668</v>
      </c>
      <c r="O137" s="2">
        <f>P89-$K89</f>
        <v>25569.041666666668</v>
      </c>
      <c r="P137" s="2">
        <f>Q89-$K89</f>
        <v>25569.041666666668</v>
      </c>
      <c r="Q137" s="2">
        <f>R89-$K89</f>
        <v>25569.041666666668</v>
      </c>
      <c r="R137" s="2">
        <f>S89-$K89</f>
        <v>25569.041666666668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7"/>
      <c r="AI137" s="2"/>
    </row>
    <row x14ac:dyDescent="0.25" r="138" customHeight="1" ht="18.75">
      <c r="A138" s="1" t="s">
        <v>580</v>
      </c>
      <c r="B138" s="14">
        <v>1.007638888888889</v>
      </c>
      <c r="C138" s="3">
        <v>1.69</v>
      </c>
      <c r="D138" s="4"/>
      <c r="E138" s="4"/>
      <c r="F138" s="4">
        <f>TEXT(A138,"yyyy/mm/dd") &amp; " " &amp; TEXT(B138,"hh:mm:ss")</f>
      </c>
      <c r="G138" s="4" t="s">
        <v>164</v>
      </c>
      <c r="H138" s="4"/>
      <c r="I138" s="4"/>
      <c r="J138" s="18" t="s">
        <v>59</v>
      </c>
      <c r="K138" s="2">
        <f>L90-$K90</f>
        <v>25569.041666666668</v>
      </c>
      <c r="L138" s="2">
        <f>M90-$K90</f>
        <v>25569.041666666668</v>
      </c>
      <c r="M138" s="2">
        <f>N90-$K90</f>
        <v>25569.041666666668</v>
      </c>
      <c r="N138" s="2">
        <f>O90-$K90</f>
        <v>25569.041666666668</v>
      </c>
      <c r="O138" s="2">
        <f>P90-$K90</f>
        <v>25569.041666666668</v>
      </c>
      <c r="P138" s="2">
        <f>Q90-$K90</f>
        <v>25569.041666666668</v>
      </c>
      <c r="Q138" s="2">
        <f>R90-$K90</f>
        <v>25569.041666666668</v>
      </c>
      <c r="R138" s="2">
        <f>S90-$K90</f>
        <v>25569.041666666668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7"/>
      <c r="AI138" s="2"/>
    </row>
    <row x14ac:dyDescent="0.25" r="139" customHeight="1" ht="18.75">
      <c r="A139" s="1" t="s">
        <v>581</v>
      </c>
      <c r="B139" s="14">
        <v>1.00625</v>
      </c>
      <c r="C139" s="3">
        <v>0.71</v>
      </c>
      <c r="D139" s="4"/>
      <c r="E139" s="4"/>
      <c r="F139" s="4">
        <f>TEXT(A139,"yyyy/mm/dd") &amp; " " &amp; TEXT(B139,"hh:mm:ss")</f>
      </c>
      <c r="G139" s="4" t="s">
        <v>165</v>
      </c>
      <c r="H139" s="4"/>
      <c r="I139" s="4"/>
      <c r="J139" s="18" t="s">
        <v>60</v>
      </c>
      <c r="K139" s="2">
        <f>L91-$K91</f>
        <v>25569.041666666668</v>
      </c>
      <c r="L139" s="2">
        <f>M91-$K91</f>
        <v>25569.041666666668</v>
      </c>
      <c r="M139" s="2">
        <f>N91-$K91</f>
        <v>25569.041666666668</v>
      </c>
      <c r="N139" s="2">
        <f>O91-$K91</f>
        <v>25569.041666666668</v>
      </c>
      <c r="O139" s="2">
        <f>P91-$K91</f>
        <v>25569.041666666668</v>
      </c>
      <c r="P139" s="2">
        <f>Q91-$K91</f>
        <v>25569.041666666668</v>
      </c>
      <c r="Q139" s="2">
        <f>R91-$K91</f>
        <v>25569.041666666668</v>
      </c>
      <c r="R139" s="2">
        <f>S91-$K91</f>
        <v>25569.041666666668</v>
      </c>
      <c r="S139" s="2">
        <f>T91-$K91</f>
        <v>25569.041666666668</v>
      </c>
      <c r="T139" s="2">
        <f>U91-$K91</f>
        <v>25569.041666666668</v>
      </c>
      <c r="U139" s="2">
        <f>V91-$K91</f>
        <v>25569.041666666668</v>
      </c>
      <c r="V139" s="2">
        <f>W91-$K91</f>
        <v>25569.041666666668</v>
      </c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7"/>
      <c r="AI139" s="2"/>
    </row>
    <row x14ac:dyDescent="0.25" r="140" customHeight="1" ht="18.75">
      <c r="A140" s="1" t="s">
        <v>582</v>
      </c>
      <c r="B140" s="14">
        <v>1.0020833333333334</v>
      </c>
      <c r="C140" s="3">
        <v>0.273</v>
      </c>
      <c r="D140" s="4"/>
      <c r="E140" s="4"/>
      <c r="F140" s="4">
        <f>TEXT(A140,"yyyy/mm/dd") &amp; " " &amp; TEXT(B140,"hh:mm:ss")</f>
      </c>
      <c r="G140" s="4" t="s">
        <v>166</v>
      </c>
      <c r="H140" s="4"/>
      <c r="I140" s="4"/>
      <c r="J140" s="18" t="s">
        <v>61</v>
      </c>
      <c r="K140" s="2">
        <f>L92-$K92</f>
        <v>25569.041666666668</v>
      </c>
      <c r="L140" s="2">
        <f>M92-$K92</f>
        <v>25569.041666666668</v>
      </c>
      <c r="M140" s="2">
        <f>N92-$K92</f>
        <v>25569.041666666668</v>
      </c>
      <c r="N140" s="2">
        <f>O92-$K92</f>
        <v>25569.041666666668</v>
      </c>
      <c r="O140" s="2">
        <f>P92-$K92</f>
        <v>25569.041666666668</v>
      </c>
      <c r="P140" s="2">
        <f>Q92-$K92</f>
        <v>25569.041666666668</v>
      </c>
      <c r="Q140" s="2">
        <f>R92-$K92</f>
        <v>25569.041666666668</v>
      </c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7"/>
      <c r="AI140" s="2"/>
    </row>
    <row x14ac:dyDescent="0.25" r="141" customHeight="1" ht="18.75">
      <c r="A141" s="1" t="s">
        <v>583</v>
      </c>
      <c r="B141" s="14">
        <v>1.2361111111111112</v>
      </c>
      <c r="C141" s="3">
        <v>0.147</v>
      </c>
      <c r="D141" s="4"/>
      <c r="E141" s="4"/>
      <c r="F141" s="4">
        <f>TEXT(A141,"yyyy/mm/dd") &amp; " " &amp; TEXT(B141,"hh:mm:ss")</f>
      </c>
      <c r="G141" s="4" t="s">
        <v>167</v>
      </c>
      <c r="H141" s="4"/>
      <c r="I141" s="4"/>
      <c r="J141" s="18" t="s">
        <v>62</v>
      </c>
      <c r="K141" s="2">
        <f>L93-$K93</f>
        <v>25569.041666666668</v>
      </c>
      <c r="L141" s="2">
        <f>M93-$K93</f>
        <v>25569.041666666668</v>
      </c>
      <c r="M141" s="2">
        <f>N93-$K93</f>
        <v>25569.041666666668</v>
      </c>
      <c r="N141" s="2">
        <f>O93-$K93</f>
        <v>25569.041666666668</v>
      </c>
      <c r="O141" s="2">
        <f>P93-$K93</f>
        <v>25569.041666666668</v>
      </c>
      <c r="P141" s="2">
        <f>Q93-$K93</f>
        <v>25569.041666666668</v>
      </c>
      <c r="Q141" s="2">
        <f>R93-$K93</f>
        <v>25569.041666666668</v>
      </c>
      <c r="R141" s="2">
        <f>S93-$K93</f>
        <v>25569.041666666668</v>
      </c>
      <c r="S141" s="2">
        <f>T93-$K93</f>
        <v>25569.041666666668</v>
      </c>
      <c r="T141" s="2">
        <f>U93-$K93</f>
        <v>25569.041666666668</v>
      </c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7"/>
      <c r="AI141" s="2"/>
    </row>
    <row x14ac:dyDescent="0.25" r="142" customHeight="1" ht="18.75">
      <c r="A142" s="21" t="s">
        <v>584</v>
      </c>
      <c r="B142" s="24">
        <v>1.0041666666666667</v>
      </c>
      <c r="C142" s="13">
        <v>0.047</v>
      </c>
      <c r="D142" s="4"/>
      <c r="E142" s="4"/>
      <c r="F142" s="4">
        <f>TEXT(A142,"yyyy/mm/dd") &amp; " " &amp; TEXT(B142,"hh:mm:ss")</f>
      </c>
      <c r="G142" s="20" t="s">
        <v>168</v>
      </c>
      <c r="H142" s="4"/>
      <c r="I142" s="4"/>
      <c r="J142" s="18" t="s">
        <v>63</v>
      </c>
      <c r="K142" s="2">
        <f>L94-$K94</f>
        <v>25569.041666666668</v>
      </c>
      <c r="L142" s="2">
        <f>M94-$K94</f>
        <v>25569.041666666668</v>
      </c>
      <c r="M142" s="2">
        <f>N94-$K94</f>
        <v>25569.041666666668</v>
      </c>
      <c r="N142" s="2">
        <f>O94-$K94</f>
        <v>25569.041666666668</v>
      </c>
      <c r="O142" s="2">
        <f>P94-$K94</f>
        <v>25569.041666666668</v>
      </c>
      <c r="P142" s="2">
        <f>Q94-$K94</f>
        <v>25569.041666666668</v>
      </c>
      <c r="Q142" s="2">
        <f>R94-$K94</f>
        <v>25569.041666666668</v>
      </c>
      <c r="R142" s="2">
        <f>S94-$K94</f>
        <v>25569.041666666668</v>
      </c>
      <c r="S142" s="2">
        <f>T94-$K94</f>
        <v>25569.041666666668</v>
      </c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7"/>
      <c r="AI142" s="2"/>
    </row>
    <row x14ac:dyDescent="0.25" r="143" customHeight="1" ht="18.75">
      <c r="A143" s="1" t="s">
        <v>585</v>
      </c>
      <c r="B143" s="14">
        <v>1.4826388888888888</v>
      </c>
      <c r="C143" s="3">
        <v>0.652</v>
      </c>
      <c r="D143" s="4"/>
      <c r="E143" s="4"/>
      <c r="F143" s="4">
        <f>TEXT(A143,"yyyy/mm/dd") &amp; " " &amp; TEXT(B143,"hh:mm:ss")</f>
      </c>
      <c r="G143" s="4" t="s">
        <v>170</v>
      </c>
      <c r="H143" s="4"/>
      <c r="I143" s="4"/>
      <c r="J143" s="18" t="s">
        <v>64</v>
      </c>
      <c r="K143" s="2">
        <f>L95-$K95</f>
        <v>25569.041666666668</v>
      </c>
      <c r="L143" s="2">
        <f>M95-$K95</f>
        <v>25569.041666666668</v>
      </c>
      <c r="M143" s="2">
        <f>N95-$K95</f>
        <v>25569.041666666668</v>
      </c>
      <c r="N143" s="2">
        <f>O95-$K95</f>
        <v>25569.041666666668</v>
      </c>
      <c r="O143" s="2">
        <f>P95-$K95</f>
        <v>25569.041666666668</v>
      </c>
      <c r="P143" s="2">
        <f>Q95-$K95</f>
        <v>25569.041666666668</v>
      </c>
      <c r="Q143" s="2">
        <f>R95-$K95</f>
        <v>25569.041666666668</v>
      </c>
      <c r="R143" s="2">
        <f>S95-$K95</f>
        <v>25569.041666666668</v>
      </c>
      <c r="S143" s="2">
        <f>T95-$K95</f>
        <v>25569.041666666668</v>
      </c>
      <c r="T143" s="2">
        <f>U95-$K95</f>
        <v>25569.041666666668</v>
      </c>
      <c r="U143" s="2">
        <f>V95-$K95</f>
        <v>25569.041666666668</v>
      </c>
      <c r="V143" s="2">
        <f>W95-$K95</f>
        <v>25569.041666666668</v>
      </c>
      <c r="W143" s="2">
        <f>X95-$K95</f>
        <v>25569.041666666668</v>
      </c>
      <c r="X143" s="2">
        <f>Y95-$K95</f>
        <v>25569.041666666668</v>
      </c>
      <c r="Y143" s="2">
        <f>Z95-$K95</f>
        <v>25569.041666666668</v>
      </c>
      <c r="Z143" s="2">
        <f>AA95-$K95</f>
        <v>25569.041666666668</v>
      </c>
      <c r="AA143" s="2">
        <f>AB95-$K95</f>
        <v>25569.041666666668</v>
      </c>
      <c r="AB143" s="2">
        <f>AC95-$K95</f>
        <v>25569.041666666668</v>
      </c>
      <c r="AC143" s="2"/>
      <c r="AD143" s="2"/>
      <c r="AE143" s="2"/>
      <c r="AF143" s="2"/>
      <c r="AG143" s="2"/>
      <c r="AH143" s="27"/>
      <c r="AI143" s="2"/>
    </row>
    <row x14ac:dyDescent="0.25" r="144" customHeight="1" ht="18.75">
      <c r="A144" s="1" t="s">
        <v>585</v>
      </c>
      <c r="B144" s="14">
        <v>1.6840277777777777</v>
      </c>
      <c r="C144" s="3">
        <v>1.42</v>
      </c>
      <c r="D144" s="4"/>
      <c r="E144" s="4"/>
      <c r="F144" s="4">
        <f>TEXT(A144,"yyyy/mm/dd") &amp; " " &amp; TEXT(B144,"hh:mm:ss")</f>
      </c>
      <c r="G144" s="4" t="s">
        <v>171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1"/>
      <c r="AI144" s="1"/>
    </row>
    <row x14ac:dyDescent="0.25" r="145" customHeight="1" ht="18.75">
      <c r="A145" s="1" t="s">
        <v>586</v>
      </c>
      <c r="B145" s="14">
        <v>1.0166666666666666</v>
      </c>
      <c r="C145" s="3">
        <v>0.588</v>
      </c>
      <c r="D145" s="4"/>
      <c r="E145" s="4"/>
      <c r="F145" s="4">
        <f>TEXT(A145,"yyyy/mm/dd") &amp; " " &amp; TEXT(B145,"hh:mm:ss")</f>
      </c>
      <c r="G145" s="4" t="s">
        <v>172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1"/>
      <c r="AI145" s="1"/>
    </row>
    <row x14ac:dyDescent="0.25" r="146" customHeight="1" ht="18.75">
      <c r="A146" s="1" t="s">
        <v>587</v>
      </c>
      <c r="B146" s="14">
        <v>1.0097222222222222</v>
      </c>
      <c r="C146" s="3">
        <v>0.563</v>
      </c>
      <c r="D146" s="4"/>
      <c r="E146" s="4"/>
      <c r="F146" s="4">
        <f>TEXT(A146,"yyyy/mm/dd") &amp; " " &amp; TEXT(B146,"hh:mm:ss")</f>
      </c>
      <c r="G146" s="4" t="s">
        <v>173</v>
      </c>
      <c r="H146" s="4"/>
      <c r="I146" s="4"/>
      <c r="J146" s="18" t="s">
        <v>19</v>
      </c>
      <c r="K146" s="3">
        <f>K98*24</f>
      </c>
      <c r="L146" s="3">
        <f>L98*24</f>
      </c>
      <c r="M146" s="3">
        <f>M98*24</f>
      </c>
      <c r="N146" s="3">
        <f>N98*24</f>
      </c>
      <c r="O146" s="3">
        <f>O98*24</f>
      </c>
      <c r="P146" s="3">
        <f>P98*24</f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29"/>
      <c r="AI146" s="1"/>
    </row>
    <row x14ac:dyDescent="0.25" r="147" customHeight="1" ht="18.75">
      <c r="A147" s="1" t="s">
        <v>588</v>
      </c>
      <c r="B147" s="14">
        <v>1.0027777777777778</v>
      </c>
      <c r="C147" s="3">
        <v>0.614</v>
      </c>
      <c r="D147" s="4"/>
      <c r="E147" s="4"/>
      <c r="F147" s="4">
        <f>TEXT(A147,"yyyy/mm/dd") &amp; " " &amp; TEXT(B147,"hh:mm:ss")</f>
      </c>
      <c r="G147" s="4" t="s">
        <v>174</v>
      </c>
      <c r="H147" s="4"/>
      <c r="I147" s="4"/>
      <c r="J147" s="18" t="s">
        <v>20</v>
      </c>
      <c r="K147" s="3">
        <f>K99*24</f>
      </c>
      <c r="L147" s="3">
        <f>L99*24</f>
      </c>
      <c r="M147" s="3">
        <f>M99*24</f>
      </c>
      <c r="N147" s="3">
        <f>N99*24</f>
      </c>
      <c r="O147" s="3">
        <f>O99*24</f>
      </c>
      <c r="P147" s="3">
        <f>P99*24</f>
      </c>
      <c r="Q147" s="3">
        <f>Q99*24</f>
      </c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29"/>
      <c r="AI147" s="1"/>
    </row>
    <row x14ac:dyDescent="0.25" r="148" customHeight="1" ht="18.75">
      <c r="A148" s="21" t="s">
        <v>589</v>
      </c>
      <c r="B148" s="24">
        <v>1.0006944444444446</v>
      </c>
      <c r="C148" s="13">
        <v>0.365</v>
      </c>
      <c r="D148" s="4"/>
      <c r="E148" s="4"/>
      <c r="F148" s="4">
        <f>TEXT(A148,"yyyy/mm/dd") &amp; " " &amp; TEXT(B148,"hh:mm:ss")</f>
      </c>
      <c r="G148" s="20" t="s">
        <v>175</v>
      </c>
      <c r="H148" s="4"/>
      <c r="I148" s="4"/>
      <c r="J148" s="18" t="s">
        <v>21</v>
      </c>
      <c r="K148" s="3">
        <f>K100*24</f>
      </c>
      <c r="L148" s="3">
        <f>L100*24</f>
      </c>
      <c r="M148" s="3">
        <f>M100*24</f>
      </c>
      <c r="N148" s="3">
        <f>N100*24</f>
      </c>
      <c r="O148" s="3">
        <f>O100*24</f>
      </c>
      <c r="P148" s="3">
        <f>P100*24</f>
      </c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29"/>
      <c r="AI148" s="1"/>
    </row>
    <row x14ac:dyDescent="0.25" r="149" customHeight="1" ht="18.75">
      <c r="A149" s="1" t="s">
        <v>590</v>
      </c>
      <c r="B149" s="14">
        <v>1.5743055555555556</v>
      </c>
      <c r="C149" s="3">
        <v>0.644</v>
      </c>
      <c r="D149" s="4"/>
      <c r="E149" s="4"/>
      <c r="F149" s="4">
        <f>TEXT(A149,"yyyy/mm/dd") &amp; " " &amp; TEXT(B149,"hh:mm:ss")</f>
      </c>
      <c r="G149" s="4" t="s">
        <v>177</v>
      </c>
      <c r="H149" s="4"/>
      <c r="I149" s="4"/>
      <c r="J149" s="18" t="s">
        <v>22</v>
      </c>
      <c r="K149" s="3">
        <f>K101*24</f>
      </c>
      <c r="L149" s="3">
        <f>L101*24</f>
      </c>
      <c r="M149" s="3">
        <f>M101*24</f>
      </c>
      <c r="N149" s="3">
        <f>N101*24</f>
      </c>
      <c r="O149" s="3">
        <f>O101*24</f>
      </c>
      <c r="P149" s="3">
        <f>P101*24</f>
      </c>
      <c r="Q149" s="3">
        <f>Q101*24</f>
      </c>
      <c r="R149" s="3">
        <f>R101*24</f>
      </c>
      <c r="S149" s="3">
        <f>S101*24</f>
      </c>
      <c r="T149" s="3">
        <f>T101*24</f>
      </c>
      <c r="U149" s="3">
        <f>U101*24</f>
      </c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29"/>
      <c r="AI149" s="1"/>
    </row>
    <row x14ac:dyDescent="0.25" r="150" customHeight="1" ht="18.75">
      <c r="A150" s="1" t="s">
        <v>590</v>
      </c>
      <c r="B150" s="14">
        <v>1.7875</v>
      </c>
      <c r="C150" s="3">
        <v>2.55</v>
      </c>
      <c r="D150" s="4"/>
      <c r="E150" s="4"/>
      <c r="F150" s="4">
        <f>TEXT(A150,"yyyy/mm/dd") &amp; " " &amp; TEXT(B150,"hh:mm:ss")</f>
      </c>
      <c r="G150" s="4" t="s">
        <v>178</v>
      </c>
      <c r="H150" s="4"/>
      <c r="I150" s="4"/>
      <c r="J150" s="18" t="s">
        <v>23</v>
      </c>
      <c r="K150" s="3">
        <f>K102*24</f>
      </c>
      <c r="L150" s="3">
        <f>L102*24</f>
      </c>
      <c r="M150" s="3">
        <f>M102*24</f>
      </c>
      <c r="N150" s="3">
        <f>N102*24</f>
      </c>
      <c r="O150" s="3">
        <f>O102*24</f>
      </c>
      <c r="P150" s="3">
        <f>P102*24</f>
      </c>
      <c r="Q150" s="3">
        <f>Q102*24</f>
      </c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29"/>
      <c r="AI150" s="1"/>
    </row>
    <row x14ac:dyDescent="0.25" r="151" customHeight="1" ht="18.75">
      <c r="A151" s="1" t="s">
        <v>591</v>
      </c>
      <c r="B151" s="14">
        <v>1.0152777777777777</v>
      </c>
      <c r="C151" s="3">
        <v>2.16</v>
      </c>
      <c r="D151" s="4"/>
      <c r="E151" s="4"/>
      <c r="F151" s="4">
        <f>TEXT(A151,"yyyy/mm/dd") &amp; " " &amp; TEXT(B151,"hh:mm:ss")</f>
      </c>
      <c r="G151" s="4" t="s">
        <v>179</v>
      </c>
      <c r="H151" s="4"/>
      <c r="I151" s="4"/>
      <c r="J151" s="18" t="s">
        <v>24</v>
      </c>
      <c r="K151" s="3">
        <f>K103*24</f>
      </c>
      <c r="L151" s="3">
        <f>L103*24</f>
      </c>
      <c r="M151" s="3">
        <f>M103*24</f>
      </c>
      <c r="N151" s="3">
        <f>N103*24</f>
      </c>
      <c r="O151" s="3">
        <f>O103*24</f>
      </c>
      <c r="P151" s="3">
        <f>P103*24</f>
      </c>
      <c r="Q151" s="3">
        <f>Q103*24</f>
      </c>
      <c r="R151" s="3">
        <f>R103*24</f>
      </c>
      <c r="S151" s="3">
        <f>S103*24</f>
      </c>
      <c r="T151" s="3">
        <f>T103*24</f>
      </c>
      <c r="U151" s="3">
        <f>U103*24</f>
      </c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29"/>
      <c r="AI151" s="1"/>
    </row>
    <row x14ac:dyDescent="0.25" r="152" customHeight="1" ht="18.75">
      <c r="A152" s="1" t="s">
        <v>592</v>
      </c>
      <c r="B152" s="14">
        <v>1.0180555555555555</v>
      </c>
      <c r="C152" s="3">
        <v>1.38</v>
      </c>
      <c r="D152" s="4"/>
      <c r="E152" s="4"/>
      <c r="F152" s="4">
        <f>TEXT(A152,"yyyy/mm/dd") &amp; " " &amp; TEXT(B152,"hh:mm:ss")</f>
      </c>
      <c r="G152" s="4" t="s">
        <v>180</v>
      </c>
      <c r="H152" s="4"/>
      <c r="I152" s="4"/>
      <c r="J152" s="18" t="s">
        <v>25</v>
      </c>
      <c r="K152" s="3">
        <f>K104*24</f>
      </c>
      <c r="L152" s="3">
        <f>L104*24</f>
      </c>
      <c r="M152" s="3">
        <f>M104*24</f>
      </c>
      <c r="N152" s="3">
        <f>N104*24</f>
      </c>
      <c r="O152" s="3">
        <f>O104*24</f>
      </c>
      <c r="P152" s="3">
        <f>P104*24</f>
      </c>
      <c r="Q152" s="3">
        <f>Q104*24</f>
      </c>
      <c r="R152" s="3">
        <f>R104*24</f>
      </c>
      <c r="S152" s="3">
        <f>S104*24</f>
      </c>
      <c r="T152" s="3">
        <f>T104*24</f>
      </c>
      <c r="U152" s="3">
        <f>U104*24</f>
      </c>
      <c r="V152" s="3">
        <f>V104*24</f>
      </c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29"/>
      <c r="AI152" s="1"/>
    </row>
    <row x14ac:dyDescent="0.25" r="153" customHeight="1" ht="18.75">
      <c r="A153" s="1" t="s">
        <v>593</v>
      </c>
      <c r="B153" s="14">
        <v>1.0229166666666667</v>
      </c>
      <c r="C153" s="3">
        <v>1.54</v>
      </c>
      <c r="D153" s="4"/>
      <c r="E153" s="4"/>
      <c r="F153" s="4">
        <f>TEXT(A153,"yyyy/mm/dd") &amp; " " &amp; TEXT(B153,"hh:mm:ss")</f>
      </c>
      <c r="G153" s="4" t="s">
        <v>181</v>
      </c>
      <c r="H153" s="4"/>
      <c r="I153" s="4"/>
      <c r="J153" s="18" t="s">
        <v>26</v>
      </c>
      <c r="K153" s="3">
        <f>K105*24</f>
      </c>
      <c r="L153" s="3">
        <f>L105*24</f>
      </c>
      <c r="M153" s="3">
        <f>M105*24</f>
      </c>
      <c r="N153" s="3">
        <f>N105*24</f>
      </c>
      <c r="O153" s="3">
        <f>O105*24</f>
      </c>
      <c r="P153" s="3">
        <f>P105*24</f>
      </c>
      <c r="Q153" s="3">
        <f>Q105*24</f>
      </c>
      <c r="R153" s="3">
        <f>R105*24</f>
      </c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29"/>
      <c r="AI153" s="1"/>
    </row>
    <row x14ac:dyDescent="0.25" r="154" customHeight="1" ht="18.75">
      <c r="A154" s="1" t="s">
        <v>594</v>
      </c>
      <c r="B154" s="14">
        <v>1.0104166666666667</v>
      </c>
      <c r="C154" s="3">
        <v>1.11</v>
      </c>
      <c r="D154" s="4"/>
      <c r="E154" s="4"/>
      <c r="F154" s="4">
        <f>TEXT(A154,"yyyy/mm/dd") &amp; " " &amp; TEXT(B154,"hh:mm:ss")</f>
      </c>
      <c r="G154" s="4" t="s">
        <v>182</v>
      </c>
      <c r="H154" s="4"/>
      <c r="I154" s="4"/>
      <c r="J154" s="18" t="s">
        <v>27</v>
      </c>
      <c r="K154" s="3">
        <f>K106*24</f>
      </c>
      <c r="L154" s="3">
        <f>L106*24</f>
      </c>
      <c r="M154" s="3">
        <f>M106*24</f>
      </c>
      <c r="N154" s="3">
        <f>N106*24</f>
      </c>
      <c r="O154" s="3">
        <f>O106*24</f>
      </c>
      <c r="P154" s="3">
        <f>P106*24</f>
      </c>
      <c r="Q154" s="3">
        <f>Q106*24</f>
      </c>
      <c r="R154" s="3">
        <f>R106*24</f>
      </c>
      <c r="S154" s="3">
        <f>S106*24</f>
      </c>
      <c r="T154" s="3">
        <f>T106*24</f>
      </c>
      <c r="U154" s="3">
        <f>U106*24</f>
      </c>
      <c r="V154" s="3">
        <f>V106*24</f>
      </c>
      <c r="W154" s="3">
        <f>W106*24</f>
      </c>
      <c r="X154" s="3">
        <f>X106*24</f>
      </c>
      <c r="Y154" s="3">
        <f>Y106*24</f>
      </c>
      <c r="Z154" s="3"/>
      <c r="AA154" s="3"/>
      <c r="AB154" s="3"/>
      <c r="AC154" s="3"/>
      <c r="AD154" s="3"/>
      <c r="AE154" s="3"/>
      <c r="AF154" s="3"/>
      <c r="AG154" s="3"/>
      <c r="AH154" s="29"/>
      <c r="AI154" s="1"/>
    </row>
    <row x14ac:dyDescent="0.25" r="155" customHeight="1" ht="18.75">
      <c r="A155" s="1" t="s">
        <v>595</v>
      </c>
      <c r="B155" s="14">
        <v>1.0152777777777777</v>
      </c>
      <c r="C155" s="3">
        <v>0.527</v>
      </c>
      <c r="D155" s="4"/>
      <c r="E155" s="4"/>
      <c r="F155" s="4">
        <f>TEXT(A155,"yyyy/mm/dd") &amp; " " &amp; TEXT(B155,"hh:mm:ss")</f>
      </c>
      <c r="G155" s="4" t="s">
        <v>183</v>
      </c>
      <c r="H155" s="4"/>
      <c r="I155" s="4"/>
      <c r="J155" s="18" t="s">
        <v>28</v>
      </c>
      <c r="K155" s="3">
        <f>K107*24</f>
      </c>
      <c r="L155" s="3">
        <f>L107*24</f>
      </c>
      <c r="M155" s="3">
        <f>M107*24</f>
      </c>
      <c r="N155" s="3">
        <f>N107*24</f>
      </c>
      <c r="O155" s="3">
        <f>O107*24</f>
      </c>
      <c r="P155" s="3">
        <f>P107*24</f>
      </c>
      <c r="Q155" s="3">
        <f>Q107*24</f>
      </c>
      <c r="R155" s="3">
        <f>R107*24</f>
      </c>
      <c r="S155" s="3">
        <f>S107*24</f>
      </c>
      <c r="T155" s="3">
        <f>T107*24</f>
      </c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29"/>
      <c r="AI155" s="1"/>
    </row>
    <row x14ac:dyDescent="0.25" r="156" customHeight="1" ht="18.75">
      <c r="A156" s="1" t="s">
        <v>596</v>
      </c>
      <c r="B156" s="14">
        <v>1.0013888888888889</v>
      </c>
      <c r="C156" s="3">
        <v>0.74</v>
      </c>
      <c r="D156" s="4"/>
      <c r="E156" s="4"/>
      <c r="F156" s="4">
        <f>TEXT(A156,"yyyy/mm/dd") &amp; " " &amp; TEXT(B156,"hh:mm:ss")</f>
      </c>
      <c r="G156" s="4" t="s">
        <v>184</v>
      </c>
      <c r="H156" s="4"/>
      <c r="I156" s="4"/>
      <c r="J156" s="18" t="s">
        <v>29</v>
      </c>
      <c r="K156" s="3">
        <f>K108*24</f>
      </c>
      <c r="L156" s="3">
        <f>L108*24</f>
      </c>
      <c r="M156" s="3">
        <f>M108*24</f>
      </c>
      <c r="N156" s="3">
        <f>N108*24</f>
      </c>
      <c r="O156" s="3">
        <f>O108*24</f>
      </c>
      <c r="P156" s="3">
        <f>P108*24</f>
      </c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29"/>
      <c r="AI156" s="1"/>
    </row>
    <row x14ac:dyDescent="0.25" r="157" customHeight="1" ht="18.75">
      <c r="A157" s="21" t="s">
        <v>597</v>
      </c>
      <c r="B157" s="24">
        <v>1.0020833333333334</v>
      </c>
      <c r="C157" s="13">
        <v>0.443</v>
      </c>
      <c r="D157" s="4"/>
      <c r="E157" s="4"/>
      <c r="F157" s="4">
        <f>TEXT(A157,"yyyy/mm/dd") &amp; " " &amp; TEXT(B157,"hh:mm:ss")</f>
      </c>
      <c r="G157" s="20" t="s">
        <v>185</v>
      </c>
      <c r="H157" s="4"/>
      <c r="I157" s="4"/>
      <c r="J157" s="18" t="s">
        <v>30</v>
      </c>
      <c r="K157" s="3">
        <f>K109*24</f>
      </c>
      <c r="L157" s="3">
        <f>L109*24</f>
      </c>
      <c r="M157" s="3">
        <f>M109*24</f>
      </c>
      <c r="N157" s="3">
        <f>N109*24</f>
      </c>
      <c r="O157" s="3">
        <f>O109*24</f>
      </c>
      <c r="P157" s="3">
        <f>P109*24</f>
      </c>
      <c r="Q157" s="3">
        <f>Q109*24</f>
      </c>
      <c r="R157" s="3">
        <f>R109*24</f>
      </c>
      <c r="S157" s="3">
        <f>S109*24</f>
      </c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29"/>
      <c r="AI157" s="1"/>
    </row>
    <row x14ac:dyDescent="0.25" r="158" customHeight="1" ht="18.75">
      <c r="A158" s="1" t="s">
        <v>598</v>
      </c>
      <c r="B158" s="14">
        <v>1.4680555555555554</v>
      </c>
      <c r="C158" s="3">
        <v>0.141</v>
      </c>
      <c r="D158" s="4"/>
      <c r="E158" s="4"/>
      <c r="F158" s="4">
        <f>TEXT(A158,"yyyy/mm/dd") &amp; " " &amp; TEXT(B158,"hh:mm:ss")</f>
      </c>
      <c r="G158" s="4" t="s">
        <v>187</v>
      </c>
      <c r="H158" s="4"/>
      <c r="I158" s="4"/>
      <c r="J158" s="18" t="s">
        <v>31</v>
      </c>
      <c r="K158" s="3">
        <f>K110*24</f>
      </c>
      <c r="L158" s="3">
        <f>L110*24</f>
      </c>
      <c r="M158" s="3">
        <f>M110*24</f>
      </c>
      <c r="N158" s="3">
        <f>N110*24</f>
      </c>
      <c r="O158" s="3">
        <f>O110*24</f>
      </c>
      <c r="P158" s="3">
        <f>P110*24</f>
      </c>
      <c r="Q158" s="3">
        <f>Q110*24</f>
      </c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29"/>
      <c r="AI158" s="1"/>
    </row>
    <row x14ac:dyDescent="0.25" r="159" customHeight="1" ht="18.75">
      <c r="A159" s="1" t="s">
        <v>598</v>
      </c>
      <c r="B159" s="14">
        <v>1.7340277777777777</v>
      </c>
      <c r="C159" s="3">
        <v>0.304</v>
      </c>
      <c r="D159" s="4"/>
      <c r="E159" s="4"/>
      <c r="F159" s="4">
        <f>TEXT(A159,"yyyy/mm/dd") &amp; " " &amp; TEXT(B159,"hh:mm:ss")</f>
      </c>
      <c r="G159" s="4" t="s">
        <v>188</v>
      </c>
      <c r="H159" s="4"/>
      <c r="I159" s="4"/>
      <c r="J159" s="18" t="s">
        <v>32</v>
      </c>
      <c r="K159" s="3">
        <f>K111*24</f>
      </c>
      <c r="L159" s="3">
        <f>L111*24</f>
      </c>
      <c r="M159" s="3">
        <f>M111*24</f>
      </c>
      <c r="N159" s="3">
        <f>N111*24</f>
      </c>
      <c r="O159" s="3">
        <f>O111*24</f>
      </c>
      <c r="P159" s="3">
        <f>P111*24</f>
      </c>
      <c r="Q159" s="3">
        <f>Q111*24</f>
      </c>
      <c r="R159" s="3">
        <f>R111*24</f>
      </c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29"/>
      <c r="AI159" s="1"/>
    </row>
    <row x14ac:dyDescent="0.25" r="160" customHeight="1" ht="18.75">
      <c r="A160" s="1" t="s">
        <v>599</v>
      </c>
      <c r="B160" s="14">
        <v>1.0048611111111112</v>
      </c>
      <c r="C160" s="3">
        <v>0.237</v>
      </c>
      <c r="D160" s="4"/>
      <c r="E160" s="4"/>
      <c r="F160" s="4">
        <f>TEXT(A160,"yyyy/mm/dd") &amp; " " &amp; TEXT(B160,"hh:mm:ss")</f>
      </c>
      <c r="G160" s="4" t="s">
        <v>189</v>
      </c>
      <c r="H160" s="4"/>
      <c r="I160" s="4"/>
      <c r="J160" s="18" t="s">
        <v>33</v>
      </c>
      <c r="K160" s="3">
        <f>K112*24</f>
      </c>
      <c r="L160" s="3">
        <f>L112*24</f>
      </c>
      <c r="M160" s="3">
        <f>M112*24</f>
      </c>
      <c r="N160" s="3">
        <f>N112*24</f>
      </c>
      <c r="O160" s="3">
        <f>O112*24</f>
      </c>
      <c r="P160" s="3">
        <f>P112*24</f>
      </c>
      <c r="Q160" s="3">
        <f>Q112*24</f>
      </c>
      <c r="R160" s="3">
        <f>R112*24</f>
      </c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29"/>
      <c r="AI160" s="1"/>
    </row>
    <row x14ac:dyDescent="0.25" r="161" customHeight="1" ht="18.75">
      <c r="A161" s="1" t="s">
        <v>599</v>
      </c>
      <c r="B161" s="14">
        <v>1.6506944444444445</v>
      </c>
      <c r="C161" s="3">
        <v>0.197</v>
      </c>
      <c r="D161" s="4"/>
      <c r="E161" s="4"/>
      <c r="F161" s="4">
        <f>TEXT(A161,"yyyy/mm/dd") &amp; " " &amp; TEXT(B161,"hh:mm:ss")</f>
      </c>
      <c r="G161" s="4" t="s">
        <v>190</v>
      </c>
      <c r="H161" s="4"/>
      <c r="I161" s="4"/>
      <c r="J161" s="18" t="s">
        <v>34</v>
      </c>
      <c r="K161" s="3">
        <f>K113*24</f>
      </c>
      <c r="L161" s="3">
        <f>L113*24</f>
      </c>
      <c r="M161" s="3">
        <f>M113*24</f>
      </c>
      <c r="N161" s="3">
        <f>N113*24</f>
      </c>
      <c r="O161" s="3">
        <f>O113*24</f>
      </c>
      <c r="P161" s="3">
        <f>P113*24</f>
      </c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29"/>
      <c r="AI161" s="1"/>
    </row>
    <row x14ac:dyDescent="0.25" r="162" customHeight="1" ht="18.75">
      <c r="A162" s="1" t="s">
        <v>600</v>
      </c>
      <c r="B162" s="14">
        <v>1.0020833333333334</v>
      </c>
      <c r="C162" s="3">
        <v>0.168</v>
      </c>
      <c r="D162" s="4"/>
      <c r="E162" s="4"/>
      <c r="F162" s="4">
        <f>TEXT(A162,"yyyy/mm/dd") &amp; " " &amp; TEXT(B162,"hh:mm:ss")</f>
      </c>
      <c r="G162" s="4" t="s">
        <v>191</v>
      </c>
      <c r="H162" s="4"/>
      <c r="I162" s="4"/>
      <c r="J162" s="18" t="s">
        <v>35</v>
      </c>
      <c r="K162" s="3">
        <f>K114*24</f>
      </c>
      <c r="L162" s="3">
        <f>L114*24</f>
      </c>
      <c r="M162" s="3">
        <f>M114*24</f>
      </c>
      <c r="N162" s="3">
        <f>N114*24</f>
      </c>
      <c r="O162" s="3">
        <f>O114*24</f>
      </c>
      <c r="P162" s="3">
        <f>P114*24</f>
      </c>
      <c r="Q162" s="3">
        <f>Q114*24</f>
      </c>
      <c r="R162" s="3">
        <f>R114*24</f>
      </c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29"/>
      <c r="AI162" s="1"/>
    </row>
    <row x14ac:dyDescent="0.25" r="163" customHeight="1" ht="18.75">
      <c r="A163" s="1" t="s">
        <v>601</v>
      </c>
      <c r="B163" s="14">
        <v>1.0097222222222222</v>
      </c>
      <c r="C163" s="3">
        <v>0.162</v>
      </c>
      <c r="D163" s="4"/>
      <c r="E163" s="4"/>
      <c r="F163" s="4">
        <f>TEXT(A163,"yyyy/mm/dd") &amp; " " &amp; TEXT(B163,"hh:mm:ss")</f>
      </c>
      <c r="G163" s="4" t="s">
        <v>192</v>
      </c>
      <c r="H163" s="4"/>
      <c r="I163" s="4"/>
      <c r="J163" s="18" t="s">
        <v>36</v>
      </c>
      <c r="K163" s="3">
        <f>K115*24</f>
      </c>
      <c r="L163" s="3">
        <f>L115*24</f>
      </c>
      <c r="M163" s="3">
        <f>M115*24</f>
      </c>
      <c r="N163" s="3">
        <f>N115*24</f>
      </c>
      <c r="O163" s="3">
        <f>O115*24</f>
      </c>
      <c r="P163" s="3">
        <f>P115*24</f>
      </c>
      <c r="Q163" s="3">
        <f>Q115*24</f>
      </c>
      <c r="R163" s="3">
        <f>R115*24</f>
      </c>
      <c r="S163" s="3">
        <f>S115*24</f>
      </c>
      <c r="T163" s="3">
        <f>T115*24</f>
      </c>
      <c r="U163" s="3">
        <f>U115*24</f>
      </c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29"/>
      <c r="AI163" s="1"/>
    </row>
    <row x14ac:dyDescent="0.25" r="164" customHeight="1" ht="18.75">
      <c r="A164" s="21" t="s">
        <v>602</v>
      </c>
      <c r="B164" s="24">
        <v>1.2402777777777778</v>
      </c>
      <c r="C164" s="13">
        <v>0.157</v>
      </c>
      <c r="D164" s="4"/>
      <c r="E164" s="4"/>
      <c r="F164" s="4">
        <f>TEXT(A164,"yyyy/mm/dd") &amp; " " &amp; TEXT(B164,"hh:mm:ss")</f>
      </c>
      <c r="G164" s="20" t="s">
        <v>193</v>
      </c>
      <c r="H164" s="4"/>
      <c r="I164" s="4"/>
      <c r="J164" s="18" t="s">
        <v>37</v>
      </c>
      <c r="K164" s="3">
        <f>K116*24</f>
      </c>
      <c r="L164" s="3">
        <f>L116*24</f>
      </c>
      <c r="M164" s="3">
        <f>M116*24</f>
      </c>
      <c r="N164" s="3">
        <f>N116*24</f>
      </c>
      <c r="O164" s="3">
        <f>O116*24</f>
      </c>
      <c r="P164" s="3">
        <f>P116*24</f>
      </c>
      <c r="Q164" s="3">
        <f>Q116*24</f>
      </c>
      <c r="R164" s="3">
        <f>R116*24</f>
      </c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29"/>
      <c r="AI164" s="1"/>
    </row>
    <row x14ac:dyDescent="0.25" r="165" customHeight="1" ht="18.75">
      <c r="A165" s="1" t="s">
        <v>603</v>
      </c>
      <c r="B165" s="14">
        <v>1.4763888888888888</v>
      </c>
      <c r="C165" s="3">
        <v>6.07</v>
      </c>
      <c r="D165" s="4"/>
      <c r="E165" s="4"/>
      <c r="F165" s="4">
        <f>TEXT(A165,"yyyy/mm/dd") &amp; " " &amp; TEXT(B165,"hh:mm:ss")</f>
      </c>
      <c r="G165" s="4" t="s">
        <v>195</v>
      </c>
      <c r="H165" s="4"/>
      <c r="I165" s="4"/>
      <c r="J165" s="18" t="s">
        <v>38</v>
      </c>
      <c r="K165" s="3">
        <f>K117*24</f>
      </c>
      <c r="L165" s="3">
        <f>L117*24</f>
      </c>
      <c r="M165" s="3">
        <f>M117*24</f>
      </c>
      <c r="N165" s="3">
        <f>N117*24</f>
      </c>
      <c r="O165" s="3">
        <f>O117*24</f>
      </c>
      <c r="P165" s="3">
        <f>P117*24</f>
      </c>
      <c r="Q165" s="3">
        <f>Q117*24</f>
      </c>
      <c r="R165" s="3">
        <f>R117*24</f>
      </c>
      <c r="S165" s="3">
        <f>S117*24</f>
      </c>
      <c r="T165" s="3">
        <f>T117*24</f>
      </c>
      <c r="U165" s="3">
        <f>U117*24</f>
      </c>
      <c r="V165" s="3">
        <f>V117*24</f>
      </c>
      <c r="W165" s="3">
        <f>W117*24</f>
      </c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29"/>
      <c r="AI165" s="1"/>
    </row>
    <row x14ac:dyDescent="0.25" r="166" customHeight="1" ht="18.75">
      <c r="A166" s="1" t="s">
        <v>603</v>
      </c>
      <c r="B166" s="14">
        <v>1.7069444444444444</v>
      </c>
      <c r="C166" s="3">
        <v>13.87</v>
      </c>
      <c r="D166" s="4"/>
      <c r="E166" s="4"/>
      <c r="F166" s="4">
        <f>TEXT(A166,"yyyy/mm/dd") &amp; " " &amp; TEXT(B166,"hh:mm:ss")</f>
      </c>
      <c r="G166" s="4" t="s">
        <v>196</v>
      </c>
      <c r="H166" s="4"/>
      <c r="I166" s="4"/>
      <c r="J166" s="18" t="s">
        <v>39</v>
      </c>
      <c r="K166" s="3">
        <f>K118*24</f>
      </c>
      <c r="L166" s="3">
        <f>L118*24</f>
      </c>
      <c r="M166" s="3">
        <f>M118*24</f>
      </c>
      <c r="N166" s="3">
        <f>N118*24</f>
      </c>
      <c r="O166" s="3">
        <f>O118*24</f>
      </c>
      <c r="P166" s="3">
        <f>P118*24</f>
      </c>
      <c r="Q166" s="3">
        <f>Q118*24</f>
      </c>
      <c r="R166" s="3">
        <f>R118*24</f>
      </c>
      <c r="S166" s="3">
        <f>S118*24</f>
      </c>
      <c r="T166" s="3">
        <f>T118*24</f>
      </c>
      <c r="U166" s="3">
        <f>U118*24</f>
      </c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29"/>
      <c r="AI166" s="1"/>
    </row>
    <row x14ac:dyDescent="0.25" r="167" customHeight="1" ht="18.75">
      <c r="A167" s="1" t="s">
        <v>604</v>
      </c>
      <c r="B167" s="14">
        <v>1.011111111111111</v>
      </c>
      <c r="C167" s="3">
        <v>6.21</v>
      </c>
      <c r="D167" s="4"/>
      <c r="E167" s="4"/>
      <c r="F167" s="4">
        <f>TEXT(A167,"yyyy/mm/dd") &amp; " " &amp; TEXT(B167,"hh:mm:ss")</f>
      </c>
      <c r="G167" s="4" t="s">
        <v>197</v>
      </c>
      <c r="H167" s="4"/>
      <c r="I167" s="4"/>
      <c r="J167" s="18" t="s">
        <v>40</v>
      </c>
      <c r="K167" s="3">
        <f>K119*24</f>
      </c>
      <c r="L167" s="3">
        <f>L119*24</f>
      </c>
      <c r="M167" s="3">
        <f>M119*24</f>
      </c>
      <c r="N167" s="3">
        <f>N119*24</f>
      </c>
      <c r="O167" s="3">
        <f>O119*24</f>
      </c>
      <c r="P167" s="3">
        <f>P119*24</f>
      </c>
      <c r="Q167" s="3">
        <f>Q119*24</f>
      </c>
      <c r="R167" s="3">
        <f>R119*24</f>
      </c>
      <c r="S167" s="3">
        <f>S119*24</f>
      </c>
      <c r="T167" s="3">
        <f>T119*24</f>
      </c>
      <c r="U167" s="3">
        <f>U119*24</f>
      </c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29"/>
      <c r="AI167" s="1"/>
    </row>
    <row x14ac:dyDescent="0.25" r="168" customHeight="1" ht="18.75">
      <c r="A168" s="1" t="s">
        <v>605</v>
      </c>
      <c r="B168" s="14">
        <v>1.0083333333333333</v>
      </c>
      <c r="C168" s="3">
        <v>3.84</v>
      </c>
      <c r="D168" s="4"/>
      <c r="E168" s="4"/>
      <c r="F168" s="4">
        <f>TEXT(A168,"yyyy/mm/dd") &amp; " " &amp; TEXT(B168,"hh:mm:ss")</f>
      </c>
      <c r="G168" s="4" t="s">
        <v>198</v>
      </c>
      <c r="H168" s="4"/>
      <c r="I168" s="4"/>
      <c r="J168" s="18" t="s">
        <v>41</v>
      </c>
      <c r="K168" s="3">
        <f>K120*24</f>
      </c>
      <c r="L168" s="3">
        <f>L120*24</f>
      </c>
      <c r="M168" s="3">
        <f>M120*24</f>
      </c>
      <c r="N168" s="3">
        <f>N120*24</f>
      </c>
      <c r="O168" s="3">
        <f>O120*24</f>
      </c>
      <c r="P168" s="3">
        <f>P120*24</f>
      </c>
      <c r="Q168" s="3">
        <f>Q120*24</f>
      </c>
      <c r="R168" s="3">
        <f>R120*24</f>
      </c>
      <c r="S168" s="3">
        <f>S120*24</f>
      </c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29"/>
      <c r="AI168" s="1"/>
    </row>
    <row x14ac:dyDescent="0.25" r="169" customHeight="1" ht="18.75">
      <c r="A169" s="1" t="s">
        <v>606</v>
      </c>
      <c r="B169" s="14">
        <v>1.023611111111111</v>
      </c>
      <c r="C169" s="3">
        <v>4.84</v>
      </c>
      <c r="D169" s="4"/>
      <c r="E169" s="4"/>
      <c r="F169" s="4">
        <f>TEXT(A169,"yyyy/mm/dd") &amp; " " &amp; TEXT(B169,"hh:mm:ss")</f>
      </c>
      <c r="G169" s="4" t="s">
        <v>199</v>
      </c>
      <c r="H169" s="4"/>
      <c r="I169" s="4"/>
      <c r="J169" s="18" t="s">
        <v>42</v>
      </c>
      <c r="K169" s="3">
        <f>K121*24</f>
      </c>
      <c r="L169" s="3">
        <f>L121*24</f>
      </c>
      <c r="M169" s="3">
        <f>M121*24</f>
      </c>
      <c r="N169" s="3">
        <f>N121*24</f>
      </c>
      <c r="O169" s="3">
        <f>O121*24</f>
      </c>
      <c r="P169" s="3">
        <f>P121*24</f>
      </c>
      <c r="Q169" s="3">
        <f>Q121*24</f>
      </c>
      <c r="R169" s="3">
        <f>R121*24</f>
      </c>
      <c r="S169" s="3">
        <f>S121*24</f>
      </c>
      <c r="T169" s="3">
        <f>T121*24</f>
      </c>
      <c r="U169" s="3">
        <f>U121*24</f>
      </c>
      <c r="V169" s="3">
        <f>V121*24</f>
      </c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29"/>
      <c r="AI169" s="1"/>
    </row>
    <row x14ac:dyDescent="0.25" r="170" customHeight="1" ht="18.75">
      <c r="A170" s="1" t="s">
        <v>607</v>
      </c>
      <c r="B170" s="14">
        <v>1.0069444444444444</v>
      </c>
      <c r="C170" s="3">
        <v>4.72</v>
      </c>
      <c r="D170" s="4"/>
      <c r="E170" s="4"/>
      <c r="F170" s="4">
        <f>TEXT(A170,"yyyy/mm/dd") &amp; " " &amp; TEXT(B170,"hh:mm:ss")</f>
      </c>
      <c r="G170" s="4" t="s">
        <v>200</v>
      </c>
      <c r="H170" s="4"/>
      <c r="I170" s="4"/>
      <c r="J170" s="18" t="s">
        <v>43</v>
      </c>
      <c r="K170" s="3">
        <f>K122*24</f>
      </c>
      <c r="L170" s="3">
        <f>L122*24</f>
      </c>
      <c r="M170" s="3">
        <f>M122*24</f>
      </c>
      <c r="N170" s="3">
        <f>N122*24</f>
      </c>
      <c r="O170" s="3">
        <f>O122*24</f>
      </c>
      <c r="P170" s="3">
        <f>P122*24</f>
      </c>
      <c r="Q170" s="3">
        <f>Q122*24</f>
      </c>
      <c r="R170" s="3">
        <f>R122*24</f>
      </c>
      <c r="S170" s="3">
        <f>S122*24</f>
      </c>
      <c r="T170" s="3">
        <f>T122*24</f>
      </c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29"/>
      <c r="AI170" s="1"/>
    </row>
    <row x14ac:dyDescent="0.25" r="171" customHeight="1" ht="18.75">
      <c r="A171" s="1" t="s">
        <v>608</v>
      </c>
      <c r="B171" s="14">
        <v>1.2284722222222222</v>
      </c>
      <c r="C171" s="3">
        <v>3.57</v>
      </c>
      <c r="D171" s="4"/>
      <c r="E171" s="4"/>
      <c r="F171" s="4">
        <f>TEXT(A171,"yyyy/mm/dd") &amp; " " &amp; TEXT(B171,"hh:mm:ss")</f>
      </c>
      <c r="G171" s="4" t="s">
        <v>201</v>
      </c>
      <c r="H171" s="4"/>
      <c r="I171" s="4"/>
      <c r="J171" s="18" t="s">
        <v>44</v>
      </c>
      <c r="K171" s="3">
        <f>K123*24</f>
      </c>
      <c r="L171" s="3">
        <f>L123*24</f>
      </c>
      <c r="M171" s="3">
        <f>M123*24</f>
      </c>
      <c r="N171" s="3">
        <f>N123*24</f>
      </c>
      <c r="O171" s="3">
        <f>O123*24</f>
      </c>
      <c r="P171" s="3">
        <f>P123*24</f>
      </c>
      <c r="Q171" s="3">
        <f>Q123*24</f>
      </c>
      <c r="R171" s="3">
        <f>R123*24</f>
      </c>
      <c r="S171" s="3">
        <f>S123*24</f>
      </c>
      <c r="T171" s="3">
        <f>T123*24</f>
      </c>
      <c r="U171" s="3">
        <f>U123*24</f>
      </c>
      <c r="V171" s="3">
        <f>V123*24</f>
      </c>
      <c r="W171" s="3">
        <f>W123*24</f>
      </c>
      <c r="X171" s="3">
        <f>X123*24</f>
      </c>
      <c r="Y171" s="3">
        <f>Y123*24</f>
      </c>
      <c r="Z171" s="3">
        <f>Z123*24</f>
      </c>
      <c r="AA171" s="3">
        <f>AA123*24</f>
      </c>
      <c r="AB171" s="3"/>
      <c r="AC171" s="3"/>
      <c r="AD171" s="3"/>
      <c r="AE171" s="3"/>
      <c r="AF171" s="3"/>
      <c r="AG171" s="3"/>
      <c r="AH171" s="29"/>
      <c r="AI171" s="1"/>
    </row>
    <row x14ac:dyDescent="0.25" r="172" customHeight="1" ht="18.75">
      <c r="A172" s="21" t="s">
        <v>609</v>
      </c>
      <c r="B172" s="24">
        <v>1.007638888888889</v>
      </c>
      <c r="C172" s="13">
        <v>2.29</v>
      </c>
      <c r="D172" s="4"/>
      <c r="E172" s="4"/>
      <c r="F172" s="4">
        <f>TEXT(A172,"yyyy/mm/dd") &amp; " " &amp; TEXT(B172,"hh:mm:ss")</f>
      </c>
      <c r="G172" s="20" t="s">
        <v>202</v>
      </c>
      <c r="H172" s="4"/>
      <c r="I172" s="4"/>
      <c r="J172" s="18" t="s">
        <v>45</v>
      </c>
      <c r="K172" s="3">
        <f>K124*24</f>
      </c>
      <c r="L172" s="3">
        <f>L124*24</f>
      </c>
      <c r="M172" s="3">
        <f>M124*24</f>
      </c>
      <c r="N172" s="3">
        <f>N124*24</f>
      </c>
      <c r="O172" s="3">
        <f>O124*24</f>
      </c>
      <c r="P172" s="3">
        <f>P124*24</f>
      </c>
      <c r="Q172" s="3">
        <f>Q124*24</f>
      </c>
      <c r="R172" s="3">
        <f>R124*24</f>
      </c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29"/>
      <c r="AI172" s="1"/>
    </row>
    <row x14ac:dyDescent="0.25" r="173" customHeight="1" ht="18.75">
      <c r="A173" s="1" t="s">
        <v>610</v>
      </c>
      <c r="B173" s="14">
        <v>1.6277777777777778</v>
      </c>
      <c r="C173" s="3">
        <v>4.016</v>
      </c>
      <c r="D173" s="4"/>
      <c r="E173" s="4"/>
      <c r="F173" s="4">
        <f>TEXT(A173,"yyyy/mm/dd") &amp; " " &amp; TEXT(B173,"hh:mm:ss")</f>
      </c>
      <c r="G173" s="4" t="s">
        <v>203</v>
      </c>
      <c r="H173" s="4"/>
      <c r="I173" s="4"/>
      <c r="J173" s="18" t="s">
        <v>46</v>
      </c>
      <c r="K173" s="3">
        <f>K125*24</f>
      </c>
      <c r="L173" s="3">
        <f>L125*24</f>
      </c>
      <c r="M173" s="3">
        <f>M125*24</f>
      </c>
      <c r="N173" s="3">
        <f>N125*24</f>
      </c>
      <c r="O173" s="3">
        <f>O125*24</f>
      </c>
      <c r="P173" s="3">
        <f>P125*24</f>
      </c>
      <c r="Q173" s="3">
        <f>Q125*24</f>
      </c>
      <c r="R173" s="3">
        <f>R125*24</f>
      </c>
      <c r="S173" s="3">
        <f>S125*24</f>
      </c>
      <c r="T173" s="3">
        <f>T125*24</f>
      </c>
      <c r="U173" s="3">
        <f>U125*24</f>
      </c>
      <c r="V173" s="3">
        <f>V125*24</f>
      </c>
      <c r="W173" s="3">
        <f>W125*24</f>
      </c>
      <c r="X173" s="3">
        <f>X125*24</f>
      </c>
      <c r="Y173" s="3">
        <f>Y125*24</f>
      </c>
      <c r="Z173" s="3">
        <f>Z125*24</f>
      </c>
      <c r="AA173" s="3">
        <f>AA125*24</f>
      </c>
      <c r="AB173" s="3">
        <f>AB125*24</f>
      </c>
      <c r="AC173" s="3">
        <f>AC125*24</f>
      </c>
      <c r="AD173" s="3">
        <f>AD125*24</f>
      </c>
      <c r="AE173" s="3">
        <f>AE125*24</f>
      </c>
      <c r="AF173" s="3">
        <f>AF125*24</f>
      </c>
      <c r="AG173" s="3">
        <f>AG125*24</f>
      </c>
      <c r="AH173" s="29"/>
      <c r="AI173" s="1"/>
    </row>
    <row x14ac:dyDescent="0.25" r="174" customHeight="1" ht="18.75">
      <c r="A174" s="1" t="s">
        <v>610</v>
      </c>
      <c r="B174" s="14">
        <v>1.78125</v>
      </c>
      <c r="C174" s="3">
        <v>9.697</v>
      </c>
      <c r="D174" s="4"/>
      <c r="E174" s="4"/>
      <c r="F174" s="4">
        <f>TEXT(A174,"yyyy/mm/dd") &amp; " " &amp; TEXT(B174,"hh:mm:ss")</f>
      </c>
      <c r="G174" s="4" t="s">
        <v>204</v>
      </c>
      <c r="H174" s="4"/>
      <c r="I174" s="4"/>
      <c r="J174" s="18" t="s">
        <v>47</v>
      </c>
      <c r="K174" s="3">
        <f>K126*24</f>
      </c>
      <c r="L174" s="3">
        <f>L126*24</f>
      </c>
      <c r="M174" s="3">
        <f>M126*24</f>
      </c>
      <c r="N174" s="3">
        <f>N126*24</f>
      </c>
      <c r="O174" s="3">
        <f>O126*24</f>
      </c>
      <c r="P174" s="3">
        <f>P126*24</f>
      </c>
      <c r="Q174" s="3">
        <f>Q126*24</f>
      </c>
      <c r="R174" s="3">
        <f>R126*24</f>
      </c>
      <c r="S174" s="3">
        <f>S126*24</f>
      </c>
      <c r="T174" s="3">
        <f>T126*24</f>
      </c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29"/>
      <c r="AI174" s="1"/>
    </row>
    <row x14ac:dyDescent="0.25" r="175" customHeight="1" ht="18.75">
      <c r="A175" s="1" t="s">
        <v>611</v>
      </c>
      <c r="B175" s="14"/>
      <c r="C175" s="3">
        <v>7.528</v>
      </c>
      <c r="D175" s="4"/>
      <c r="E175" s="4"/>
      <c r="F175" s="4">
        <f>TEXT(A175,"yyyy/mm/dd") &amp; " " &amp; TEXT(B175,"hh:mm:ss")</f>
      </c>
      <c r="G175" s="4" t="s">
        <v>205</v>
      </c>
      <c r="H175" s="4"/>
      <c r="I175" s="4"/>
      <c r="J175" s="18" t="s">
        <v>48</v>
      </c>
      <c r="K175" s="3">
        <f>K127*24</f>
      </c>
      <c r="L175" s="3">
        <f>L127*24</f>
      </c>
      <c r="M175" s="3">
        <f>M127*24</f>
      </c>
      <c r="N175" s="3">
        <f>N127*24</f>
      </c>
      <c r="O175" s="3">
        <f>O127*24</f>
      </c>
      <c r="P175" s="3">
        <f>P127*24</f>
      </c>
      <c r="Q175" s="3">
        <f>Q127*24</f>
      </c>
      <c r="R175" s="3">
        <f>R127*24</f>
      </c>
      <c r="S175" s="3">
        <f>S127*24</f>
      </c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29"/>
      <c r="AI175" s="1"/>
    </row>
    <row x14ac:dyDescent="0.25" r="176" customHeight="1" ht="18.75">
      <c r="A176" s="1" t="s">
        <v>612</v>
      </c>
      <c r="B176" s="14">
        <v>1.0055555555555555</v>
      </c>
      <c r="C176" s="3">
        <v>3.415</v>
      </c>
      <c r="D176" s="4"/>
      <c r="E176" s="4"/>
      <c r="F176" s="4">
        <f>TEXT(A176,"yyyy/mm/dd") &amp; " " &amp; TEXT(B176,"hh:mm:ss")</f>
      </c>
      <c r="G176" s="4" t="s">
        <v>206</v>
      </c>
      <c r="H176" s="4"/>
      <c r="I176" s="4"/>
      <c r="J176" s="18" t="s">
        <v>49</v>
      </c>
      <c r="K176" s="3">
        <f>K128*24</f>
      </c>
      <c r="L176" s="3">
        <f>L128*24</f>
      </c>
      <c r="M176" s="3">
        <f>M128*24</f>
      </c>
      <c r="N176" s="3">
        <f>N128*24</f>
      </c>
      <c r="O176" s="3">
        <f>O128*24</f>
      </c>
      <c r="P176" s="3">
        <f>P128*24</f>
      </c>
      <c r="Q176" s="3">
        <f>Q128*24</f>
      </c>
      <c r="R176" s="3">
        <f>R128*24</f>
      </c>
      <c r="S176" s="3">
        <f>S128*24</f>
      </c>
      <c r="T176" s="3">
        <f>T128*24</f>
      </c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29"/>
      <c r="AI176" s="1"/>
    </row>
    <row x14ac:dyDescent="0.25" r="177" customHeight="1" ht="18.75">
      <c r="A177" s="1" t="s">
        <v>613</v>
      </c>
      <c r="B177" s="14">
        <v>1.0395833333333333</v>
      </c>
      <c r="C177" s="3">
        <v>2.773</v>
      </c>
      <c r="D177" s="4"/>
      <c r="E177" s="4"/>
      <c r="F177" s="4">
        <f>TEXT(A177,"yyyy/mm/dd") &amp; " " &amp; TEXT(B177,"hh:mm:ss")</f>
      </c>
      <c r="G177" s="4" t="s">
        <v>207</v>
      </c>
      <c r="H177" s="4"/>
      <c r="I177" s="4"/>
      <c r="J177" s="18" t="s">
        <v>50</v>
      </c>
      <c r="K177" s="3">
        <f>K129*24</f>
      </c>
      <c r="L177" s="3">
        <f>L129*24</f>
      </c>
      <c r="M177" s="3">
        <f>M129*24</f>
      </c>
      <c r="N177" s="3">
        <f>N129*24</f>
      </c>
      <c r="O177" s="3">
        <f>O129*24</f>
      </c>
      <c r="P177" s="3">
        <f>P129*24</f>
      </c>
      <c r="Q177" s="3">
        <f>Q129*24</f>
      </c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29"/>
      <c r="AI177" s="1"/>
    </row>
    <row x14ac:dyDescent="0.25" r="178" customHeight="1" ht="18.75">
      <c r="A178" s="1" t="s">
        <v>613</v>
      </c>
      <c r="B178" s="14">
        <v>1.6375</v>
      </c>
      <c r="C178" s="3">
        <v>2.565</v>
      </c>
      <c r="D178" s="4"/>
      <c r="E178" s="4"/>
      <c r="F178" s="4">
        <f>TEXT(A178,"yyyy/mm/dd") &amp; " " &amp; TEXT(B178,"hh:mm:ss")</f>
      </c>
      <c r="G178" s="4" t="s">
        <v>208</v>
      </c>
      <c r="H178" s="4"/>
      <c r="I178" s="4"/>
      <c r="J178" s="18" t="s">
        <v>51</v>
      </c>
      <c r="K178" s="3">
        <f>K130*24</f>
      </c>
      <c r="L178" s="3">
        <f>L130*24</f>
      </c>
      <c r="M178" s="3">
        <f>M130*24</f>
      </c>
      <c r="N178" s="3">
        <f>N130*24</f>
      </c>
      <c r="O178" s="3">
        <f>O130*24</f>
      </c>
      <c r="P178" s="3">
        <f>P130*24</f>
      </c>
      <c r="Q178" s="3">
        <f>Q130*24</f>
      </c>
      <c r="R178" s="3">
        <f>R130*24</f>
      </c>
      <c r="S178" s="3">
        <f>S130*24</f>
      </c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29"/>
      <c r="AI178" s="1"/>
    </row>
    <row x14ac:dyDescent="0.25" r="179" customHeight="1" ht="18.75">
      <c r="A179" s="1" t="s">
        <v>614</v>
      </c>
      <c r="B179" s="14">
        <v>1.2395833333333333</v>
      </c>
      <c r="C179" s="3">
        <v>2.755</v>
      </c>
      <c r="D179" s="4"/>
      <c r="E179" s="4"/>
      <c r="F179" s="4">
        <f>TEXT(A179,"yyyy/mm/dd") &amp; " " &amp; TEXT(B179,"hh:mm:ss")</f>
      </c>
      <c r="G179" s="4" t="s">
        <v>209</v>
      </c>
      <c r="H179" s="4"/>
      <c r="I179" s="4"/>
      <c r="J179" s="18" t="s">
        <v>52</v>
      </c>
      <c r="K179" s="3">
        <f>K131*24</f>
      </c>
      <c r="L179" s="3">
        <f>L131*24</f>
      </c>
      <c r="M179" s="3">
        <f>M131*24</f>
      </c>
      <c r="N179" s="3">
        <f>N131*24</f>
      </c>
      <c r="O179" s="3">
        <f>O131*24</f>
      </c>
      <c r="P179" s="3">
        <f>P131*24</f>
      </c>
      <c r="Q179" s="3">
        <f>Q131*24</f>
      </c>
      <c r="R179" s="3">
        <f>R131*24</f>
      </c>
      <c r="S179" s="3">
        <f>S131*24</f>
      </c>
      <c r="T179" s="3">
        <f>T131*24</f>
      </c>
      <c r="U179" s="3">
        <f>U131*24</f>
      </c>
      <c r="V179" s="3">
        <f>V131*24</f>
      </c>
      <c r="W179" s="3">
        <f>W131*24</f>
      </c>
      <c r="X179" s="3">
        <f>X131*24</f>
      </c>
      <c r="Y179" s="3">
        <f>Y131*24</f>
      </c>
      <c r="Z179" s="3">
        <f>Z131*24</f>
      </c>
      <c r="AA179" s="3">
        <f>AA131*24</f>
      </c>
      <c r="AB179" s="3">
        <f>AB131*24</f>
      </c>
      <c r="AC179" s="3"/>
      <c r="AD179" s="3"/>
      <c r="AE179" s="3"/>
      <c r="AF179" s="3"/>
      <c r="AG179" s="3"/>
      <c r="AH179" s="29"/>
      <c r="AI179" s="1"/>
    </row>
    <row x14ac:dyDescent="0.25" r="180" customHeight="1" ht="18.75">
      <c r="A180" s="21" t="s">
        <v>615</v>
      </c>
      <c r="B180" s="24">
        <v>1.2430555555555556</v>
      </c>
      <c r="C180" s="13">
        <v>2.032</v>
      </c>
      <c r="D180" s="4"/>
      <c r="E180" s="4"/>
      <c r="F180" s="4">
        <f>TEXT(A180,"yyyy/mm/dd") &amp; " " &amp; TEXT(B180,"hh:mm:ss")</f>
      </c>
      <c r="G180" s="20" t="s">
        <v>210</v>
      </c>
      <c r="H180" s="4"/>
      <c r="I180" s="4"/>
      <c r="J180" s="18" t="s">
        <v>53</v>
      </c>
      <c r="K180" s="3">
        <f>K132*24</f>
      </c>
      <c r="L180" s="3">
        <f>L132*24</f>
      </c>
      <c r="M180" s="3">
        <f>M132*24</f>
      </c>
      <c r="N180" s="3">
        <f>N132*24</f>
      </c>
      <c r="O180" s="3">
        <f>O132*24</f>
      </c>
      <c r="P180" s="3">
        <f>P132*24</f>
      </c>
      <c r="Q180" s="3">
        <f>Q132*24</f>
      </c>
      <c r="R180" s="3">
        <f>R132*24</f>
      </c>
      <c r="S180" s="3">
        <f>S132*24</f>
      </c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29"/>
      <c r="AI180" s="1"/>
    </row>
    <row x14ac:dyDescent="0.25" r="181" customHeight="1" ht="18.75">
      <c r="A181" s="1" t="s">
        <v>616</v>
      </c>
      <c r="B181" s="14">
        <v>1.7743055555555556</v>
      </c>
      <c r="C181" s="3">
        <v>0.9347000000000001</v>
      </c>
      <c r="D181" s="4"/>
      <c r="E181" s="4"/>
      <c r="F181" s="4">
        <f>TEXT(A181,"yyyy/mm/dd") &amp; " " &amp; TEXT(B181,"hh:mm:ss")</f>
      </c>
      <c r="G181" s="4" t="s">
        <v>212</v>
      </c>
      <c r="H181" s="4"/>
      <c r="I181" s="4"/>
      <c r="J181" s="18" t="s">
        <v>54</v>
      </c>
      <c r="K181" s="3">
        <f>K133*24</f>
      </c>
      <c r="L181" s="3">
        <f>L133*24</f>
      </c>
      <c r="M181" s="3">
        <f>M133*24</f>
      </c>
      <c r="N181" s="3">
        <f>N133*24</f>
      </c>
      <c r="O181" s="3">
        <f>O133*24</f>
      </c>
      <c r="P181" s="3">
        <f>P133*24</f>
      </c>
      <c r="Q181" s="3">
        <f>Q133*24</f>
      </c>
      <c r="R181" s="3">
        <f>R133*24</f>
      </c>
      <c r="S181" s="3">
        <f>S133*24</f>
      </c>
      <c r="T181" s="3">
        <f>T133*24</f>
      </c>
      <c r="U181" s="3">
        <f>U133*24</f>
      </c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29"/>
      <c r="AI181" s="1"/>
    </row>
    <row x14ac:dyDescent="0.25" r="182" customHeight="1" ht="18.75">
      <c r="A182" s="1" t="s">
        <v>616</v>
      </c>
      <c r="B182" s="14">
        <v>1.9729166666666667</v>
      </c>
      <c r="C182" s="3">
        <v>2.552</v>
      </c>
      <c r="D182" s="4"/>
      <c r="E182" s="4"/>
      <c r="F182" s="4">
        <f>TEXT(A182,"yyyy/mm/dd") &amp; " " &amp; TEXT(B182,"hh:mm:ss")</f>
      </c>
      <c r="G182" s="4" t="s">
        <v>213</v>
      </c>
      <c r="H182" s="4"/>
      <c r="I182" s="4"/>
      <c r="J182" s="18" t="s">
        <v>55</v>
      </c>
      <c r="K182" s="3">
        <f>K134*24</f>
      </c>
      <c r="L182" s="3">
        <f>L134*24</f>
      </c>
      <c r="M182" s="3">
        <f>M134*24</f>
      </c>
      <c r="N182" s="3">
        <f>N134*24</f>
      </c>
      <c r="O182" s="3">
        <f>O134*24</f>
      </c>
      <c r="P182" s="3">
        <f>P134*24</f>
      </c>
      <c r="Q182" s="3">
        <f>Q134*24</f>
      </c>
      <c r="R182" s="3">
        <f>R134*24</f>
      </c>
      <c r="S182" s="3">
        <f>S134*24</f>
      </c>
      <c r="T182" s="3">
        <f>T134*24</f>
      </c>
      <c r="U182" s="3">
        <f>U134*24</f>
      </c>
      <c r="V182" s="3">
        <f>V134*24</f>
      </c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29"/>
      <c r="AI182" s="1"/>
    </row>
    <row x14ac:dyDescent="0.25" r="183" customHeight="1" ht="18.75">
      <c r="A183" s="1" t="s">
        <v>617</v>
      </c>
      <c r="B183" s="14">
        <v>1.0041666666666667</v>
      </c>
      <c r="C183" s="3">
        <v>1.661</v>
      </c>
      <c r="D183" s="4"/>
      <c r="E183" s="4"/>
      <c r="F183" s="4">
        <f>TEXT(A183,"yyyy/mm/dd") &amp; " " &amp; TEXT(B183,"hh:mm:ss")</f>
      </c>
      <c r="G183" s="4" t="s">
        <v>214</v>
      </c>
      <c r="H183" s="4"/>
      <c r="I183" s="4"/>
      <c r="J183" s="18" t="s">
        <v>56</v>
      </c>
      <c r="K183" s="3">
        <f>K135*24</f>
      </c>
      <c r="L183" s="3">
        <f>L135*24</f>
      </c>
      <c r="M183" s="3">
        <f>M135*24</f>
      </c>
      <c r="N183" s="3">
        <f>N135*24</f>
      </c>
      <c r="O183" s="3">
        <f>O135*24</f>
      </c>
      <c r="P183" s="3">
        <f>P135*24</f>
      </c>
      <c r="Q183" s="3">
        <f>Q135*24</f>
      </c>
      <c r="R183" s="3">
        <f>R135*24</f>
      </c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29"/>
      <c r="AI183" s="1"/>
    </row>
    <row x14ac:dyDescent="0.25" r="184" customHeight="1" ht="18.75">
      <c r="A184" s="1" t="s">
        <v>618</v>
      </c>
      <c r="B184" s="14">
        <v>1.0145833333333334</v>
      </c>
      <c r="C184" s="3">
        <v>0.8097000000000001</v>
      </c>
      <c r="D184" s="4"/>
      <c r="E184" s="4"/>
      <c r="F184" s="4">
        <f>TEXT(A184,"yyyy/mm/dd") &amp; " " &amp; TEXT(B184,"hh:mm:ss")</f>
      </c>
      <c r="G184" s="4" t="s">
        <v>215</v>
      </c>
      <c r="H184" s="4"/>
      <c r="I184" s="4"/>
      <c r="J184" s="18" t="s">
        <v>57</v>
      </c>
      <c r="K184" s="3">
        <f>K136*24</f>
      </c>
      <c r="L184" s="3">
        <f>L136*24</f>
      </c>
      <c r="M184" s="3">
        <f>M136*24</f>
      </c>
      <c r="N184" s="3">
        <f>N136*24</f>
      </c>
      <c r="O184" s="3">
        <f>O136*24</f>
      </c>
      <c r="P184" s="3">
        <f>P136*24</f>
      </c>
      <c r="Q184" s="3">
        <f>Q136*24</f>
      </c>
      <c r="R184" s="3">
        <f>R136*24</f>
      </c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29"/>
      <c r="AI184" s="1"/>
    </row>
    <row x14ac:dyDescent="0.25" r="185" customHeight="1" ht="18.75">
      <c r="A185" s="1" t="s">
        <v>619</v>
      </c>
      <c r="B185" s="14">
        <v>1.007638888888889</v>
      </c>
      <c r="C185" s="3">
        <v>1.195</v>
      </c>
      <c r="D185" s="4"/>
      <c r="E185" s="4"/>
      <c r="F185" s="4">
        <f>TEXT(A185,"yyyy/mm/dd") &amp; " " &amp; TEXT(B185,"hh:mm:ss")</f>
      </c>
      <c r="G185" s="4" t="s">
        <v>216</v>
      </c>
      <c r="H185" s="4"/>
      <c r="I185" s="4"/>
      <c r="J185" s="18" t="s">
        <v>58</v>
      </c>
      <c r="K185" s="3">
        <f>K137*24</f>
      </c>
      <c r="L185" s="3">
        <f>L137*24</f>
      </c>
      <c r="M185" s="3">
        <f>M137*24</f>
      </c>
      <c r="N185" s="3">
        <f>N137*24</f>
      </c>
      <c r="O185" s="3">
        <f>O137*24</f>
      </c>
      <c r="P185" s="3">
        <f>P137*24</f>
      </c>
      <c r="Q185" s="3">
        <f>Q137*24</f>
      </c>
      <c r="R185" s="3">
        <f>R137*24</f>
      </c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29"/>
      <c r="AI185" s="1"/>
    </row>
    <row x14ac:dyDescent="0.25" r="186" customHeight="1" ht="18.75">
      <c r="A186" s="21" t="s">
        <v>620</v>
      </c>
      <c r="B186" s="24">
        <v>1.2430555555555556</v>
      </c>
      <c r="C186" s="13">
        <v>0.9369</v>
      </c>
      <c r="D186" s="4"/>
      <c r="E186" s="4"/>
      <c r="F186" s="4">
        <f>TEXT(A186,"yyyy/mm/dd") &amp; " " &amp; TEXT(B186,"hh:mm:ss")</f>
      </c>
      <c r="G186" s="20" t="s">
        <v>217</v>
      </c>
      <c r="H186" s="4"/>
      <c r="I186" s="4"/>
      <c r="J186" s="18" t="s">
        <v>59</v>
      </c>
      <c r="K186" s="3">
        <f>K138*24</f>
      </c>
      <c r="L186" s="3">
        <f>L138*24</f>
      </c>
      <c r="M186" s="3">
        <f>M138*24</f>
      </c>
      <c r="N186" s="3">
        <f>N138*24</f>
      </c>
      <c r="O186" s="3">
        <f>O138*24</f>
      </c>
      <c r="P186" s="3">
        <f>P138*24</f>
      </c>
      <c r="Q186" s="3">
        <f>Q138*24</f>
      </c>
      <c r="R186" s="3">
        <f>R138*24</f>
      </c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29"/>
      <c r="AI186" s="1"/>
    </row>
    <row x14ac:dyDescent="0.25" r="187" customHeight="1" ht="18.75">
      <c r="A187" s="1" t="s">
        <v>621</v>
      </c>
      <c r="B187" s="14">
        <v>1.8270833333333334</v>
      </c>
      <c r="C187" s="3">
        <v>0.5065</v>
      </c>
      <c r="D187" s="4"/>
      <c r="E187" s="4"/>
      <c r="F187" s="4">
        <f>TEXT(A187,"yyyy/mm/dd") &amp; " " &amp; TEXT(B187,"hh:mm:ss")</f>
      </c>
      <c r="G187" s="4" t="s">
        <v>219</v>
      </c>
      <c r="H187" s="4"/>
      <c r="I187" s="4"/>
      <c r="J187" s="18" t="s">
        <v>60</v>
      </c>
      <c r="K187" s="3">
        <f>K139*24</f>
      </c>
      <c r="L187" s="3">
        <f>L139*24</f>
      </c>
      <c r="M187" s="3">
        <f>M139*24</f>
      </c>
      <c r="N187" s="3">
        <f>N139*24</f>
      </c>
      <c r="O187" s="3">
        <f>O139*24</f>
      </c>
      <c r="P187" s="3">
        <f>P139*24</f>
      </c>
      <c r="Q187" s="3">
        <f>Q139*24</f>
      </c>
      <c r="R187" s="3">
        <f>R139*24</f>
      </c>
      <c r="S187" s="3">
        <f>S139*24</f>
      </c>
      <c r="T187" s="3">
        <f>T139*24</f>
      </c>
      <c r="U187" s="3">
        <f>U139*24</f>
      </c>
      <c r="V187" s="3">
        <f>V139*24</f>
      </c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29"/>
      <c r="AI187" s="1"/>
    </row>
    <row x14ac:dyDescent="0.25" r="188" customHeight="1" ht="18.75">
      <c r="A188" s="1" t="s">
        <v>622</v>
      </c>
      <c r="B188" s="14">
        <v>1.0013888888888889</v>
      </c>
      <c r="C188" s="3">
        <v>1.165</v>
      </c>
      <c r="D188" s="4"/>
      <c r="E188" s="4"/>
      <c r="F188" s="4">
        <f>TEXT(A188,"yyyy/mm/dd") &amp; " " &amp; TEXT(B188,"hh:mm:ss")</f>
      </c>
      <c r="G188" s="4" t="s">
        <v>220</v>
      </c>
      <c r="H188" s="4"/>
      <c r="I188" s="4"/>
      <c r="J188" s="18" t="s">
        <v>61</v>
      </c>
      <c r="K188" s="3">
        <f>K140*24</f>
      </c>
      <c r="L188" s="3">
        <f>L140*24</f>
      </c>
      <c r="M188" s="3">
        <f>M140*24</f>
      </c>
      <c r="N188" s="3">
        <f>N140*24</f>
      </c>
      <c r="O188" s="3">
        <f>O140*24</f>
      </c>
      <c r="P188" s="3">
        <f>P140*24</f>
      </c>
      <c r="Q188" s="3">
        <f>Q140*24</f>
      </c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29"/>
      <c r="AI188" s="1"/>
    </row>
    <row x14ac:dyDescent="0.25" r="189" customHeight="1" ht="18.75">
      <c r="A189" s="1" t="s">
        <v>622</v>
      </c>
      <c r="B189" s="14">
        <v>1.0138888888888888</v>
      </c>
      <c r="C189" s="3">
        <v>0.7231000000000001</v>
      </c>
      <c r="D189" s="4"/>
      <c r="E189" s="4"/>
      <c r="F189" s="4">
        <f>TEXT(A189,"yyyy/mm/dd") &amp; " " &amp; TEXT(B189,"hh:mm:ss")</f>
      </c>
      <c r="G189" s="4" t="s">
        <v>221</v>
      </c>
      <c r="H189" s="4"/>
      <c r="I189" s="4"/>
      <c r="J189" s="18" t="s">
        <v>62</v>
      </c>
      <c r="K189" s="3">
        <f>K141*24</f>
      </c>
      <c r="L189" s="3">
        <f>L141*24</f>
      </c>
      <c r="M189" s="3">
        <f>M141*24</f>
      </c>
      <c r="N189" s="3">
        <f>N141*24</f>
      </c>
      <c r="O189" s="3">
        <f>O141*24</f>
      </c>
      <c r="P189" s="3">
        <f>P141*24</f>
      </c>
      <c r="Q189" s="3">
        <f>Q141*24</f>
      </c>
      <c r="R189" s="3">
        <f>R141*24</f>
      </c>
      <c r="S189" s="3">
        <f>S141*24</f>
      </c>
      <c r="T189" s="3">
        <f>T141*24</f>
      </c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29"/>
      <c r="AI189" s="1"/>
    </row>
    <row x14ac:dyDescent="0.25" r="190" customHeight="1" ht="18.75">
      <c r="A190" s="1" t="s">
        <v>622</v>
      </c>
      <c r="B190" s="14">
        <v>1.6638888888888888</v>
      </c>
      <c r="C190" s="3">
        <v>1.193</v>
      </c>
      <c r="D190" s="4"/>
      <c r="E190" s="4"/>
      <c r="F190" s="4">
        <f>TEXT(A190,"yyyy/mm/dd") &amp; " " &amp; TEXT(B190,"hh:mm:ss")</f>
      </c>
      <c r="G190" s="4" t="s">
        <v>222</v>
      </c>
      <c r="H190" s="4"/>
      <c r="I190" s="4"/>
      <c r="J190" s="18" t="s">
        <v>63</v>
      </c>
      <c r="K190" s="3">
        <f>K142*24</f>
      </c>
      <c r="L190" s="3">
        <f>L142*24</f>
      </c>
      <c r="M190" s="3">
        <f>M142*24</f>
      </c>
      <c r="N190" s="3">
        <f>N142*24</f>
      </c>
      <c r="O190" s="3">
        <f>O142*24</f>
      </c>
      <c r="P190" s="3">
        <f>P142*24</f>
      </c>
      <c r="Q190" s="3">
        <f>Q142*24</f>
      </c>
      <c r="R190" s="3">
        <f>R142*24</f>
      </c>
      <c r="S190" s="3">
        <f>S142*24</f>
      </c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29"/>
      <c r="AI190" s="1"/>
    </row>
    <row x14ac:dyDescent="0.25" r="191" customHeight="1" ht="18.75">
      <c r="A191" s="1" t="s">
        <v>623</v>
      </c>
      <c r="B191" s="14">
        <v>1.2631944444444445</v>
      </c>
      <c r="C191" s="3">
        <v>0.988</v>
      </c>
      <c r="D191" s="4"/>
      <c r="E191" s="4"/>
      <c r="F191" s="4">
        <f>TEXT(A191,"yyyy/mm/dd") &amp; " " &amp; TEXT(B191,"hh:mm:ss")</f>
      </c>
      <c r="G191" s="4" t="s">
        <v>223</v>
      </c>
      <c r="H191" s="4"/>
      <c r="I191" s="4"/>
      <c r="J191" s="18" t="s">
        <v>64</v>
      </c>
      <c r="K191" s="3">
        <f>K143*24</f>
      </c>
      <c r="L191" s="3">
        <f>L143*24</f>
      </c>
      <c r="M191" s="3">
        <f>M143*24</f>
      </c>
      <c r="N191" s="3">
        <f>N143*24</f>
      </c>
      <c r="O191" s="3">
        <f>O143*24</f>
      </c>
      <c r="P191" s="3">
        <f>P143*24</f>
      </c>
      <c r="Q191" s="3">
        <f>Q143*24</f>
      </c>
      <c r="R191" s="3">
        <f>R143*24</f>
      </c>
      <c r="S191" s="3">
        <f>S143*24</f>
      </c>
      <c r="T191" s="3">
        <f>T143*24</f>
      </c>
      <c r="U191" s="3">
        <f>U143*24</f>
      </c>
      <c r="V191" s="3">
        <f>V143*24</f>
      </c>
      <c r="W191" s="3">
        <f>W143*24</f>
      </c>
      <c r="X191" s="3">
        <f>X143*24</f>
      </c>
      <c r="Y191" s="3">
        <f>Y143*24</f>
      </c>
      <c r="Z191" s="3">
        <f>Z143*24</f>
      </c>
      <c r="AA191" s="3">
        <f>AA143*24</f>
      </c>
      <c r="AB191" s="3">
        <f>AB143*24</f>
      </c>
      <c r="AC191" s="3"/>
      <c r="AD191" s="3"/>
      <c r="AE191" s="3"/>
      <c r="AF191" s="3"/>
      <c r="AG191" s="3"/>
      <c r="AH191" s="29"/>
      <c r="AI191" s="1"/>
    </row>
    <row x14ac:dyDescent="0.25" r="192" customHeight="1" ht="18.75">
      <c r="A192" s="1" t="s">
        <v>624</v>
      </c>
      <c r="B192" s="14">
        <v>1.00625</v>
      </c>
      <c r="C192" s="3">
        <v>0.5214</v>
      </c>
      <c r="D192" s="4"/>
      <c r="E192" s="4"/>
      <c r="F192" s="4">
        <f>TEXT(A192,"yyyy/mm/dd") &amp; " " &amp; TEXT(B192,"hh:mm:ss")</f>
      </c>
      <c r="G192" s="4" t="s">
        <v>224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1"/>
      <c r="AI192" s="1"/>
    </row>
    <row x14ac:dyDescent="0.25" r="193" customHeight="1" ht="18.75">
      <c r="A193" s="1" t="s">
        <v>625</v>
      </c>
      <c r="B193" s="14">
        <v>1.0090277777777779</v>
      </c>
      <c r="C193" s="3">
        <v>0.4775</v>
      </c>
      <c r="D193" s="4"/>
      <c r="E193" s="4"/>
      <c r="F193" s="4">
        <f>TEXT(A193,"yyyy/mm/dd") &amp; " " &amp; TEXT(B193,"hh:mm:ss")</f>
      </c>
      <c r="G193" s="4" t="s">
        <v>225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1"/>
      <c r="AI193" s="1"/>
    </row>
    <row x14ac:dyDescent="0.25" r="194" customHeight="1" ht="18.75">
      <c r="A194" s="21" t="s">
        <v>626</v>
      </c>
      <c r="B194" s="24">
        <v>1.0048611111111112</v>
      </c>
      <c r="C194" s="13">
        <v>0.4122</v>
      </c>
      <c r="D194" s="4"/>
      <c r="E194" s="4"/>
      <c r="F194" s="4">
        <f>TEXT(A194,"yyyy/mm/dd") &amp; " " &amp; TEXT(B194,"hh:mm:ss")</f>
      </c>
      <c r="G194" s="20" t="s">
        <v>226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23"/>
      <c r="AI194" s="1"/>
    </row>
    <row x14ac:dyDescent="0.25" r="195" customHeight="1" ht="18.75">
      <c r="A195" s="1" t="s">
        <v>627</v>
      </c>
      <c r="B195" s="14">
        <v>1.7229166666666667</v>
      </c>
      <c r="C195" s="3">
        <v>8.529</v>
      </c>
      <c r="D195" s="4"/>
      <c r="E195" s="4"/>
      <c r="F195" s="4">
        <f>TEXT(A195,"yyyy/mm/dd") &amp; " " &amp; TEXT(B195,"hh:mm:ss")</f>
      </c>
      <c r="G195" s="4" t="s">
        <v>228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1"/>
      <c r="AI195" s="1"/>
    </row>
    <row x14ac:dyDescent="0.25" r="196" customHeight="1" ht="18.75">
      <c r="A196" s="1" t="s">
        <v>627</v>
      </c>
      <c r="B196" s="14">
        <v>1.975</v>
      </c>
      <c r="C196" s="3">
        <v>21.415</v>
      </c>
      <c r="D196" s="4"/>
      <c r="E196" s="4"/>
      <c r="F196" s="4">
        <f>TEXT(A196,"yyyy/mm/dd") &amp; " " &amp; TEXT(B196,"hh:mm:ss")</f>
      </c>
      <c r="G196" s="4" t="s">
        <v>229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1"/>
      <c r="AI196" s="1"/>
    </row>
    <row x14ac:dyDescent="0.25" r="197" customHeight="1" ht="18.75">
      <c r="A197" s="1" t="s">
        <v>628</v>
      </c>
      <c r="B197" s="14">
        <v>1.0194444444444444</v>
      </c>
      <c r="C197" s="3">
        <v>9.29</v>
      </c>
      <c r="D197" s="4"/>
      <c r="E197" s="4"/>
      <c r="F197" s="4">
        <f>TEXT(A197,"yyyy/mm/dd") &amp; " " &amp; TEXT(B197,"hh:mm:ss")</f>
      </c>
      <c r="G197" s="4" t="s">
        <v>230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1"/>
      <c r="AI197" s="1"/>
    </row>
    <row x14ac:dyDescent="0.25" r="198" customHeight="1" ht="18.75">
      <c r="A198" s="1" t="s">
        <v>628</v>
      </c>
      <c r="B198" s="25">
        <v>1.7027777777777777</v>
      </c>
      <c r="C198" s="3">
        <v>6.714</v>
      </c>
      <c r="D198" s="4"/>
      <c r="E198" s="4"/>
      <c r="F198" s="4">
        <f>TEXT(A198,"yyyy/mm/dd") &amp; " " &amp; TEXT(B198,"hh:mm:ss")</f>
      </c>
      <c r="G198" s="4" t="s">
        <v>231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1"/>
      <c r="AI198" s="1"/>
    </row>
    <row x14ac:dyDescent="0.25" r="199" customHeight="1" ht="18.75">
      <c r="A199" s="1" t="s">
        <v>629</v>
      </c>
      <c r="B199" s="14">
        <v>1.023611111111111</v>
      </c>
      <c r="C199" s="3">
        <v>9.926</v>
      </c>
      <c r="D199" s="4"/>
      <c r="E199" s="4"/>
      <c r="F199" s="4">
        <f>TEXT(A199,"yyyy/mm/dd") &amp; " " &amp; TEXT(B199,"hh:mm:ss")</f>
      </c>
      <c r="G199" s="4" t="s">
        <v>232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1"/>
      <c r="AI199" s="1"/>
    </row>
    <row x14ac:dyDescent="0.25" r="200" customHeight="1" ht="18.75">
      <c r="A200" s="1" t="s">
        <v>630</v>
      </c>
      <c r="B200" s="14">
        <v>1.0020833333333334</v>
      </c>
      <c r="C200" s="3">
        <v>8.207</v>
      </c>
      <c r="D200" s="4"/>
      <c r="E200" s="4"/>
      <c r="F200" s="4">
        <f>TEXT(A200,"yyyy/mm/dd") &amp; " " &amp; TEXT(B200,"hh:mm:ss")</f>
      </c>
      <c r="G200" s="4" t="s">
        <v>233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1"/>
      <c r="AI200" s="1"/>
    </row>
    <row x14ac:dyDescent="0.25" r="201" customHeight="1" ht="18.75">
      <c r="A201" s="1" t="s">
        <v>631</v>
      </c>
      <c r="B201" s="14">
        <v>1.0118055555555556</v>
      </c>
      <c r="C201" s="3">
        <v>6.783</v>
      </c>
      <c r="D201" s="4"/>
      <c r="E201" s="4"/>
      <c r="F201" s="4">
        <f>TEXT(A201,"yyyy/mm/dd") &amp; " " &amp; TEXT(B201,"hh:mm:ss")</f>
      </c>
      <c r="G201" s="4" t="s">
        <v>234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1"/>
      <c r="AI201" s="1"/>
    </row>
    <row x14ac:dyDescent="0.25" r="202" customHeight="1" ht="18.75">
      <c r="A202" s="1" t="s">
        <v>632</v>
      </c>
      <c r="B202" s="14">
        <v>1.0097222222222222</v>
      </c>
      <c r="C202" s="3">
        <v>4.236</v>
      </c>
      <c r="D202" s="4"/>
      <c r="E202" s="4"/>
      <c r="F202" s="4">
        <f>TEXT(A202,"yyyy/mm/dd") &amp; " " &amp; TEXT(B202,"hh:mm:ss")</f>
      </c>
      <c r="G202" s="4" t="s">
        <v>235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1"/>
      <c r="AI202" s="1"/>
    </row>
    <row x14ac:dyDescent="0.25" r="203" customHeight="1" ht="18.75">
      <c r="A203" s="1" t="s">
        <v>633</v>
      </c>
      <c r="B203" s="25">
        <v>1.0006944444444446</v>
      </c>
      <c r="C203" s="3">
        <v>2.223</v>
      </c>
      <c r="D203" s="4"/>
      <c r="E203" s="4"/>
      <c r="F203" s="4">
        <f>TEXT(A203,"yyyy/mm/dd") &amp; " " &amp; TEXT(B203,"hh:mm:ss")</f>
      </c>
      <c r="G203" s="4" t="s">
        <v>236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1"/>
      <c r="AI203" s="1"/>
    </row>
    <row x14ac:dyDescent="0.25" r="204" customHeight="1" ht="18.75">
      <c r="A204" s="1" t="s">
        <v>634</v>
      </c>
      <c r="B204" s="14">
        <v>1.0006944444444446</v>
      </c>
      <c r="C204" s="3">
        <v>1.154</v>
      </c>
      <c r="D204" s="4"/>
      <c r="E204" s="4"/>
      <c r="F204" s="4">
        <f>TEXT(A204,"yyyy/mm/dd") &amp; " " &amp; TEXT(B204,"hh:mm:ss")</f>
      </c>
      <c r="G204" s="4" t="s">
        <v>237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1"/>
      <c r="AI204" s="1"/>
    </row>
    <row x14ac:dyDescent="0.25" r="205" customHeight="1" ht="18.75">
      <c r="A205" s="21" t="s">
        <v>635</v>
      </c>
      <c r="B205" s="24">
        <v>1.0041666666666667</v>
      </c>
      <c r="C205" s="13">
        <v>0.5778</v>
      </c>
      <c r="D205" s="4"/>
      <c r="E205" s="4"/>
      <c r="F205" s="4">
        <f>TEXT(A205,"yyyy/mm/dd") &amp; " " &amp; TEXT(B205,"hh:mm:ss")</f>
      </c>
      <c r="G205" s="20" t="s">
        <v>238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23"/>
      <c r="AI205" s="1"/>
    </row>
    <row x14ac:dyDescent="0.25" r="206" customHeight="1" ht="18.75">
      <c r="A206" s="1" t="s">
        <v>636</v>
      </c>
      <c r="B206" s="14">
        <v>1.7520833333333332</v>
      </c>
      <c r="C206" s="3">
        <v>3.358</v>
      </c>
      <c r="D206" s="4"/>
      <c r="E206" s="4"/>
      <c r="F206" s="4">
        <f>TEXT(A206,"yyyy/mm/dd") &amp; " " &amp; TEXT(B206,"hh:mm:ss")</f>
      </c>
      <c r="G206" s="4" t="s">
        <v>240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1"/>
      <c r="AI206" s="1"/>
    </row>
    <row x14ac:dyDescent="0.25" r="207" customHeight="1" ht="18.75">
      <c r="A207" s="1" t="s">
        <v>636</v>
      </c>
      <c r="B207" s="14">
        <v>1.963888888888889</v>
      </c>
      <c r="C207" s="3">
        <v>3.861</v>
      </c>
      <c r="D207" s="4"/>
      <c r="E207" s="4"/>
      <c r="F207" s="4">
        <f>TEXT(A207,"yyyy/mm/dd") &amp; " " &amp; TEXT(B207,"hh:mm:ss")</f>
      </c>
      <c r="G207" s="4" t="s">
        <v>241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1"/>
      <c r="AI207" s="1"/>
    </row>
    <row x14ac:dyDescent="0.25" r="208" customHeight="1" ht="18.75">
      <c r="A208" s="1" t="s">
        <v>637</v>
      </c>
      <c r="B208" s="14">
        <v>1.007638888888889</v>
      </c>
      <c r="C208" s="3">
        <v>2.665</v>
      </c>
      <c r="D208" s="4"/>
      <c r="E208" s="4"/>
      <c r="F208" s="4">
        <f>TEXT(A208,"yyyy/mm/dd") &amp; " " &amp; TEXT(B208,"hh:mm:ss")</f>
      </c>
      <c r="G208" s="4" t="s">
        <v>242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1"/>
      <c r="AI208" s="1"/>
    </row>
    <row x14ac:dyDescent="0.25" r="209" customHeight="1" ht="18.75">
      <c r="A209" s="1" t="s">
        <v>638</v>
      </c>
      <c r="B209" s="14">
        <v>1.025</v>
      </c>
      <c r="C209" s="3">
        <v>1.913</v>
      </c>
      <c r="D209" s="4"/>
      <c r="E209" s="4"/>
      <c r="F209" s="4">
        <f>TEXT(A209,"yyyy/mm/dd") &amp; " " &amp; TEXT(B209,"hh:mm:ss")</f>
      </c>
      <c r="G209" s="4" t="s">
        <v>243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1"/>
      <c r="AI209" s="1"/>
    </row>
    <row x14ac:dyDescent="0.25" r="210" customHeight="1" ht="18.75">
      <c r="A210" s="1" t="s">
        <v>639</v>
      </c>
      <c r="B210" s="14">
        <v>1.038888888888889</v>
      </c>
      <c r="C210" s="3">
        <v>1.319</v>
      </c>
      <c r="D210" s="4"/>
      <c r="E210" s="4"/>
      <c r="F210" s="4">
        <f>TEXT(A210,"yyyy/mm/dd") &amp; " " &amp; TEXT(B210,"hh:mm:ss")</f>
      </c>
      <c r="G210" s="4" t="s">
        <v>244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1"/>
      <c r="AI210" s="1"/>
    </row>
    <row x14ac:dyDescent="0.25" r="211" customHeight="1" ht="18.75">
      <c r="A211" s="1" t="s">
        <v>640</v>
      </c>
      <c r="B211" s="14">
        <v>1.0118055555555556</v>
      </c>
      <c r="C211" s="3">
        <v>0.8441000000000001</v>
      </c>
      <c r="D211" s="4"/>
      <c r="E211" s="4"/>
      <c r="F211" s="4">
        <f>TEXT(A211,"yyyy/mm/dd") &amp; " " &amp; TEXT(B211,"hh:mm:ss")</f>
      </c>
      <c r="G211" s="4" t="s">
        <v>245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1"/>
      <c r="AI211" s="1"/>
    </row>
    <row x14ac:dyDescent="0.25" r="212" customHeight="1" ht="18.75">
      <c r="A212" s="1" t="s">
        <v>641</v>
      </c>
      <c r="B212" s="14">
        <v>1.0020833333333334</v>
      </c>
      <c r="C212" s="3">
        <v>0.44739999999999996</v>
      </c>
      <c r="D212" s="4"/>
      <c r="E212" s="4"/>
      <c r="F212" s="4">
        <f>TEXT(A212,"yyyy/mm/dd") &amp; " " &amp; TEXT(B212,"hh:mm:ss")</f>
      </c>
      <c r="G212" s="4" t="s">
        <v>246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1"/>
      <c r="AI212" s="1"/>
    </row>
    <row x14ac:dyDescent="0.25" r="213" customHeight="1" ht="18.75">
      <c r="A213" s="21" t="s">
        <v>642</v>
      </c>
      <c r="B213" s="24">
        <v>1.2395833333333333</v>
      </c>
      <c r="C213" s="13">
        <v>0.258</v>
      </c>
      <c r="D213" s="4"/>
      <c r="E213" s="4"/>
      <c r="F213" s="4">
        <f>TEXT(A213,"yyyy/mm/dd") &amp; " " &amp; TEXT(B213,"hh:mm:ss")</f>
      </c>
      <c r="G213" s="20" t="s">
        <v>247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23"/>
      <c r="AI213" s="1"/>
    </row>
    <row x14ac:dyDescent="0.25" r="214" customHeight="1" ht="18.75">
      <c r="A214" s="1" t="s">
        <v>643</v>
      </c>
      <c r="B214" s="14">
        <v>1.8479166666666667</v>
      </c>
      <c r="C214" s="3">
        <v>0.273</v>
      </c>
      <c r="D214" s="4"/>
      <c r="E214" s="4"/>
      <c r="F214" s="4">
        <f>TEXT(A214,"yyyy/mm/dd") &amp; " " &amp; TEXT(B214,"hh:mm:ss")</f>
      </c>
      <c r="G214" s="4" t="s">
        <v>249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1"/>
      <c r="AI214" s="1"/>
    </row>
    <row x14ac:dyDescent="0.25" r="215" customHeight="1" ht="18.75">
      <c r="A215" s="1" t="s">
        <v>643</v>
      </c>
      <c r="B215" s="14">
        <v>1.8972222222222221</v>
      </c>
      <c r="C215" s="3">
        <v>1.03</v>
      </c>
      <c r="D215" s="4"/>
      <c r="E215" s="4"/>
      <c r="F215" s="4">
        <f>TEXT(A215,"yyyy/mm/dd") &amp; " " &amp; TEXT(B215,"hh:mm:ss")</f>
      </c>
      <c r="G215" s="4" t="s">
        <v>250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1"/>
      <c r="AI215" s="1"/>
    </row>
    <row x14ac:dyDescent="0.25" r="216" customHeight="1" ht="18.75">
      <c r="A216" s="1" t="s">
        <v>644</v>
      </c>
      <c r="B216" s="14">
        <v>1.0118055555555556</v>
      </c>
      <c r="C216" s="3">
        <v>2.49</v>
      </c>
      <c r="D216" s="4"/>
      <c r="E216" s="4"/>
      <c r="F216" s="4">
        <f>TEXT(A216,"yyyy/mm/dd") &amp; " " &amp; TEXT(B216,"hh:mm:ss")</f>
      </c>
      <c r="G216" s="4" t="s">
        <v>251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1"/>
      <c r="AI216" s="1"/>
    </row>
    <row x14ac:dyDescent="0.25" r="217" customHeight="1" ht="18.75">
      <c r="A217" s="1" t="s">
        <v>645</v>
      </c>
      <c r="B217" s="14">
        <v>1.0215277777777778</v>
      </c>
      <c r="C217" s="3">
        <v>1.09</v>
      </c>
      <c r="D217" s="4"/>
      <c r="E217" s="4"/>
      <c r="F217" s="4">
        <f>TEXT(A217,"yyyy/mm/dd") &amp; " " &amp; TEXT(B217,"hh:mm:ss")</f>
      </c>
      <c r="G217" s="4" t="s">
        <v>252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1"/>
      <c r="AI217" s="1"/>
    </row>
    <row x14ac:dyDescent="0.25" r="218" customHeight="1" ht="18.75">
      <c r="A218" s="1" t="s">
        <v>646</v>
      </c>
      <c r="B218" s="14">
        <v>1.0055555555555555</v>
      </c>
      <c r="C218" s="3">
        <v>0.995</v>
      </c>
      <c r="D218" s="4"/>
      <c r="E218" s="4"/>
      <c r="F218" s="4">
        <f>TEXT(A218,"yyyy/mm/dd") &amp; " " &amp; TEXT(B218,"hh:mm:ss")</f>
      </c>
      <c r="G218" s="4" t="s">
        <v>253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1"/>
      <c r="AI218" s="1"/>
    </row>
    <row x14ac:dyDescent="0.25" r="219" customHeight="1" ht="18.75">
      <c r="A219" s="1" t="s">
        <v>647</v>
      </c>
      <c r="B219" s="14">
        <v>1.0277777777777777</v>
      </c>
      <c r="C219" s="3">
        <v>1.22</v>
      </c>
      <c r="D219" s="4"/>
      <c r="E219" s="4"/>
      <c r="F219" s="4">
        <f>TEXT(A219,"yyyy/mm/dd") &amp; " " &amp; TEXT(B219,"hh:mm:ss")</f>
      </c>
      <c r="G219" s="4" t="s">
        <v>254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1"/>
      <c r="AI219" s="1"/>
    </row>
    <row x14ac:dyDescent="0.25" r="220" customHeight="1" ht="18.75">
      <c r="A220" s="1" t="s">
        <v>647</v>
      </c>
      <c r="B220" s="14">
        <v>1.786111111111111</v>
      </c>
      <c r="C220" s="3">
        <v>1.13</v>
      </c>
      <c r="D220" s="4"/>
      <c r="E220" s="4"/>
      <c r="F220" s="4">
        <f>TEXT(A220,"yyyy/mm/dd") &amp; " " &amp; TEXT(B220,"hh:mm:ss")</f>
      </c>
      <c r="G220" s="4" t="s">
        <v>255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1"/>
      <c r="AI220" s="1"/>
    </row>
    <row x14ac:dyDescent="0.25" r="221" customHeight="1" ht="18.75">
      <c r="A221" s="1" t="s">
        <v>648</v>
      </c>
      <c r="B221" s="14">
        <v>1.0118055555555556</v>
      </c>
      <c r="C221" s="3">
        <v>1.47</v>
      </c>
      <c r="D221" s="4"/>
      <c r="E221" s="4"/>
      <c r="F221" s="4">
        <f>TEXT(A221,"yyyy/mm/dd") &amp; " " &amp; TEXT(B221,"hh:mm:ss")</f>
      </c>
      <c r="G221" s="4" t="s">
        <v>256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1"/>
      <c r="AI221" s="1"/>
    </row>
    <row x14ac:dyDescent="0.25" r="222" customHeight="1" ht="18.75">
      <c r="A222" s="1" t="s">
        <v>649</v>
      </c>
      <c r="B222" s="14">
        <v>1.0173611111111112</v>
      </c>
      <c r="C222" s="3">
        <v>0.918</v>
      </c>
      <c r="D222" s="4"/>
      <c r="E222" s="4"/>
      <c r="F222" s="4">
        <f>TEXT(A222,"yyyy/mm/dd") &amp; " " &amp; TEXT(B222,"hh:mm:ss")</f>
      </c>
      <c r="G222" s="4" t="s">
        <v>257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1"/>
      <c r="AI222" s="1"/>
    </row>
    <row x14ac:dyDescent="0.25" r="223" customHeight="1" ht="18.75">
      <c r="A223" s="1" t="s">
        <v>650</v>
      </c>
      <c r="B223" s="14">
        <v>1.0125</v>
      </c>
      <c r="C223" s="3">
        <v>0.504</v>
      </c>
      <c r="D223" s="4"/>
      <c r="E223" s="4"/>
      <c r="F223" s="4">
        <f>TEXT(A223,"yyyy/mm/dd") &amp; " " &amp; TEXT(B223,"hh:mm:ss")</f>
      </c>
      <c r="G223" s="4" t="s">
        <v>258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1"/>
      <c r="AI223" s="1"/>
    </row>
    <row x14ac:dyDescent="0.25" r="224" customHeight="1" ht="18.75">
      <c r="A224" s="1" t="s">
        <v>651</v>
      </c>
      <c r="B224" s="14">
        <v>1.0215277777777778</v>
      </c>
      <c r="C224" s="3">
        <v>0.342</v>
      </c>
      <c r="D224" s="4"/>
      <c r="E224" s="4"/>
      <c r="F224" s="4">
        <f>TEXT(A224,"yyyy/mm/dd") &amp; " " &amp; TEXT(B224,"hh:mm:ss")</f>
      </c>
      <c r="G224" s="4" t="s">
        <v>259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1"/>
      <c r="AI224" s="1"/>
    </row>
    <row x14ac:dyDescent="0.25" r="225" customHeight="1" ht="18.75">
      <c r="A225" s="1" t="s">
        <v>652</v>
      </c>
      <c r="B225" s="14">
        <v>1.4194444444444445</v>
      </c>
      <c r="C225" s="3">
        <v>0.007</v>
      </c>
      <c r="D225" s="4"/>
      <c r="E225" s="4"/>
      <c r="F225" s="4">
        <f>TEXT(A225,"yyyy/mm/dd") &amp; " " &amp; TEXT(B225,"hh:mm:ss")</f>
      </c>
      <c r="G225" s="4" t="s">
        <v>260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1"/>
      <c r="AI225" s="1"/>
    </row>
    <row x14ac:dyDescent="0.25" r="226" customHeight="1" ht="18.75">
      <c r="A226" s="21" t="s">
        <v>652</v>
      </c>
      <c r="B226" s="24">
        <v>1.5472222222222223</v>
      </c>
      <c r="C226" s="13">
        <v>0.008</v>
      </c>
      <c r="D226" s="4"/>
      <c r="E226" s="4"/>
      <c r="F226" s="4">
        <f>TEXT(A226,"yyyy/mm/dd") &amp; " " &amp; TEXT(B226,"hh:mm:ss")</f>
      </c>
      <c r="G226" s="20" t="s">
        <v>261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23"/>
      <c r="AI226" s="1"/>
    </row>
    <row x14ac:dyDescent="0.25" r="227" customHeight="1" ht="18.75">
      <c r="A227" s="1" t="s">
        <v>653</v>
      </c>
      <c r="B227" s="14">
        <v>1.8916666666666666</v>
      </c>
      <c r="C227" s="3">
        <v>0.5236000000000001</v>
      </c>
      <c r="D227" s="4"/>
      <c r="E227" s="4"/>
      <c r="F227" s="4">
        <f>TEXT(A227,"yyyy/mm/dd") &amp; " " &amp; TEXT(B227,"hh:mm:ss")</f>
      </c>
      <c r="G227" s="4" t="s">
        <v>262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1"/>
      <c r="AI227" s="1"/>
    </row>
    <row x14ac:dyDescent="0.25" r="228" customHeight="1" ht="18.75">
      <c r="A228" s="1" t="s">
        <v>654</v>
      </c>
      <c r="B228" s="14">
        <v>1.0416666666666667</v>
      </c>
      <c r="C228" s="3">
        <v>0.8316</v>
      </c>
      <c r="D228" s="4"/>
      <c r="E228" s="4"/>
      <c r="F228" s="4">
        <f>TEXT(A228,"yyyy/mm/dd") &amp; " " &amp; TEXT(B228,"hh:mm:ss")</f>
      </c>
      <c r="G228" s="4" t="s">
        <v>263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1"/>
      <c r="AI228" s="1"/>
    </row>
    <row x14ac:dyDescent="0.25" r="229" customHeight="1" ht="18.75">
      <c r="A229" s="1" t="s">
        <v>654</v>
      </c>
      <c r="B229" s="14">
        <v>1.7368055555555557</v>
      </c>
      <c r="C229" s="3">
        <v>0.6948</v>
      </c>
      <c r="D229" s="4"/>
      <c r="E229" s="4"/>
      <c r="F229" s="4">
        <f>TEXT(A229,"yyyy/mm/dd") &amp; " " &amp; TEXT(B229,"hh:mm:ss")</f>
      </c>
      <c r="G229" s="4" t="s">
        <v>264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1"/>
      <c r="AI229" s="1"/>
    </row>
    <row x14ac:dyDescent="0.25" r="230" customHeight="1" ht="18.75">
      <c r="A230" s="1" t="s">
        <v>655</v>
      </c>
      <c r="B230" s="14">
        <v>1.2569444444444444</v>
      </c>
      <c r="C230" s="3">
        <v>0.5834</v>
      </c>
      <c r="D230" s="4"/>
      <c r="E230" s="4"/>
      <c r="F230" s="4">
        <f>TEXT(A230,"yyyy/mm/dd") &amp; " " &amp; TEXT(B230,"hh:mm:ss")</f>
      </c>
      <c r="G230" s="4" t="s">
        <v>265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1"/>
      <c r="AI230" s="1"/>
    </row>
    <row x14ac:dyDescent="0.25" r="231" customHeight="1" ht="18.75">
      <c r="A231" s="1" t="s">
        <v>656</v>
      </c>
      <c r="B231" s="14">
        <v>1.0020833333333334</v>
      </c>
      <c r="C231" s="3">
        <v>0.6237</v>
      </c>
      <c r="D231" s="4"/>
      <c r="E231" s="4"/>
      <c r="F231" s="4">
        <f>TEXT(A231,"yyyy/mm/dd") &amp; " " &amp; TEXT(B231,"hh:mm:ss")</f>
      </c>
      <c r="G231" s="4" t="s">
        <v>266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1"/>
      <c r="AI231" s="1"/>
    </row>
    <row x14ac:dyDescent="0.25" r="232" customHeight="1" ht="18.75">
      <c r="A232" s="1" t="s">
        <v>657</v>
      </c>
      <c r="B232" s="14">
        <v>1.2486111111111111</v>
      </c>
      <c r="C232" s="3">
        <v>0.4669</v>
      </c>
      <c r="D232" s="4"/>
      <c r="E232" s="4"/>
      <c r="F232" s="4">
        <f>TEXT(A232,"yyyy/mm/dd") &amp; " " &amp; TEXT(B232,"hh:mm:ss")</f>
      </c>
      <c r="G232" s="4" t="s">
        <v>267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1"/>
      <c r="AI232" s="1"/>
    </row>
    <row x14ac:dyDescent="0.25" r="233" customHeight="1" ht="18.75">
      <c r="A233" s="1" t="s">
        <v>658</v>
      </c>
      <c r="B233" s="14">
        <v>1.242361111111111</v>
      </c>
      <c r="C233" s="3">
        <v>0.2857</v>
      </c>
      <c r="D233" s="4"/>
      <c r="E233" s="4"/>
      <c r="F233" s="4">
        <f>TEXT(A233,"yyyy/mm/dd") &amp; " " &amp; TEXT(B233,"hh:mm:ss")</f>
      </c>
      <c r="G233" s="4" t="s">
        <v>268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1"/>
      <c r="AI233" s="1"/>
    </row>
    <row x14ac:dyDescent="0.25" r="234" customHeight="1" ht="18.75">
      <c r="A234" s="1" t="s">
        <v>659</v>
      </c>
      <c r="B234" s="14">
        <v>1.0027777777777778</v>
      </c>
      <c r="C234" s="3">
        <v>0.0582</v>
      </c>
      <c r="D234" s="4"/>
      <c r="E234" s="4"/>
      <c r="F234" s="4">
        <f>TEXT(A234,"yyyy/mm/dd") &amp; " " &amp; TEXT(B234,"hh:mm:ss")</f>
      </c>
      <c r="G234" s="4" t="s">
        <v>269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1"/>
      <c r="AI234" s="1"/>
    </row>
    <row x14ac:dyDescent="0.25" r="235" customHeight="1" ht="18.75">
      <c r="A235" s="1" t="s">
        <v>660</v>
      </c>
      <c r="B235" s="14">
        <v>1.0020833333333334</v>
      </c>
      <c r="C235" s="3">
        <v>0.0315</v>
      </c>
      <c r="D235" s="4"/>
      <c r="E235" s="4"/>
      <c r="F235" s="4">
        <f>TEXT(A235,"yyyy/mm/dd") &amp; " " &amp; TEXT(B235,"hh:mm:ss")</f>
      </c>
      <c r="G235" s="4" t="s">
        <v>270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1"/>
      <c r="AI235" s="1"/>
    </row>
    <row x14ac:dyDescent="0.25" r="236" customHeight="1" ht="18.75">
      <c r="A236" s="1" t="s">
        <v>660</v>
      </c>
      <c r="B236" s="14">
        <v>1.7875</v>
      </c>
      <c r="C236" s="3">
        <v>0.0314</v>
      </c>
      <c r="D236" s="4"/>
      <c r="E236" s="4"/>
      <c r="F236" s="4">
        <f>TEXT(A236,"yyyy/mm/dd") &amp; " " &amp; TEXT(B236,"hh:mm:ss")</f>
      </c>
      <c r="G236" s="4" t="s">
        <v>271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1"/>
      <c r="AI236" s="1"/>
    </row>
    <row x14ac:dyDescent="0.25" r="237" customHeight="1" ht="18.75">
      <c r="A237" s="21" t="s">
        <v>661</v>
      </c>
      <c r="B237" s="24">
        <v>1.4430555555555555</v>
      </c>
      <c r="C237" s="13">
        <v>0.0315</v>
      </c>
      <c r="D237" s="4"/>
      <c r="E237" s="4"/>
      <c r="F237" s="4">
        <f>TEXT(A237,"yyyy/mm/dd") &amp; " " &amp; TEXT(B237,"hh:mm:ss")</f>
      </c>
      <c r="G237" s="20" t="s">
        <v>272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23"/>
      <c r="AI237" s="1"/>
    </row>
    <row x14ac:dyDescent="0.25" r="238" customHeight="1" ht="18.75">
      <c r="A238" s="1" t="s">
        <v>662</v>
      </c>
      <c r="B238" s="14">
        <v>1.104861111111111</v>
      </c>
      <c r="C238" s="3">
        <v>0.596</v>
      </c>
      <c r="D238" s="4"/>
      <c r="E238" s="4"/>
      <c r="F238" s="4">
        <f>TEXT(A238,"yyyy/mm/dd") &amp; " " &amp; TEXT(B238,"hh:mm:ss")</f>
      </c>
      <c r="G238" s="4" t="s">
        <v>273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1"/>
      <c r="AI238" s="1"/>
    </row>
    <row x14ac:dyDescent="0.25" r="239" customHeight="1" ht="18.75">
      <c r="A239" s="1" t="s">
        <v>662</v>
      </c>
      <c r="B239" s="14">
        <v>1.1055555555555556</v>
      </c>
      <c r="C239" s="3">
        <v>5.22</v>
      </c>
      <c r="D239" s="4"/>
      <c r="E239" s="4"/>
      <c r="F239" s="4">
        <f>TEXT(A239,"yyyy/mm/dd") &amp; " " &amp; TEXT(B239,"hh:mm:ss")</f>
      </c>
      <c r="G239" s="4" t="s">
        <v>274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1"/>
      <c r="AI239" s="1"/>
    </row>
    <row x14ac:dyDescent="0.25" r="240" customHeight="1" ht="18.75">
      <c r="A240" s="1" t="s">
        <v>662</v>
      </c>
      <c r="B240" s="14">
        <v>1.676388888888889</v>
      </c>
      <c r="C240" s="3">
        <v>11.77</v>
      </c>
      <c r="D240" s="4"/>
      <c r="E240" s="4"/>
      <c r="F240" s="4">
        <f>TEXT(A240,"yyyy/mm/dd") &amp; " " &amp; TEXT(B240,"hh:mm:ss")</f>
      </c>
      <c r="G240" s="4" t="s">
        <v>275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1"/>
      <c r="AI240" s="1"/>
    </row>
    <row x14ac:dyDescent="0.25" r="241" customHeight="1" ht="18.75">
      <c r="A241" s="1" t="s">
        <v>663</v>
      </c>
      <c r="B241" s="14">
        <v>1.0083333333333333</v>
      </c>
      <c r="C241" s="3">
        <v>9.26</v>
      </c>
      <c r="D241" s="4"/>
      <c r="E241" s="4"/>
      <c r="F241" s="4">
        <f>TEXT(A241,"yyyy/mm/dd") &amp; " " &amp; TEXT(B241,"hh:mm:ss")</f>
      </c>
      <c r="G241" s="4" t="s">
        <v>276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1"/>
      <c r="AI241" s="1"/>
    </row>
    <row x14ac:dyDescent="0.25" r="242" customHeight="1" ht="18.75">
      <c r="A242" s="1" t="s">
        <v>664</v>
      </c>
      <c r="B242" s="14">
        <v>1.0138888888888888</v>
      </c>
      <c r="C242" s="3">
        <v>7.76</v>
      </c>
      <c r="D242" s="4"/>
      <c r="E242" s="4"/>
      <c r="F242" s="4">
        <f>TEXT(A242,"yyyy/mm/dd") &amp; " " &amp; TEXT(B242,"hh:mm:ss")</f>
      </c>
      <c r="G242" s="4" t="s">
        <v>277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1"/>
      <c r="AI242" s="1"/>
    </row>
    <row x14ac:dyDescent="0.25" r="243" customHeight="1" ht="18.75">
      <c r="A243" s="1" t="s">
        <v>665</v>
      </c>
      <c r="B243" s="14">
        <v>1.0034722222222223</v>
      </c>
      <c r="C243" s="3">
        <v>6.64</v>
      </c>
      <c r="D243" s="4"/>
      <c r="E243" s="4"/>
      <c r="F243" s="4">
        <f>TEXT(A243,"yyyy/mm/dd") &amp; " " &amp; TEXT(B243,"hh:mm:ss")</f>
      </c>
      <c r="G243" s="4" t="s">
        <v>278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1"/>
      <c r="AI243" s="1"/>
    </row>
    <row x14ac:dyDescent="0.25" r="244" customHeight="1" ht="18.75">
      <c r="A244" s="1" t="s">
        <v>666</v>
      </c>
      <c r="B244" s="14">
        <v>1.0013888888888889</v>
      </c>
      <c r="C244" s="3">
        <v>4.02</v>
      </c>
      <c r="D244" s="4"/>
      <c r="E244" s="4"/>
      <c r="F244" s="4">
        <f>TEXT(A244,"yyyy/mm/dd") &amp; " " &amp; TEXT(B244,"hh:mm:ss")</f>
      </c>
      <c r="G244" s="4" t="s">
        <v>279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1"/>
      <c r="AI244" s="1"/>
    </row>
    <row x14ac:dyDescent="0.25" r="245" customHeight="1" ht="18.75">
      <c r="A245" s="1" t="s">
        <v>667</v>
      </c>
      <c r="B245" s="14">
        <v>1.0041666666666667</v>
      </c>
      <c r="C245" s="3">
        <v>1.16</v>
      </c>
      <c r="D245" s="4"/>
      <c r="E245" s="4"/>
      <c r="F245" s="4">
        <f>TEXT(A245,"yyyy/mm/dd") &amp; " " &amp; TEXT(B245,"hh:mm:ss")</f>
      </c>
      <c r="G245" s="4" t="s">
        <v>280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1"/>
      <c r="AI245" s="1"/>
    </row>
    <row x14ac:dyDescent="0.25" r="246" customHeight="1" ht="18.75">
      <c r="A246" s="1" t="s">
        <v>667</v>
      </c>
      <c r="B246" s="14">
        <v>1.8590277777777777</v>
      </c>
      <c r="C246" s="3">
        <v>0.569</v>
      </c>
      <c r="D246" s="4"/>
      <c r="E246" s="4"/>
      <c r="F246" s="4">
        <f>TEXT(A246,"yyyy/mm/dd") &amp; " " &amp; TEXT(B246,"hh:mm:ss")</f>
      </c>
      <c r="G246" s="4" t="s">
        <v>281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1"/>
      <c r="AI246" s="1"/>
    </row>
    <row x14ac:dyDescent="0.25" r="247" customHeight="1" ht="18.75">
      <c r="A247" s="1" t="s">
        <v>668</v>
      </c>
      <c r="B247" s="14">
        <v>1.020138888888889</v>
      </c>
      <c r="C247" s="3">
        <v>0.325</v>
      </c>
      <c r="D247" s="4"/>
      <c r="E247" s="4"/>
      <c r="F247" s="4">
        <f>TEXT(A247,"yyyy/mm/dd") &amp; " " &amp; TEXT(B247,"hh:mm:ss")</f>
      </c>
      <c r="G247" s="4" t="s">
        <v>282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1"/>
      <c r="AI247" s="1"/>
    </row>
    <row x14ac:dyDescent="0.25" r="248" customHeight="1" ht="18.75">
      <c r="A248" s="21" t="s">
        <v>669</v>
      </c>
      <c r="B248" s="24">
        <v>1.3694444444444445</v>
      </c>
      <c r="C248" s="13">
        <v>0.143</v>
      </c>
      <c r="D248" s="4"/>
      <c r="E248" s="4"/>
      <c r="F248" s="4">
        <f>TEXT(A248,"yyyy/mm/dd") &amp; " " &amp; TEXT(B248,"hh:mm:ss")</f>
      </c>
      <c r="G248" s="20" t="s">
        <v>283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23"/>
      <c r="AI248" s="1"/>
    </row>
    <row x14ac:dyDescent="0.25" r="249" customHeight="1" ht="18.75">
      <c r="A249" s="1" t="s">
        <v>670</v>
      </c>
      <c r="B249" s="14">
        <v>1.5979166666666667</v>
      </c>
      <c r="C249" s="3">
        <v>7.662</v>
      </c>
      <c r="D249" s="4"/>
      <c r="E249" s="4"/>
      <c r="F249" s="4">
        <f>TEXT(A249,"yyyy/mm/dd") &amp; " " &amp; TEXT(B249,"hh:mm:ss")</f>
      </c>
      <c r="G249" s="4" t="s">
        <v>285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1"/>
      <c r="AI249" s="1"/>
    </row>
    <row x14ac:dyDescent="0.25" r="250" customHeight="1" ht="18.75">
      <c r="A250" s="1" t="s">
        <v>670</v>
      </c>
      <c r="B250" s="14">
        <v>1.8118055555555554</v>
      </c>
      <c r="C250" s="3">
        <v>11.834</v>
      </c>
      <c r="D250" s="4"/>
      <c r="E250" s="4"/>
      <c r="F250" s="4">
        <f>TEXT(A250,"yyyy/mm/dd") &amp; " " &amp; TEXT(B250,"hh:mm:ss")</f>
      </c>
      <c r="G250" s="4" t="s">
        <v>286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1"/>
      <c r="AI250" s="1"/>
    </row>
    <row x14ac:dyDescent="0.25" r="251" customHeight="1" ht="18.75">
      <c r="A251" s="1" t="s">
        <v>671</v>
      </c>
      <c r="B251" s="14">
        <v>1.0125</v>
      </c>
      <c r="C251" s="3">
        <v>5.907</v>
      </c>
      <c r="D251" s="4"/>
      <c r="E251" s="4"/>
      <c r="F251" s="4">
        <f>TEXT(A251,"yyyy/mm/dd") &amp; " " &amp; TEXT(B251,"hh:mm:ss")</f>
      </c>
      <c r="G251" s="4" t="s">
        <v>287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1"/>
      <c r="AI251" s="1"/>
    </row>
    <row x14ac:dyDescent="0.25" r="252" customHeight="1" ht="18.75">
      <c r="A252" s="1" t="s">
        <v>672</v>
      </c>
      <c r="B252" s="14">
        <v>1.042361111111111</v>
      </c>
      <c r="C252" s="3">
        <v>3.801</v>
      </c>
      <c r="D252" s="4"/>
      <c r="E252" s="4"/>
      <c r="F252" s="4">
        <f>TEXT(A252,"yyyy/mm/dd") &amp; " " &amp; TEXT(B252,"hh:mm:ss")</f>
      </c>
      <c r="G252" s="4" t="s">
        <v>288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1"/>
      <c r="AI252" s="1"/>
    </row>
    <row x14ac:dyDescent="0.25" r="253" customHeight="1" ht="18.75">
      <c r="A253" s="1" t="s">
        <v>673</v>
      </c>
      <c r="B253" s="14">
        <v>1.0145833333333334</v>
      </c>
      <c r="C253" s="3">
        <v>3.09</v>
      </c>
      <c r="D253" s="4"/>
      <c r="E253" s="4"/>
      <c r="F253" s="4">
        <f>TEXT(A253,"yyyy/mm/dd") &amp; " " &amp; TEXT(B253,"hh:mm:ss")</f>
      </c>
      <c r="G253" s="4" t="s">
        <v>289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1"/>
      <c r="AI253" s="1"/>
    </row>
    <row x14ac:dyDescent="0.25" r="254" customHeight="1" ht="18.75">
      <c r="A254" s="1" t="s">
        <v>674</v>
      </c>
      <c r="B254" s="14">
        <v>1.2333333333333334</v>
      </c>
      <c r="C254" s="3">
        <v>2.735</v>
      </c>
      <c r="D254" s="4"/>
      <c r="E254" s="4"/>
      <c r="F254" s="4">
        <f>TEXT(A254,"yyyy/mm/dd") &amp; " " &amp; TEXT(B254,"hh:mm:ss")</f>
      </c>
      <c r="G254" s="4" t="s">
        <v>290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1"/>
      <c r="AI254" s="1"/>
    </row>
    <row x14ac:dyDescent="0.25" r="255" customHeight="1" ht="18.75">
      <c r="A255" s="1" t="s">
        <v>675</v>
      </c>
      <c r="B255" s="14">
        <v>1.0013888888888889</v>
      </c>
      <c r="C255" s="3">
        <v>2.105</v>
      </c>
      <c r="D255" s="4"/>
      <c r="E255" s="4"/>
      <c r="F255" s="4">
        <f>TEXT(A255,"yyyy/mm/dd") &amp; " " &amp; TEXT(B255,"hh:mm:ss")</f>
      </c>
      <c r="G255" s="4" t="s">
        <v>291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1"/>
      <c r="AI255" s="1"/>
    </row>
    <row x14ac:dyDescent="0.25" r="256" customHeight="1" ht="18.75">
      <c r="A256" s="1" t="s">
        <v>676</v>
      </c>
      <c r="B256" s="14">
        <v>1.0020833333333334</v>
      </c>
      <c r="C256" s="3">
        <v>1.503</v>
      </c>
      <c r="D256" s="4"/>
      <c r="E256" s="4"/>
      <c r="F256" s="4">
        <f>TEXT(A256,"yyyy/mm/dd") &amp; " " &amp; TEXT(B256,"hh:mm:ss")</f>
      </c>
      <c r="G256" s="4" t="s">
        <v>292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1"/>
      <c r="AI256" s="1"/>
    </row>
    <row x14ac:dyDescent="0.25" r="257" customHeight="1" ht="18.75">
      <c r="A257" s="21" t="s">
        <v>677</v>
      </c>
      <c r="B257" s="24">
        <v>1.0013888888888889</v>
      </c>
      <c r="C257" s="13">
        <v>1.08</v>
      </c>
      <c r="D257" s="4"/>
      <c r="E257" s="4"/>
      <c r="F257" s="4">
        <f>TEXT(A257,"yyyy/mm/dd") &amp; " " &amp; TEXT(B257,"hh:mm:ss")</f>
      </c>
      <c r="G257" s="20" t="s">
        <v>293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23"/>
      <c r="AI257" s="1"/>
    </row>
    <row x14ac:dyDescent="0.25" r="258" customHeight="1" ht="18.75">
      <c r="A258" s="1" t="s">
        <v>678</v>
      </c>
      <c r="B258" s="14">
        <v>1.7944444444444443</v>
      </c>
      <c r="C258" s="3">
        <v>5.049</v>
      </c>
      <c r="D258" s="4"/>
      <c r="E258" s="4"/>
      <c r="F258" s="4">
        <f>TEXT(A258,"yyyy/mm/dd") &amp; " " &amp; TEXT(B258,"hh:mm:ss")</f>
      </c>
      <c r="G258" s="4" t="s">
        <v>295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1"/>
      <c r="AI258" s="1"/>
    </row>
    <row x14ac:dyDescent="0.25" r="259" customHeight="1" ht="18.75">
      <c r="A259" s="1" t="s">
        <v>678</v>
      </c>
      <c r="B259" s="14">
        <v>1.9868055555555557</v>
      </c>
      <c r="C259" s="3">
        <v>18.513</v>
      </c>
      <c r="D259" s="4"/>
      <c r="E259" s="4"/>
      <c r="F259" s="4">
        <f>TEXT(A259,"yyyy/mm/dd") &amp; " " &amp; TEXT(B259,"hh:mm:ss")</f>
      </c>
      <c r="G259" s="4" t="s">
        <v>296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1"/>
      <c r="AI259" s="1"/>
    </row>
    <row x14ac:dyDescent="0.25" r="260" customHeight="1" ht="18.75">
      <c r="A260" s="1" t="s">
        <v>679</v>
      </c>
      <c r="B260" s="14">
        <v>1.0090277777777779</v>
      </c>
      <c r="C260" s="3">
        <v>13.889</v>
      </c>
      <c r="D260" s="4"/>
      <c r="E260" s="4"/>
      <c r="F260" s="4">
        <f>TEXT(A260,"yyyy/mm/dd") &amp; " " &amp; TEXT(B260,"hh:mm:ss")</f>
      </c>
      <c r="G260" s="4" t="s">
        <v>297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1"/>
      <c r="AI260" s="1"/>
    </row>
    <row x14ac:dyDescent="0.25" r="261" customHeight="1" ht="18.75">
      <c r="A261" s="1" t="s">
        <v>680</v>
      </c>
      <c r="B261" s="14">
        <v>1.0166666666666666</v>
      </c>
      <c r="C261" s="3">
        <v>5.849</v>
      </c>
      <c r="D261" s="4"/>
      <c r="E261" s="4"/>
      <c r="F261" s="4">
        <f>TEXT(A261,"yyyy/mm/dd") &amp; " " &amp; TEXT(B261,"hh:mm:ss")</f>
      </c>
      <c r="G261" s="4" t="s">
        <v>298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1"/>
      <c r="AI261" s="1"/>
    </row>
    <row x14ac:dyDescent="0.25" r="262" customHeight="1" ht="18.75">
      <c r="A262" s="1" t="s">
        <v>681</v>
      </c>
      <c r="B262" s="14">
        <v>1.0013888888888889</v>
      </c>
      <c r="C262" s="3">
        <v>7.09</v>
      </c>
      <c r="D262" s="4"/>
      <c r="E262" s="4"/>
      <c r="F262" s="4">
        <f>TEXT(A262,"yyyy/mm/dd") &amp; " " &amp; TEXT(B262,"hh:mm:ss")</f>
      </c>
      <c r="G262" s="4" t="s">
        <v>299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1"/>
      <c r="AI262" s="1"/>
    </row>
    <row x14ac:dyDescent="0.25" r="263" customHeight="1" ht="18.75">
      <c r="A263" s="1" t="s">
        <v>682</v>
      </c>
      <c r="B263" s="14">
        <v>1.0069444444444444</v>
      </c>
      <c r="C263" s="3">
        <v>7.083</v>
      </c>
      <c r="D263" s="4"/>
      <c r="E263" s="4"/>
      <c r="F263" s="4">
        <f>TEXT(A263,"yyyy/mm/dd") &amp; " " &amp; TEXT(B263,"hh:mm:ss")</f>
      </c>
      <c r="G263" s="4" t="s">
        <v>300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1"/>
      <c r="AI263" s="1"/>
    </row>
    <row x14ac:dyDescent="0.25" r="264" customHeight="1" ht="18.75">
      <c r="A264" s="1" t="s">
        <v>683</v>
      </c>
      <c r="B264" s="14">
        <v>1.0048611111111112</v>
      </c>
      <c r="C264" s="3">
        <v>4.766</v>
      </c>
      <c r="D264" s="4"/>
      <c r="E264" s="4"/>
      <c r="F264" s="4">
        <f>TEXT(A264,"yyyy/mm/dd") &amp; " " &amp; TEXT(B264,"hh:mm:ss")</f>
      </c>
      <c r="G264" s="4" t="s">
        <v>301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1"/>
      <c r="AI264" s="1"/>
    </row>
    <row x14ac:dyDescent="0.25" r="265" customHeight="1" ht="18.75">
      <c r="A265" s="1" t="s">
        <v>684</v>
      </c>
      <c r="B265" s="14">
        <v>1.2479166666666668</v>
      </c>
      <c r="C265" s="3">
        <v>2.143</v>
      </c>
      <c r="D265" s="4"/>
      <c r="E265" s="4"/>
      <c r="F265" s="4">
        <f>TEXT(A265,"yyyy/mm/dd") &amp; " " &amp; TEXT(B265,"hh:mm:ss")</f>
      </c>
      <c r="G265" s="4" t="s">
        <v>302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1"/>
      <c r="AI265" s="1"/>
    </row>
    <row x14ac:dyDescent="0.25" r="266" customHeight="1" ht="18.75">
      <c r="A266" s="1" t="s">
        <v>685</v>
      </c>
      <c r="B266" s="14">
        <v>1.0020833333333334</v>
      </c>
      <c r="C266" s="3">
        <v>1.026</v>
      </c>
      <c r="D266" s="4"/>
      <c r="E266" s="4"/>
      <c r="F266" s="4">
        <f>TEXT(A266,"yyyy/mm/dd") &amp; " " &amp; TEXT(B266,"hh:mm:ss")</f>
      </c>
      <c r="G266" s="4" t="s">
        <v>303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1"/>
      <c r="AI266" s="1"/>
    </row>
    <row x14ac:dyDescent="0.25" r="267" customHeight="1" ht="18.75">
      <c r="A267" s="1" t="s">
        <v>686</v>
      </c>
      <c r="B267" s="14">
        <v>1.0027777777777778</v>
      </c>
      <c r="C267" s="3">
        <v>0.5024</v>
      </c>
      <c r="D267" s="4"/>
      <c r="E267" s="4"/>
      <c r="F267" s="4">
        <f>TEXT(A267,"yyyy/mm/dd") &amp; " " &amp; TEXT(B267,"hh:mm:ss")</f>
      </c>
      <c r="G267" s="4" t="s">
        <v>304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1"/>
      <c r="AI267" s="1"/>
    </row>
    <row x14ac:dyDescent="0.25" r="268" customHeight="1" ht="18.75">
      <c r="A268" s="1" t="s">
        <v>686</v>
      </c>
      <c r="B268" s="14">
        <v>1.76875</v>
      </c>
      <c r="C268" s="3">
        <v>0.4487</v>
      </c>
      <c r="D268" s="4"/>
      <c r="E268" s="4"/>
      <c r="F268" s="4">
        <f>TEXT(A268,"yyyy/mm/dd") &amp; " " &amp; TEXT(B268,"hh:mm:ss")</f>
      </c>
      <c r="G268" s="4" t="s">
        <v>305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1"/>
      <c r="AI268" s="1"/>
    </row>
    <row x14ac:dyDescent="0.25" r="269" customHeight="1" ht="18.75">
      <c r="A269" s="21" t="s">
        <v>687</v>
      </c>
      <c r="B269" s="24">
        <v>1.0083333333333333</v>
      </c>
      <c r="C269" s="13">
        <v>0.3185</v>
      </c>
      <c r="D269" s="4"/>
      <c r="E269" s="4"/>
      <c r="F269" s="4">
        <f>TEXT(A269,"yyyy/mm/dd") &amp; " " &amp; TEXT(B269,"hh:mm:ss")</f>
      </c>
      <c r="G269" s="20" t="s">
        <v>306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23"/>
      <c r="AI269" s="1"/>
    </row>
    <row x14ac:dyDescent="0.25" r="270" customHeight="1" ht="18.75">
      <c r="A270" s="1" t="s">
        <v>688</v>
      </c>
      <c r="B270" s="14">
        <v>1.9125</v>
      </c>
      <c r="C270" s="3">
        <v>0.049</v>
      </c>
      <c r="D270" s="4"/>
      <c r="E270" s="4"/>
      <c r="F270" s="4">
        <f>TEXT(A270,"yyyy/mm/dd") &amp; " " &amp; TEXT(B270,"hh:mm:ss")</f>
      </c>
      <c r="G270" s="4" t="s">
        <v>308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1"/>
      <c r="AI270" s="1"/>
    </row>
    <row x14ac:dyDescent="0.25" r="271" customHeight="1" ht="18.75">
      <c r="A271" s="1" t="s">
        <v>689</v>
      </c>
      <c r="B271" s="14">
        <v>1.0208333333333333</v>
      </c>
      <c r="C271" s="3">
        <v>4.646</v>
      </c>
      <c r="D271" s="4"/>
      <c r="E271" s="4"/>
      <c r="F271" s="4">
        <f>TEXT(A271,"yyyy/mm/dd") &amp; " " &amp; TEXT(B271,"hh:mm:ss")</f>
      </c>
      <c r="G271" s="4" t="s">
        <v>309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1"/>
      <c r="AI271" s="1"/>
    </row>
    <row x14ac:dyDescent="0.25" r="272" customHeight="1" ht="18.75">
      <c r="A272" s="1" t="s">
        <v>689</v>
      </c>
      <c r="B272" s="14">
        <v>1.7381944444444444</v>
      </c>
      <c r="C272" s="3">
        <v>3.866</v>
      </c>
      <c r="D272" s="4"/>
      <c r="E272" s="4"/>
      <c r="F272" s="4">
        <f>TEXT(A272,"yyyy/mm/dd") &amp; " " &amp; TEXT(B272,"hh:mm:ss")</f>
      </c>
      <c r="G272" s="4" t="s">
        <v>310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1"/>
      <c r="AI272" s="1"/>
    </row>
    <row x14ac:dyDescent="0.25" r="273" customHeight="1" ht="18.75">
      <c r="A273" s="1" t="s">
        <v>690</v>
      </c>
      <c r="B273" s="14">
        <v>1.011111111111111</v>
      </c>
      <c r="C273" s="3">
        <v>3.745</v>
      </c>
      <c r="D273" s="4"/>
      <c r="E273" s="4"/>
      <c r="F273" s="4">
        <f>TEXT(A273,"yyyy/mm/dd") &amp; " " &amp; TEXT(B273,"hh:mm:ss")</f>
      </c>
      <c r="G273" s="4" t="s">
        <v>311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1"/>
      <c r="AI273" s="1"/>
    </row>
    <row x14ac:dyDescent="0.25" r="274" customHeight="1" ht="18.75">
      <c r="A274" s="1" t="s">
        <v>691</v>
      </c>
      <c r="B274" s="14">
        <v>1.025</v>
      </c>
      <c r="C274" s="3">
        <v>4.24</v>
      </c>
      <c r="D274" s="4"/>
      <c r="E274" s="4"/>
      <c r="F274" s="4">
        <f>TEXT(A274,"yyyy/mm/dd") &amp; " " &amp; TEXT(B274,"hh:mm:ss")</f>
      </c>
      <c r="G274" s="4" t="s">
        <v>312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1"/>
      <c r="AI274" s="1"/>
    </row>
    <row x14ac:dyDescent="0.25" r="275" customHeight="1" ht="18.75">
      <c r="A275" s="1" t="s">
        <v>692</v>
      </c>
      <c r="B275" s="14">
        <v>1.0222222222222221</v>
      </c>
      <c r="C275" s="3">
        <v>3.958</v>
      </c>
      <c r="D275" s="4"/>
      <c r="E275" s="4"/>
      <c r="F275" s="4">
        <f>TEXT(A275,"yyyy/mm/dd") &amp; " " &amp; TEXT(B275,"hh:mm:ss")</f>
      </c>
      <c r="G275" s="4" t="s">
        <v>313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1"/>
      <c r="AI275" s="1"/>
    </row>
    <row x14ac:dyDescent="0.25" r="276" customHeight="1" ht="18.75">
      <c r="A276" s="1" t="s">
        <v>693</v>
      </c>
      <c r="B276" s="14">
        <v>1.0159722222222223</v>
      </c>
      <c r="C276" s="3">
        <v>1.337</v>
      </c>
      <c r="D276" s="4"/>
      <c r="E276" s="4"/>
      <c r="F276" s="4">
        <f>TEXT(A276,"yyyy/mm/dd") &amp; " " &amp; TEXT(B276,"hh:mm:ss")</f>
      </c>
      <c r="G276" s="4" t="s">
        <v>314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1"/>
      <c r="AI276" s="1"/>
    </row>
    <row x14ac:dyDescent="0.25" r="277" customHeight="1" ht="18.75">
      <c r="A277" s="1" t="s">
        <v>693</v>
      </c>
      <c r="B277" s="14">
        <v>1.7597222222222222</v>
      </c>
      <c r="C277" s="3">
        <v>0.7627999999999999</v>
      </c>
      <c r="D277" s="4"/>
      <c r="E277" s="4"/>
      <c r="F277" s="4">
        <f>TEXT(A277,"yyyy/mm/dd") &amp; " " &amp; TEXT(B277,"hh:mm:ss")</f>
      </c>
      <c r="G277" s="4" t="s">
        <v>315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1"/>
      <c r="AI277" s="1"/>
    </row>
    <row x14ac:dyDescent="0.25" r="278" customHeight="1" ht="18.75">
      <c r="A278" s="1" t="s">
        <v>694</v>
      </c>
      <c r="B278" s="14">
        <v>1.020138888888889</v>
      </c>
      <c r="C278" s="3">
        <v>0.5067</v>
      </c>
      <c r="D278" s="4"/>
      <c r="E278" s="4"/>
      <c r="F278" s="4">
        <f>TEXT(A278,"yyyy/mm/dd") &amp; " " &amp; TEXT(B278,"hh:mm:ss")</f>
      </c>
      <c r="G278" s="4" t="s">
        <v>316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1"/>
      <c r="AI278" s="1"/>
    </row>
    <row x14ac:dyDescent="0.25" r="279" customHeight="1" ht="18.75">
      <c r="A279" s="21" t="s">
        <v>695</v>
      </c>
      <c r="B279" s="24">
        <v>1.0041666666666667</v>
      </c>
      <c r="C279" s="13">
        <v>0.30410000000000004</v>
      </c>
      <c r="D279" s="4"/>
      <c r="E279" s="4"/>
      <c r="F279" s="4">
        <f>TEXT(A279,"yyyy/mm/dd") &amp; " " &amp; TEXT(B279,"hh:mm:ss")</f>
      </c>
      <c r="G279" s="20" t="s">
        <v>317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23"/>
      <c r="AI279" s="1"/>
    </row>
    <row x14ac:dyDescent="0.25" r="280" customHeight="1" ht="18.75">
      <c r="A280" s="1" t="s">
        <v>696</v>
      </c>
      <c r="B280" s="14">
        <v>1.35625</v>
      </c>
      <c r="C280" s="3">
        <v>0.1113</v>
      </c>
      <c r="D280" s="4"/>
      <c r="E280" s="4"/>
      <c r="F280" s="4">
        <f>TEXT(A280,"yyyy/mm/dd") &amp; " " &amp; TEXT(B280,"hh:mm:ss")</f>
      </c>
      <c r="G280" s="4" t="s">
        <v>319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1"/>
      <c r="AI280" s="1"/>
    </row>
    <row x14ac:dyDescent="0.25" r="281" customHeight="1" ht="18.75">
      <c r="A281" s="1" t="s">
        <v>696</v>
      </c>
      <c r="B281" s="14">
        <v>1.5909722222222222</v>
      </c>
      <c r="C281" s="3">
        <v>0.38889999999999997</v>
      </c>
      <c r="D281" s="4"/>
      <c r="E281" s="4"/>
      <c r="F281" s="4">
        <f>TEXT(A281,"yyyy/mm/dd") &amp; " " &amp; TEXT(B281,"hh:mm:ss")</f>
      </c>
      <c r="G281" s="4" t="s">
        <v>320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1"/>
      <c r="AI281" s="1"/>
    </row>
    <row x14ac:dyDescent="0.25" r="282" customHeight="1" ht="18.75">
      <c r="A282" s="1" t="s">
        <v>697</v>
      </c>
      <c r="B282" s="14">
        <v>1.0166666666666666</v>
      </c>
      <c r="C282" s="3">
        <v>0.5794</v>
      </c>
      <c r="D282" s="4"/>
      <c r="E282" s="4"/>
      <c r="F282" s="4">
        <f>TEXT(A282,"yyyy/mm/dd") &amp; " " &amp; TEXT(B282,"hh:mm:ss")</f>
      </c>
      <c r="G282" s="4" t="s">
        <v>321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1"/>
      <c r="AI282" s="1"/>
    </row>
    <row x14ac:dyDescent="0.25" r="283" customHeight="1" ht="18.75">
      <c r="A283" s="1" t="s">
        <v>698</v>
      </c>
      <c r="B283" s="14">
        <v>1.0166666666666666</v>
      </c>
      <c r="C283" s="3">
        <v>0.5239</v>
      </c>
      <c r="D283" s="4"/>
      <c r="E283" s="4"/>
      <c r="F283" s="4">
        <f>TEXT(A283,"yyyy/mm/dd") &amp; " " &amp; TEXT(B283,"hh:mm:ss")</f>
      </c>
      <c r="G283" s="4" t="s">
        <v>322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1"/>
      <c r="AI283" s="1"/>
    </row>
    <row x14ac:dyDescent="0.25" r="284" customHeight="1" ht="18.75">
      <c r="A284" s="1" t="s">
        <v>699</v>
      </c>
      <c r="B284" s="14">
        <v>1.0090277777777779</v>
      </c>
      <c r="C284" s="3">
        <v>0.5187</v>
      </c>
      <c r="D284" s="4"/>
      <c r="E284" s="4"/>
      <c r="F284" s="4">
        <f>TEXT(A284,"yyyy/mm/dd") &amp; " " &amp; TEXT(B284,"hh:mm:ss")</f>
      </c>
      <c r="G284" s="4" t="s">
        <v>323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1"/>
      <c r="AI284" s="1"/>
    </row>
    <row x14ac:dyDescent="0.25" r="285" customHeight="1" ht="18.75">
      <c r="A285" s="1" t="s">
        <v>700</v>
      </c>
      <c r="B285" s="14">
        <v>1.0118055555555556</v>
      </c>
      <c r="C285" s="3">
        <v>0.3752</v>
      </c>
      <c r="D285" s="4"/>
      <c r="E285" s="4"/>
      <c r="F285" s="4">
        <f>TEXT(A285,"yyyy/mm/dd") &amp; " " &amp; TEXT(B285,"hh:mm:ss")</f>
      </c>
      <c r="G285" s="4" t="s">
        <v>324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1"/>
      <c r="AI285" s="1"/>
    </row>
    <row x14ac:dyDescent="0.25" r="286" customHeight="1" ht="18.75">
      <c r="A286" s="1" t="s">
        <v>701</v>
      </c>
      <c r="B286" s="14">
        <v>1.2416666666666667</v>
      </c>
      <c r="C286" s="3">
        <v>0.19490000000000002</v>
      </c>
      <c r="D286" s="4"/>
      <c r="E286" s="4"/>
      <c r="F286" s="4">
        <f>TEXT(A286,"yyyy/mm/dd") &amp; " " &amp; TEXT(B286,"hh:mm:ss")</f>
      </c>
      <c r="G286" s="4" t="s">
        <v>325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1"/>
      <c r="AI286" s="1"/>
    </row>
    <row x14ac:dyDescent="0.25" r="287" customHeight="1" ht="18.75">
      <c r="A287" s="1" t="s">
        <v>702</v>
      </c>
      <c r="B287" s="14">
        <v>1.0013888888888889</v>
      </c>
      <c r="C287" s="3">
        <v>0.0878</v>
      </c>
      <c r="D287" s="4"/>
      <c r="E287" s="4"/>
      <c r="F287" s="4">
        <f>TEXT(A287,"yyyy/mm/dd") &amp; " " &amp; TEXT(B287,"hh:mm:ss")</f>
      </c>
      <c r="G287" s="4" t="s">
        <v>326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1"/>
      <c r="AI287" s="1"/>
    </row>
    <row x14ac:dyDescent="0.25" r="288" customHeight="1" ht="18.75">
      <c r="A288" s="1" t="s">
        <v>703</v>
      </c>
      <c r="B288" s="14">
        <v>1.0020833333333334</v>
      </c>
      <c r="C288" s="3">
        <v>0.0405</v>
      </c>
      <c r="D288" s="4"/>
      <c r="E288" s="4"/>
      <c r="F288" s="4">
        <f>TEXT(A288,"yyyy/mm/dd") &amp; " " &amp; TEXT(B288,"hh:mm:ss")</f>
      </c>
      <c r="G288" s="4" t="s">
        <v>327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1"/>
      <c r="AI288" s="1"/>
    </row>
    <row x14ac:dyDescent="0.25" r="289" customHeight="1" ht="18.75">
      <c r="A289" s="1" t="s">
        <v>704</v>
      </c>
      <c r="B289" s="14">
        <v>1.2534722222222223</v>
      </c>
      <c r="C289" s="3">
        <v>0.0205</v>
      </c>
      <c r="D289" s="4"/>
      <c r="E289" s="4"/>
      <c r="F289" s="4">
        <f>TEXT(A289,"yyyy/mm/dd") &amp; " " &amp; TEXT(B289,"hh:mm:ss")</f>
      </c>
      <c r="G289" s="4" t="s">
        <v>328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1"/>
      <c r="AI289" s="1"/>
    </row>
    <row x14ac:dyDescent="0.25" r="290" customHeight="1" ht="18.75">
      <c r="A290" s="1" t="s">
        <v>705</v>
      </c>
      <c r="B290" s="14">
        <v>1.2375</v>
      </c>
      <c r="C290" s="3">
        <v>0.0136</v>
      </c>
      <c r="D290" s="4"/>
      <c r="E290" s="4"/>
      <c r="F290" s="4">
        <f>TEXT(A290,"yyyy/mm/dd") &amp; " " &amp; TEXT(B290,"hh:mm:ss")</f>
      </c>
      <c r="G290" s="4" t="s">
        <v>329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1"/>
      <c r="AI290" s="1"/>
    </row>
    <row x14ac:dyDescent="0.25" r="291" customHeight="1" ht="18.75">
      <c r="A291" s="1" t="s">
        <v>706</v>
      </c>
      <c r="B291" s="14">
        <v>1.2430555555555556</v>
      </c>
      <c r="C291" s="3">
        <v>0.0081</v>
      </c>
      <c r="D291" s="4"/>
      <c r="E291" s="4"/>
      <c r="F291" s="4">
        <f>TEXT(A291,"yyyy/mm/dd") &amp; " " &amp; TEXT(B291,"hh:mm:ss")</f>
      </c>
      <c r="G291" s="4" t="s">
        <v>330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1"/>
      <c r="AI291" s="1"/>
    </row>
    <row x14ac:dyDescent="0.25" r="292" customHeight="1" ht="18.75">
      <c r="A292" s="1" t="s">
        <v>707</v>
      </c>
      <c r="B292" s="14">
        <v>1.0013888888888889</v>
      </c>
      <c r="C292" s="3">
        <v>0.0067</v>
      </c>
      <c r="D292" s="4"/>
      <c r="E292" s="4"/>
      <c r="F292" s="4">
        <f>TEXT(A292,"yyyy/mm/dd") &amp; " " &amp; TEXT(B292,"hh:mm:ss")</f>
      </c>
      <c r="G292" s="4" t="s">
        <v>331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1"/>
      <c r="AI292" s="1"/>
    </row>
    <row x14ac:dyDescent="0.25" r="293" customHeight="1" ht="18.75">
      <c r="A293" s="1" t="s">
        <v>708</v>
      </c>
      <c r="B293" s="14">
        <v>1.0027777777777778</v>
      </c>
      <c r="C293" s="3">
        <v>0.0067</v>
      </c>
      <c r="D293" s="4"/>
      <c r="E293" s="4"/>
      <c r="F293" s="4">
        <f>TEXT(A293,"yyyy/mm/dd") &amp; " " &amp; TEXT(B293,"hh:mm:ss")</f>
      </c>
      <c r="G293" s="4" t="s">
        <v>332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1"/>
      <c r="AI293" s="1"/>
    </row>
    <row x14ac:dyDescent="0.25" r="294" customHeight="1" ht="18.75">
      <c r="A294" s="1" t="s">
        <v>709</v>
      </c>
      <c r="B294" s="14">
        <v>1.2444444444444445</v>
      </c>
      <c r="C294" s="3">
        <v>0.005900000000000001</v>
      </c>
      <c r="D294" s="4"/>
      <c r="E294" s="4"/>
      <c r="F294" s="4">
        <f>TEXT(A294,"yyyy/mm/dd") &amp; " " &amp; TEXT(B294,"hh:mm:ss")</f>
      </c>
      <c r="G294" s="4" t="s">
        <v>333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1"/>
      <c r="AI294" s="1"/>
    </row>
    <row x14ac:dyDescent="0.25" r="295" customHeight="1" ht="18.75">
      <c r="A295" s="1" t="s">
        <v>710</v>
      </c>
      <c r="B295" s="14">
        <v>1.2402777777777778</v>
      </c>
      <c r="C295" s="3">
        <v>0.005900000000000001</v>
      </c>
      <c r="D295" s="4"/>
      <c r="E295" s="4"/>
      <c r="F295" s="4">
        <f>TEXT(A295,"yyyy/mm/dd") &amp; " " &amp; TEXT(B295,"hh:mm:ss")</f>
      </c>
      <c r="G295" s="4" t="s">
        <v>334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1"/>
      <c r="AI295" s="1"/>
    </row>
    <row x14ac:dyDescent="0.25" r="296" customHeight="1" ht="18.75">
      <c r="A296" s="21" t="s">
        <v>711</v>
      </c>
      <c r="B296" s="24">
        <v>1.0034722222222223</v>
      </c>
      <c r="C296" s="13">
        <v>0.0072</v>
      </c>
      <c r="D296" s="4"/>
      <c r="E296" s="4"/>
      <c r="F296" s="4">
        <f>TEXT(A296,"yyyy/mm/dd") &amp; " " &amp; TEXT(B296,"hh:mm:ss")</f>
      </c>
      <c r="G296" s="20" t="s">
        <v>335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23"/>
      <c r="AI296" s="1"/>
    </row>
    <row x14ac:dyDescent="0.25" r="297" customHeight="1" ht="18.75">
      <c r="A297" s="1" t="s">
        <v>712</v>
      </c>
      <c r="B297" s="14">
        <v>1.5298611111111111</v>
      </c>
      <c r="C297" s="3">
        <v>1.016</v>
      </c>
      <c r="D297" s="4"/>
      <c r="E297" s="4"/>
      <c r="F297" s="4">
        <f>TEXT(A297,"yyyy/mm/dd") &amp; " " &amp; TEXT(B297,"hh:mm:ss")</f>
      </c>
      <c r="G297" s="4" t="s">
        <v>337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1"/>
      <c r="AI297" s="1"/>
    </row>
    <row x14ac:dyDescent="0.25" r="298" customHeight="1" ht="18.75">
      <c r="A298" s="1" t="s">
        <v>712</v>
      </c>
      <c r="B298" s="14">
        <v>1.604861111111111</v>
      </c>
      <c r="C298" s="3">
        <v>1.111</v>
      </c>
      <c r="D298" s="4"/>
      <c r="E298" s="4"/>
      <c r="F298" s="4">
        <f>TEXT(A298,"yyyy/mm/dd") &amp; " " &amp; TEXT(B298,"hh:mm:ss")</f>
      </c>
      <c r="G298" s="4" t="s">
        <v>338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1"/>
      <c r="AI298" s="1"/>
    </row>
    <row x14ac:dyDescent="0.25" r="299" customHeight="1" ht="18.75">
      <c r="A299" s="1" t="s">
        <v>713</v>
      </c>
      <c r="B299" s="14">
        <v>1.038888888888889</v>
      </c>
      <c r="C299" s="3">
        <v>0.6902999999999999</v>
      </c>
      <c r="D299" s="4"/>
      <c r="E299" s="4"/>
      <c r="F299" s="4">
        <f>TEXT(A299,"yyyy/mm/dd") &amp; " " &amp; TEXT(B299,"hh:mm:ss")</f>
      </c>
      <c r="G299" s="4" t="s">
        <v>339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1"/>
      <c r="AI299" s="1"/>
    </row>
    <row x14ac:dyDescent="0.25" r="300" customHeight="1" ht="18.75">
      <c r="A300" s="1" t="s">
        <v>714</v>
      </c>
      <c r="B300" s="14">
        <v>1.0097222222222222</v>
      </c>
      <c r="C300" s="3">
        <v>0.5115</v>
      </c>
      <c r="D300" s="4"/>
      <c r="E300" s="4"/>
      <c r="F300" s="4">
        <f>TEXT(A300,"yyyy/mm/dd") &amp; " " &amp; TEXT(B300,"hh:mm:ss")</f>
      </c>
      <c r="G300" s="4" t="s">
        <v>340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1"/>
      <c r="AI300" s="1"/>
    </row>
    <row x14ac:dyDescent="0.25" r="301" customHeight="1" ht="18.75">
      <c r="A301" s="1" t="s">
        <v>715</v>
      </c>
      <c r="B301" s="14">
        <v>1.0166666666666666</v>
      </c>
      <c r="C301" s="3">
        <v>0.5391</v>
      </c>
      <c r="D301" s="4"/>
      <c r="E301" s="4"/>
      <c r="F301" s="4">
        <f>TEXT(A301,"yyyy/mm/dd") &amp; " " &amp; TEXT(B301,"hh:mm:ss")</f>
      </c>
      <c r="G301" s="4" t="s">
        <v>341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1"/>
      <c r="AI301" s="1"/>
    </row>
    <row x14ac:dyDescent="0.25" r="302" customHeight="1" ht="18.75">
      <c r="A302" s="1" t="s">
        <v>716</v>
      </c>
      <c r="B302" s="14"/>
      <c r="C302" s="3">
        <v>0.5812</v>
      </c>
      <c r="D302" s="4"/>
      <c r="E302" s="4"/>
      <c r="F302" s="4">
        <f>TEXT(A302,"yyyy/mm/dd") &amp; " " &amp; TEXT(B302,"hh:mm:ss")</f>
      </c>
      <c r="G302" s="4" t="s">
        <v>342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1"/>
      <c r="AI302" s="1"/>
    </row>
    <row x14ac:dyDescent="0.25" r="303" customHeight="1" ht="18.75">
      <c r="A303" s="1" t="s">
        <v>717</v>
      </c>
      <c r="B303" s="14">
        <v>1.0013888888888889</v>
      </c>
      <c r="C303" s="3">
        <v>0.4081</v>
      </c>
      <c r="D303" s="4"/>
      <c r="E303" s="4"/>
      <c r="F303" s="4">
        <f>TEXT(A303,"yyyy/mm/dd") &amp; " " &amp; TEXT(B303,"hh:mm:ss")</f>
      </c>
      <c r="G303" s="4" t="s">
        <v>343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1"/>
      <c r="AI303" s="1"/>
    </row>
    <row x14ac:dyDescent="0.25" r="304" customHeight="1" ht="18.75">
      <c r="A304" s="21" t="s">
        <v>718</v>
      </c>
      <c r="B304" s="24">
        <v>1.2444444444444445</v>
      </c>
      <c r="C304" s="13">
        <v>0.2521</v>
      </c>
      <c r="D304" s="4"/>
      <c r="E304" s="4"/>
      <c r="F304" s="4">
        <f>TEXT(A304,"yyyy/mm/dd") &amp; " " &amp; TEXT(B304,"hh:mm:ss")</f>
      </c>
      <c r="G304" s="20" t="s">
        <v>344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23"/>
      <c r="AI304" s="1"/>
    </row>
    <row x14ac:dyDescent="0.25" r="305" customHeight="1" ht="18.75">
      <c r="A305" s="1" t="s">
        <v>719</v>
      </c>
      <c r="B305" s="14">
        <v>1.7104166666666667</v>
      </c>
      <c r="C305" s="3">
        <v>0.119</v>
      </c>
      <c r="D305" s="4"/>
      <c r="E305" s="4"/>
      <c r="F305" s="4">
        <f>TEXT(A305,"yyyy/mm/dd") &amp; " " &amp; TEXT(B305,"hh:mm:ss")</f>
      </c>
      <c r="G305" s="4" t="s">
        <v>346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1"/>
      <c r="AI305" s="1"/>
    </row>
    <row x14ac:dyDescent="0.25" r="306" customHeight="1" ht="18.75">
      <c r="A306" s="1" t="s">
        <v>719</v>
      </c>
      <c r="B306" s="14">
        <v>1.9034722222222222</v>
      </c>
      <c r="C306" s="3">
        <v>24.482</v>
      </c>
      <c r="D306" s="4"/>
      <c r="E306" s="4"/>
      <c r="F306" s="4">
        <f>TEXT(A306,"yyyy/mm/dd") &amp; " " &amp; TEXT(B306,"hh:mm:ss")</f>
      </c>
      <c r="G306" s="4" t="s">
        <v>347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1"/>
      <c r="AI306" s="1"/>
    </row>
    <row x14ac:dyDescent="0.25" r="307" customHeight="1" ht="18.75">
      <c r="A307" s="1" t="s">
        <v>720</v>
      </c>
      <c r="B307" s="14">
        <v>1.0173611111111112</v>
      </c>
      <c r="C307" s="3">
        <v>20.134</v>
      </c>
      <c r="D307" s="4"/>
      <c r="E307" s="4"/>
      <c r="F307" s="4">
        <f>TEXT(A307,"yyyy/mm/dd") &amp; " " &amp; TEXT(B307,"hh:mm:ss")</f>
      </c>
      <c r="G307" s="4" t="s">
        <v>348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1"/>
      <c r="AI307" s="1"/>
    </row>
    <row x14ac:dyDescent="0.25" r="308" customHeight="1" ht="18.75">
      <c r="A308" s="1" t="s">
        <v>720</v>
      </c>
      <c r="B308" s="14">
        <v>1.0180555555555555</v>
      </c>
      <c r="C308" s="3">
        <v>10.571</v>
      </c>
      <c r="D308" s="4"/>
      <c r="E308" s="4"/>
      <c r="F308" s="4">
        <f>TEXT(A308,"yyyy/mm/dd") &amp; " " &amp; TEXT(B308,"hh:mm:ss")</f>
      </c>
      <c r="G308" s="4" t="s">
        <v>349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1"/>
      <c r="AI308" s="1"/>
    </row>
    <row x14ac:dyDescent="0.25" r="309" customHeight="1" ht="18.75">
      <c r="A309" s="1" t="s">
        <v>721</v>
      </c>
      <c r="B309" s="14">
        <v>1.023611111111111</v>
      </c>
      <c r="C309" s="3">
        <v>3.954</v>
      </c>
      <c r="D309" s="4"/>
      <c r="E309" s="4"/>
      <c r="F309" s="4">
        <f>TEXT(A309,"yyyy/mm/dd") &amp; " " &amp; TEXT(B309,"hh:mm:ss")</f>
      </c>
      <c r="G309" s="4" t="s">
        <v>350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1"/>
      <c r="AI309" s="1"/>
    </row>
    <row x14ac:dyDescent="0.25" r="310" customHeight="1" ht="18.75">
      <c r="A310" s="1" t="s">
        <v>722</v>
      </c>
      <c r="B310" s="14">
        <v>1.0208333333333333</v>
      </c>
      <c r="C310" s="3">
        <v>3.352</v>
      </c>
      <c r="D310" s="4"/>
      <c r="E310" s="4"/>
      <c r="F310" s="4">
        <f>TEXT(A310,"yyyy/mm/dd") &amp; " " &amp; TEXT(B310,"hh:mm:ss")</f>
      </c>
      <c r="G310" s="4" t="s">
        <v>351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1"/>
      <c r="AI310" s="1"/>
    </row>
    <row x14ac:dyDescent="0.25" r="311" customHeight="1" ht="18.75">
      <c r="A311" s="1" t="s">
        <v>723</v>
      </c>
      <c r="B311" s="14">
        <v>1.0340277777777778</v>
      </c>
      <c r="C311" s="3">
        <v>3.995</v>
      </c>
      <c r="D311" s="4"/>
      <c r="E311" s="4"/>
      <c r="F311" s="4">
        <f>TEXT(A311,"yyyy/mm/dd") &amp; " " &amp; TEXT(B311,"hh:mm:ss")</f>
      </c>
      <c r="G311" s="4" t="s">
        <v>352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1"/>
      <c r="AI311" s="1"/>
    </row>
    <row x14ac:dyDescent="0.25" r="312" customHeight="1" ht="18.75">
      <c r="A312" s="1" t="s">
        <v>724</v>
      </c>
      <c r="B312" s="14">
        <v>1.0069444444444444</v>
      </c>
      <c r="C312" s="3">
        <v>3.51</v>
      </c>
      <c r="D312" s="4"/>
      <c r="E312" s="4"/>
      <c r="F312" s="4">
        <f>TEXT(A312,"yyyy/mm/dd") &amp; " " &amp; TEXT(B312,"hh:mm:ss")</f>
      </c>
      <c r="G312" s="4" t="s">
        <v>353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1"/>
      <c r="AI312" s="1"/>
    </row>
    <row x14ac:dyDescent="0.25" r="313" customHeight="1" ht="18.75">
      <c r="A313" s="1" t="s">
        <v>725</v>
      </c>
      <c r="B313" s="14">
        <v>1.0069444444444444</v>
      </c>
      <c r="C313" s="3">
        <v>2.773</v>
      </c>
      <c r="D313" s="4"/>
      <c r="E313" s="4"/>
      <c r="F313" s="4">
        <f>TEXT(A313,"yyyy/mm/dd") &amp; " " &amp; TEXT(B313,"hh:mm:ss")</f>
      </c>
      <c r="G313" s="4" t="s">
        <v>354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1"/>
      <c r="AI313" s="1"/>
    </row>
    <row x14ac:dyDescent="0.25" r="314" customHeight="1" ht="18.75">
      <c r="A314" s="1" t="s">
        <v>726</v>
      </c>
      <c r="B314" s="14">
        <v>1.0319444444444446</v>
      </c>
      <c r="C314" s="3">
        <v>2.287</v>
      </c>
      <c r="D314" s="4"/>
      <c r="E314" s="4"/>
      <c r="F314" s="4">
        <f>TEXT(A314,"yyyy/mm/dd") &amp; " " &amp; TEXT(B314,"hh:mm:ss")</f>
      </c>
      <c r="G314" s="4" t="s">
        <v>355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1"/>
      <c r="AI314" s="1"/>
    </row>
    <row x14ac:dyDescent="0.25" r="315" customHeight="1" ht="18.75">
      <c r="A315" s="1" t="s">
        <v>727</v>
      </c>
      <c r="B315" s="14">
        <v>1.3493055555555555</v>
      </c>
      <c r="C315" s="3">
        <v>1.432</v>
      </c>
      <c r="D315" s="4"/>
      <c r="E315" s="4"/>
      <c r="F315" s="4">
        <f>TEXT(A315,"yyyy/mm/dd") &amp; " " &amp; TEXT(B315,"hh:mm:ss")</f>
      </c>
      <c r="G315" s="4" t="s">
        <v>356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1"/>
      <c r="AI315" s="1"/>
    </row>
    <row x14ac:dyDescent="0.25" r="316" customHeight="1" ht="18.75">
      <c r="A316" s="1" t="s">
        <v>728</v>
      </c>
      <c r="B316" s="14">
        <v>1.0006944444444446</v>
      </c>
      <c r="C316" s="3">
        <v>0.9679</v>
      </c>
      <c r="D316" s="4"/>
      <c r="E316" s="4"/>
      <c r="F316" s="4">
        <f>TEXT(A316,"yyyy/mm/dd") &amp; " " &amp; TEXT(B316,"hh:mm:ss")</f>
      </c>
      <c r="G316" s="4" t="s">
        <v>357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1"/>
      <c r="AI316" s="1"/>
    </row>
    <row x14ac:dyDescent="0.25" r="317" customHeight="1" ht="18.75">
      <c r="A317" s="1" t="s">
        <v>729</v>
      </c>
      <c r="B317" s="14">
        <v>1.0020833333333334</v>
      </c>
      <c r="C317" s="3">
        <v>0.5549</v>
      </c>
      <c r="D317" s="4"/>
      <c r="E317" s="4"/>
      <c r="F317" s="4">
        <f>TEXT(A317,"yyyy/mm/dd") &amp; " " &amp; TEXT(B317,"hh:mm:ss")</f>
      </c>
      <c r="G317" s="4" t="s">
        <v>358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1"/>
      <c r="AI317" s="1"/>
    </row>
    <row x14ac:dyDescent="0.25" r="318" customHeight="1" ht="18.75">
      <c r="A318" s="1" t="s">
        <v>730</v>
      </c>
      <c r="B318" s="14">
        <v>1.0090277777777779</v>
      </c>
      <c r="C318" s="3">
        <v>0.3479</v>
      </c>
      <c r="D318" s="4"/>
      <c r="E318" s="4"/>
      <c r="F318" s="4">
        <f>TEXT(A318,"yyyy/mm/dd") &amp; " " &amp; TEXT(B318,"hh:mm:ss")</f>
      </c>
      <c r="G318" s="4" t="s">
        <v>359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1"/>
      <c r="AI318" s="1"/>
    </row>
    <row x14ac:dyDescent="0.25" r="319" customHeight="1" ht="18.75">
      <c r="A319" s="1" t="s">
        <v>731</v>
      </c>
      <c r="B319" s="14">
        <v>1.0055555555555555</v>
      </c>
      <c r="C319" s="3">
        <v>0.2033</v>
      </c>
      <c r="D319" s="4"/>
      <c r="E319" s="4"/>
      <c r="F319" s="4">
        <f>TEXT(A319,"yyyy/mm/dd") &amp; " " &amp; TEXT(B319,"hh:mm:ss")</f>
      </c>
      <c r="G319" s="4" t="s">
        <v>360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1"/>
      <c r="AI319" s="1"/>
    </row>
    <row x14ac:dyDescent="0.25" r="320" customHeight="1" ht="18.75">
      <c r="A320" s="1" t="s">
        <v>732</v>
      </c>
      <c r="B320" s="14">
        <v>1.0048611111111112</v>
      </c>
      <c r="C320" s="3">
        <v>0.12969999999999998</v>
      </c>
      <c r="D320" s="4"/>
      <c r="E320" s="4"/>
      <c r="F320" s="4">
        <f>TEXT(A320,"yyyy/mm/dd") &amp; " " &amp; TEXT(B320,"hh:mm:ss")</f>
      </c>
      <c r="G320" s="4" t="s">
        <v>361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1"/>
      <c r="AI320" s="1"/>
    </row>
    <row x14ac:dyDescent="0.25" r="321" customHeight="1" ht="18.75">
      <c r="A321" s="1" t="s">
        <v>733</v>
      </c>
      <c r="B321" s="14">
        <v>1.0034722222222223</v>
      </c>
      <c r="C321" s="3">
        <v>0.0712</v>
      </c>
      <c r="D321" s="4"/>
      <c r="E321" s="4"/>
      <c r="F321" s="4">
        <f>TEXT(A321,"yyyy/mm/dd") &amp; " " &amp; TEXT(B321,"hh:mm:ss")</f>
      </c>
      <c r="G321" s="4" t="s">
        <v>362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1"/>
      <c r="AI321" s="1"/>
    </row>
    <row x14ac:dyDescent="0.25" r="322" customHeight="1" ht="18.75">
      <c r="A322" s="1" t="s">
        <v>734</v>
      </c>
      <c r="B322" s="14">
        <v>1.0020833333333334</v>
      </c>
      <c r="C322" s="3">
        <v>0.0546</v>
      </c>
      <c r="D322" s="4"/>
      <c r="E322" s="4"/>
      <c r="F322" s="4">
        <f>TEXT(A322,"yyyy/mm/dd") &amp; " " &amp; TEXT(B322,"hh:mm:ss")</f>
      </c>
      <c r="G322" s="4" t="s">
        <v>363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1"/>
      <c r="AI322" s="1"/>
    </row>
    <row x14ac:dyDescent="0.25" r="323" customHeight="1" ht="18.75">
      <c r="A323" s="1" t="s">
        <v>735</v>
      </c>
      <c r="B323" s="14">
        <v>1.2395833333333333</v>
      </c>
      <c r="C323" s="3">
        <v>0.0407</v>
      </c>
      <c r="D323" s="4"/>
      <c r="E323" s="4"/>
      <c r="F323" s="4">
        <f>TEXT(A323,"yyyy/mm/dd") &amp; " " &amp; TEXT(B323,"hh:mm:ss")</f>
      </c>
      <c r="G323" s="4" t="s">
        <v>364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1"/>
      <c r="AI323" s="1"/>
    </row>
    <row x14ac:dyDescent="0.25" r="324" customHeight="1" ht="18.75">
      <c r="A324" s="1" t="s">
        <v>736</v>
      </c>
      <c r="B324" s="14">
        <v>1.0034722222222223</v>
      </c>
      <c r="C324" s="3">
        <v>0.0317</v>
      </c>
      <c r="D324" s="4"/>
      <c r="E324" s="4"/>
      <c r="F324" s="4">
        <f>TEXT(A324,"yyyy/mm/dd") &amp; " " &amp; TEXT(B324,"hh:mm:ss")</f>
      </c>
      <c r="G324" s="4" t="s">
        <v>365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1"/>
      <c r="AI324" s="1"/>
    </row>
    <row x14ac:dyDescent="0.25" r="325" customHeight="1" ht="18.75">
      <c r="A325" s="1" t="s">
        <v>737</v>
      </c>
      <c r="B325" s="14">
        <v>1.0041666666666667</v>
      </c>
      <c r="C325" s="3">
        <v>0.0289</v>
      </c>
      <c r="D325" s="4"/>
      <c r="E325" s="4"/>
      <c r="F325" s="4">
        <f>TEXT(A325,"yyyy/mm/dd") &amp; " " &amp; TEXT(B325,"hh:mm:ss")</f>
      </c>
      <c r="G325" s="4" t="s">
        <v>366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1"/>
      <c r="AI325" s="1"/>
    </row>
    <row x14ac:dyDescent="0.25" r="326" customHeight="1" ht="18.75">
      <c r="A326" s="1" t="s">
        <v>738</v>
      </c>
      <c r="B326" s="14">
        <v>1.2534722222222223</v>
      </c>
      <c r="C326" s="3">
        <v>0.0241</v>
      </c>
      <c r="D326" s="4"/>
      <c r="E326" s="4"/>
      <c r="F326" s="4">
        <f>TEXT(A326,"yyyy/mm/dd") &amp; " " &amp; TEXT(B326,"hh:mm:ss")</f>
      </c>
      <c r="G326" s="4" t="s">
        <v>367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1"/>
      <c r="AI326" s="1"/>
    </row>
    <row x14ac:dyDescent="0.25" r="327" customHeight="1" ht="18.75">
      <c r="A327" s="21" t="s">
        <v>739</v>
      </c>
      <c r="B327" s="24">
        <v>1.2506944444444446</v>
      </c>
      <c r="C327" s="13">
        <v>0.0221</v>
      </c>
      <c r="D327" s="4"/>
      <c r="E327" s="4"/>
      <c r="F327" s="4">
        <f>TEXT(A327,"yyyy/mm/dd") &amp; " " &amp; TEXT(B327,"hh:mm:ss")</f>
      </c>
      <c r="G327" s="20" t="s">
        <v>368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23"/>
      <c r="AI327" s="1"/>
    </row>
    <row x14ac:dyDescent="0.25" r="328" customHeight="1" ht="18.75">
      <c r="A328" s="1" t="s">
        <v>676</v>
      </c>
      <c r="B328" s="14">
        <v>1.6541666666666668</v>
      </c>
      <c r="C328" s="3">
        <v>3.385</v>
      </c>
      <c r="D328" s="4"/>
      <c r="E328" s="4"/>
      <c r="F328" s="4">
        <f>TEXT(A328,"yyyy/mm/dd") &amp; " " &amp; TEXT(B328,"hh:mm:ss")</f>
      </c>
      <c r="G328" s="4" t="s">
        <v>370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1"/>
      <c r="AI328" s="1"/>
    </row>
    <row x14ac:dyDescent="0.25" r="329" customHeight="1" ht="18.75">
      <c r="A329" s="1" t="s">
        <v>676</v>
      </c>
      <c r="B329" s="14">
        <v>1.9506944444444443</v>
      </c>
      <c r="C329" s="3">
        <v>1.736</v>
      </c>
      <c r="D329" s="4"/>
      <c r="E329" s="4"/>
      <c r="F329" s="4">
        <f>TEXT(A329,"yyyy/mm/dd") &amp; " " &amp; TEXT(B329,"hh:mm:ss")</f>
      </c>
      <c r="G329" s="4" t="s">
        <v>371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1"/>
      <c r="AI329" s="1"/>
    </row>
    <row x14ac:dyDescent="0.25" r="330" customHeight="1" ht="18.75">
      <c r="A330" s="1" t="s">
        <v>677</v>
      </c>
      <c r="B330" s="14">
        <v>1.0361111111111112</v>
      </c>
      <c r="C330" s="3">
        <v>0.96</v>
      </c>
      <c r="D330" s="4"/>
      <c r="E330" s="4"/>
      <c r="F330" s="4">
        <f>TEXT(A330,"yyyy/mm/dd") &amp; " " &amp; TEXT(B330,"hh:mm:ss")</f>
      </c>
      <c r="G330" s="4" t="s">
        <v>372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1"/>
      <c r="AI330" s="1"/>
    </row>
    <row x14ac:dyDescent="0.25" r="331" customHeight="1" ht="18.75">
      <c r="A331" s="1" t="s">
        <v>740</v>
      </c>
      <c r="B331" s="14">
        <v>1.025</v>
      </c>
      <c r="C331" s="3">
        <v>0.5799</v>
      </c>
      <c r="D331" s="4"/>
      <c r="E331" s="4"/>
      <c r="F331" s="4">
        <f>TEXT(A331,"yyyy/mm/dd") &amp; " " &amp; TEXT(B331,"hh:mm:ss")</f>
      </c>
      <c r="G331" s="4" t="s">
        <v>373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1"/>
      <c r="AI331" s="1"/>
    </row>
    <row x14ac:dyDescent="0.25" r="332" customHeight="1" ht="18.75">
      <c r="A332" s="1" t="s">
        <v>741</v>
      </c>
      <c r="B332" s="14">
        <v>1.0118055555555556</v>
      </c>
      <c r="C332" s="3">
        <v>0.5398</v>
      </c>
      <c r="D332" s="4"/>
      <c r="E332" s="4"/>
      <c r="F332" s="4">
        <f>TEXT(A332,"yyyy/mm/dd") &amp; " " &amp; TEXT(B332,"hh:mm:ss")</f>
      </c>
      <c r="G332" s="4" t="s">
        <v>374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1"/>
      <c r="AI332" s="1"/>
    </row>
    <row x14ac:dyDescent="0.25" r="333" customHeight="1" ht="18.75">
      <c r="A333" s="1" t="s">
        <v>742</v>
      </c>
      <c r="B333" s="14">
        <v>1.0270833333333333</v>
      </c>
      <c r="C333" s="3">
        <v>0.44110000000000005</v>
      </c>
      <c r="D333" s="4"/>
      <c r="E333" s="4"/>
      <c r="F333" s="4">
        <f>TEXT(A333,"yyyy/mm/dd") &amp; " " &amp; TEXT(B333,"hh:mm:ss")</f>
      </c>
      <c r="G333" s="4" t="s">
        <v>375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1"/>
      <c r="AI333" s="1"/>
    </row>
    <row x14ac:dyDescent="0.25" r="334" customHeight="1" ht="18.75">
      <c r="A334" s="1" t="s">
        <v>743</v>
      </c>
      <c r="B334" s="14">
        <v>1.0006944444444446</v>
      </c>
      <c r="C334" s="3">
        <v>0.2808</v>
      </c>
      <c r="D334" s="4"/>
      <c r="E334" s="4"/>
      <c r="F334" s="4">
        <f>TEXT(A334,"yyyy/mm/dd") &amp; " " &amp; TEXT(B334,"hh:mm:ss")</f>
      </c>
      <c r="G334" s="4" t="s">
        <v>376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1"/>
      <c r="AI334" s="1"/>
    </row>
    <row x14ac:dyDescent="0.25" r="335" customHeight="1" ht="18.75">
      <c r="A335" s="1" t="s">
        <v>744</v>
      </c>
      <c r="B335" s="14">
        <v>1.0013888888888889</v>
      </c>
      <c r="C335" s="3">
        <v>0.1681</v>
      </c>
      <c r="D335" s="4"/>
      <c r="E335" s="4"/>
      <c r="F335" s="4">
        <f>TEXT(A335,"yyyy/mm/dd") &amp; " " &amp; TEXT(B335,"hh:mm:ss")</f>
      </c>
      <c r="G335" s="4" t="s">
        <v>377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1"/>
      <c r="AI335" s="1"/>
    </row>
    <row x14ac:dyDescent="0.25" r="336" customHeight="1" ht="18.75">
      <c r="A336" s="1" t="s">
        <v>744</v>
      </c>
      <c r="B336" s="14">
        <v>1.6965277777777779</v>
      </c>
      <c r="C336" s="3">
        <v>0.13440000000000002</v>
      </c>
      <c r="D336" s="4"/>
      <c r="E336" s="4"/>
      <c r="F336" s="4">
        <f>TEXT(A336,"yyyy/mm/dd") &amp; " " &amp; TEXT(B336,"hh:mm:ss")</f>
      </c>
      <c r="G336" s="4" t="s">
        <v>378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1"/>
      <c r="AI336" s="1"/>
    </row>
    <row x14ac:dyDescent="0.25" r="337" customHeight="1" ht="18.75">
      <c r="A337" s="21" t="s">
        <v>745</v>
      </c>
      <c r="B337" s="24">
        <v>1.2340277777777777</v>
      </c>
      <c r="C337" s="13">
        <v>0.1029</v>
      </c>
      <c r="D337" s="4"/>
      <c r="E337" s="4"/>
      <c r="F337" s="4">
        <f>TEXT(A337,"yyyy/mm/dd") &amp; " " &amp; TEXT(B337,"hh:mm:ss")</f>
      </c>
      <c r="G337" s="20" t="s">
        <v>379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23"/>
      <c r="AI337" s="1"/>
    </row>
    <row x14ac:dyDescent="0.25" r="338" customHeight="1" ht="18.75">
      <c r="A338" s="1" t="s">
        <v>695</v>
      </c>
      <c r="B338" s="14">
        <v>1.9604166666666667</v>
      </c>
      <c r="C338" s="3">
        <v>0.8869</v>
      </c>
      <c r="D338" s="4"/>
      <c r="E338" s="4"/>
      <c r="F338" s="4">
        <f>TEXT(A338,"yyyy/mm/dd") &amp; " " &amp; TEXT(B338,"hh:mm:ss")</f>
      </c>
      <c r="G338" s="4" t="s">
        <v>381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1"/>
      <c r="AI338" s="1"/>
    </row>
    <row x14ac:dyDescent="0.25" r="339" customHeight="1" ht="18.75">
      <c r="A339" s="1" t="s">
        <v>746</v>
      </c>
      <c r="B339" s="14">
        <v>1.0125</v>
      </c>
      <c r="C339" s="3">
        <v>1.572</v>
      </c>
      <c r="D339" s="4"/>
      <c r="E339" s="4"/>
      <c r="F339" s="4">
        <f>TEXT(A339,"yyyy/mm/dd") &amp; " " &amp; TEXT(B339,"hh:mm:ss")</f>
      </c>
      <c r="G339" s="4" t="s">
        <v>382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1"/>
      <c r="AI339" s="1"/>
    </row>
    <row x14ac:dyDescent="0.25" r="340" customHeight="1" ht="18.75">
      <c r="A340" s="1" t="s">
        <v>747</v>
      </c>
      <c r="B340" s="14">
        <v>1.01875</v>
      </c>
      <c r="C340" s="3">
        <v>0.48669999999999997</v>
      </c>
      <c r="D340" s="4"/>
      <c r="E340" s="4"/>
      <c r="F340" s="4">
        <f>TEXT(A340,"yyyy/mm/dd") &amp; " " &amp; TEXT(B340,"hh:mm:ss")</f>
      </c>
      <c r="G340" s="4" t="s">
        <v>383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1"/>
      <c r="AI340" s="1"/>
    </row>
    <row x14ac:dyDescent="0.25" r="341" customHeight="1" ht="18.75">
      <c r="A341" s="1" t="s">
        <v>748</v>
      </c>
      <c r="B341" s="14">
        <v>1.0180555555555555</v>
      </c>
      <c r="C341" s="3">
        <v>0.409</v>
      </c>
      <c r="D341" s="4"/>
      <c r="E341" s="4"/>
      <c r="F341" s="4">
        <f>TEXT(A341,"yyyy/mm/dd") &amp; " " &amp; TEXT(B341,"hh:mm:ss")</f>
      </c>
      <c r="G341" s="4" t="s">
        <v>384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1"/>
      <c r="AI341" s="1"/>
    </row>
    <row x14ac:dyDescent="0.25" r="342" customHeight="1" ht="18.75">
      <c r="A342" s="1" t="s">
        <v>749</v>
      </c>
      <c r="B342" s="14">
        <v>1.0055555555555555</v>
      </c>
      <c r="C342" s="3">
        <v>0.3775</v>
      </c>
      <c r="D342" s="4"/>
      <c r="E342" s="4"/>
      <c r="F342" s="4">
        <f>TEXT(A342,"yyyy/mm/dd") &amp; " " &amp; TEXT(B342,"hh:mm:ss")</f>
      </c>
      <c r="G342" s="4" t="s">
        <v>385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1"/>
      <c r="AI342" s="1"/>
    </row>
    <row x14ac:dyDescent="0.25" r="343" customHeight="1" ht="18.75">
      <c r="A343" s="1" t="s">
        <v>750</v>
      </c>
      <c r="B343" s="14">
        <v>1.0069444444444444</v>
      </c>
      <c r="C343" s="3">
        <v>0.2948</v>
      </c>
      <c r="D343" s="4"/>
      <c r="E343" s="4"/>
      <c r="F343" s="4">
        <f>TEXT(A343,"yyyy/mm/dd") &amp; " " &amp; TEXT(B343,"hh:mm:ss")</f>
      </c>
      <c r="G343" s="4" t="s">
        <v>386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1"/>
      <c r="AI343" s="1"/>
    </row>
    <row x14ac:dyDescent="0.25" r="344" customHeight="1" ht="18.75">
      <c r="A344" s="1" t="s">
        <v>751</v>
      </c>
      <c r="B344" s="14">
        <v>1.023611111111111</v>
      </c>
      <c r="C344" s="3">
        <v>0.194</v>
      </c>
      <c r="D344" s="4"/>
      <c r="E344" s="4"/>
      <c r="F344" s="4">
        <f>TEXT(A344,"yyyy/mm/dd") &amp; " " &amp; TEXT(B344,"hh:mm:ss")</f>
      </c>
      <c r="G344" s="4" t="s">
        <v>387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1"/>
      <c r="AI344" s="1"/>
    </row>
    <row x14ac:dyDescent="0.25" r="345" customHeight="1" ht="18.75">
      <c r="A345" s="1" t="s">
        <v>752</v>
      </c>
      <c r="B345" s="14">
        <v>1.0034722222222223</v>
      </c>
      <c r="C345" s="3">
        <v>0.15580000000000002</v>
      </c>
      <c r="D345" s="4"/>
      <c r="E345" s="4"/>
      <c r="F345" s="4">
        <f>TEXT(A345,"yyyy/mm/dd") &amp; " " &amp; TEXT(B345,"hh:mm:ss")</f>
      </c>
      <c r="G345" s="4" t="s">
        <v>388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1"/>
      <c r="AI345" s="1"/>
    </row>
    <row x14ac:dyDescent="0.25" r="346" customHeight="1" ht="18.75">
      <c r="A346" s="21" t="s">
        <v>753</v>
      </c>
      <c r="B346" s="24">
        <v>1.0027777777777778</v>
      </c>
      <c r="C346" s="13">
        <v>0.0897</v>
      </c>
      <c r="D346" s="4"/>
      <c r="E346" s="4"/>
      <c r="F346" s="4">
        <f>TEXT(A346,"yyyy/mm/dd") &amp; " " &amp; TEXT(B346,"hh:mm:ss")</f>
      </c>
      <c r="G346" s="20" t="s">
        <v>389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23"/>
      <c r="AI346" s="1"/>
    </row>
    <row x14ac:dyDescent="0.25" r="347" customHeight="1" ht="18.75">
      <c r="A347" s="1" t="s">
        <v>750</v>
      </c>
      <c r="B347" s="14">
        <v>1.957638888888889</v>
      </c>
      <c r="C347" s="3">
        <v>1.3</v>
      </c>
      <c r="D347" s="4"/>
      <c r="E347" s="4"/>
      <c r="F347" s="4">
        <f>TEXT(A347,"yyyy/mm/dd") &amp; " " &amp; TEXT(B347,"hh:mm:ss")</f>
      </c>
      <c r="G347" s="4" t="s">
        <v>391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1"/>
      <c r="AI347" s="1"/>
    </row>
    <row x14ac:dyDescent="0.25" r="348" customHeight="1" ht="18.75">
      <c r="A348" s="1" t="s">
        <v>751</v>
      </c>
      <c r="B348" s="14">
        <v>1.023611111111111</v>
      </c>
      <c r="C348" s="3">
        <v>12.04</v>
      </c>
      <c r="D348" s="4"/>
      <c r="E348" s="4"/>
      <c r="F348" s="4">
        <f>TEXT(A348,"yyyy/mm/dd") &amp; " " &amp; TEXT(B348,"hh:mm:ss")</f>
      </c>
      <c r="G348" s="4" t="s">
        <v>387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1"/>
      <c r="AI348" s="1"/>
    </row>
    <row x14ac:dyDescent="0.25" r="349" customHeight="1" ht="18.75">
      <c r="A349" s="1" t="s">
        <v>751</v>
      </c>
      <c r="B349" s="14">
        <v>1.0625</v>
      </c>
      <c r="C349" s="3">
        <v>11.773</v>
      </c>
      <c r="D349" s="4"/>
      <c r="E349" s="4"/>
      <c r="F349" s="4">
        <f>TEXT(A349,"yyyy/mm/dd") &amp; " " &amp; TEXT(B349,"hh:mm:ss")</f>
      </c>
      <c r="G349" s="4" t="s">
        <v>392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1"/>
      <c r="AI349" s="1"/>
    </row>
    <row x14ac:dyDescent="0.25" r="350" customHeight="1" ht="18.75">
      <c r="A350" s="1" t="s">
        <v>751</v>
      </c>
      <c r="B350" s="14">
        <v>1.7486111111111111</v>
      </c>
      <c r="C350" s="3">
        <v>8.246</v>
      </c>
      <c r="D350" s="4"/>
      <c r="E350" s="4"/>
      <c r="F350" s="4">
        <f>TEXT(A350,"yyyy/mm/dd") &amp; " " &amp; TEXT(B350,"hh:mm:ss")</f>
      </c>
      <c r="G350" s="4" t="s">
        <v>393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1"/>
      <c r="AI350" s="1"/>
    </row>
    <row x14ac:dyDescent="0.25" r="351" customHeight="1" ht="18.75">
      <c r="A351" s="1" t="s">
        <v>752</v>
      </c>
      <c r="B351" s="14">
        <v>1.0034722222222223</v>
      </c>
      <c r="C351" s="3">
        <v>6.476</v>
      </c>
      <c r="D351" s="4"/>
      <c r="E351" s="4"/>
      <c r="F351" s="4">
        <f>TEXT(A351,"yyyy/mm/dd") &amp; " " &amp; TEXT(B351,"hh:mm:ss")</f>
      </c>
      <c r="G351" s="4" t="s">
        <v>388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1"/>
      <c r="AI351" s="1"/>
    </row>
    <row x14ac:dyDescent="0.25" r="352" customHeight="1" ht="18.75">
      <c r="A352" s="1" t="s">
        <v>753</v>
      </c>
      <c r="B352" s="14">
        <v>1.0145833333333334</v>
      </c>
      <c r="C352" s="3">
        <v>7.547</v>
      </c>
      <c r="D352" s="4"/>
      <c r="E352" s="4"/>
      <c r="F352" s="4">
        <f>TEXT(A352,"yyyy/mm/dd") &amp; " " &amp; TEXT(B352,"hh:mm:ss")</f>
      </c>
      <c r="G352" s="4" t="s">
        <v>394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1"/>
      <c r="AI352" s="1"/>
    </row>
    <row x14ac:dyDescent="0.25" r="353" customHeight="1" ht="18.75">
      <c r="A353" s="1" t="s">
        <v>754</v>
      </c>
      <c r="B353" s="14">
        <v>1.0125</v>
      </c>
      <c r="C353" s="3">
        <v>6.67</v>
      </c>
      <c r="D353" s="4"/>
      <c r="E353" s="4"/>
      <c r="F353" s="4">
        <f>TEXT(A353,"yyyy/mm/dd") &amp; " " &amp; TEXT(B353,"hh:mm:ss")</f>
      </c>
      <c r="G353" s="4" t="s">
        <v>395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1"/>
      <c r="AI353" s="1"/>
    </row>
    <row x14ac:dyDescent="0.25" r="354" customHeight="1" ht="18.75">
      <c r="A354" s="1" t="s">
        <v>755</v>
      </c>
      <c r="B354" s="14">
        <v>1.0027777777777778</v>
      </c>
      <c r="C354" s="3">
        <v>4.484</v>
      </c>
      <c r="D354" s="4"/>
      <c r="E354" s="4"/>
      <c r="F354" s="4">
        <f>TEXT(A354,"yyyy/mm/dd") &amp; " " &amp; TEXT(B354,"hh:mm:ss")</f>
      </c>
      <c r="G354" s="4" t="s">
        <v>396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1"/>
      <c r="AI354" s="1"/>
    </row>
    <row x14ac:dyDescent="0.25" r="355" customHeight="1" ht="18.75">
      <c r="A355" s="1" t="s">
        <v>756</v>
      </c>
      <c r="B355" s="14">
        <v>1.0104166666666667</v>
      </c>
      <c r="C355" s="3">
        <v>1.707</v>
      </c>
      <c r="D355" s="4"/>
      <c r="E355" s="4"/>
      <c r="F355" s="4">
        <f>TEXT(A355,"yyyy/mm/dd") &amp; " " &amp; TEXT(B355,"hh:mm:ss")</f>
      </c>
      <c r="G355" s="4" t="s">
        <v>397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1"/>
      <c r="AI355" s="1"/>
    </row>
    <row x14ac:dyDescent="0.25" r="356" customHeight="1" ht="18.75">
      <c r="A356" s="21" t="s">
        <v>757</v>
      </c>
      <c r="B356" s="24">
        <v>1.0006944444444446</v>
      </c>
      <c r="C356" s="13">
        <v>0.9445</v>
      </c>
      <c r="D356" s="4"/>
      <c r="E356" s="4"/>
      <c r="F356" s="4">
        <f>TEXT(A356,"yyyy/mm/dd") &amp; " " &amp; TEXT(B356,"hh:mm:ss")</f>
      </c>
      <c r="G356" s="20" t="s">
        <v>398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23"/>
      <c r="AI356" s="1"/>
    </row>
    <row x14ac:dyDescent="0.25" r="357" customHeight="1" ht="18.75">
      <c r="A357" s="1" t="s">
        <v>758</v>
      </c>
      <c r="B357" s="14">
        <v>1.6680555555555556</v>
      </c>
      <c r="C357" s="3">
        <v>0.529</v>
      </c>
      <c r="D357" s="4"/>
      <c r="E357" s="4"/>
      <c r="F357" s="4">
        <f>TEXT(A357,"yyyy/mm/dd") &amp; " " &amp; TEXT(B357,"hh:mm:ss")</f>
      </c>
      <c r="G357" s="4" t="s">
        <v>399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1"/>
      <c r="AI357" s="1"/>
    </row>
    <row x14ac:dyDescent="0.25" r="358" customHeight="1" ht="18.75">
      <c r="A358" s="1" t="s">
        <v>758</v>
      </c>
      <c r="B358" s="14">
        <v>1.90625</v>
      </c>
      <c r="C358" s="3">
        <v>1.94</v>
      </c>
      <c r="D358" s="4"/>
      <c r="E358" s="4"/>
      <c r="F358" s="4">
        <f>TEXT(A358,"yyyy/mm/dd") &amp; " " &amp; TEXT(B358,"hh:mm:ss")</f>
      </c>
      <c r="G358" s="4" t="s">
        <v>400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1"/>
      <c r="AI358" s="1"/>
    </row>
    <row x14ac:dyDescent="0.25" r="359" customHeight="1" ht="18.75">
      <c r="A359" s="1" t="s">
        <v>759</v>
      </c>
      <c r="B359" s="14">
        <v>1.0034722222222223</v>
      </c>
      <c r="C359" s="3">
        <v>2.11</v>
      </c>
      <c r="D359" s="4"/>
      <c r="E359" s="4"/>
      <c r="F359" s="4">
        <f>TEXT(A359,"yyyy/mm/dd") &amp; " " &amp; TEXT(B359,"hh:mm:ss")</f>
      </c>
      <c r="G359" s="4" t="s">
        <v>401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1"/>
      <c r="AI359" s="1"/>
    </row>
    <row x14ac:dyDescent="0.25" r="360" customHeight="1" ht="18.75">
      <c r="A360" s="1" t="s">
        <v>760</v>
      </c>
      <c r="B360" s="14">
        <v>1.0090277777777779</v>
      </c>
      <c r="C360" s="3">
        <v>1.29</v>
      </c>
      <c r="D360" s="4"/>
      <c r="E360" s="4"/>
      <c r="F360" s="4">
        <f>TEXT(A360,"yyyy/mm/dd") &amp; " " &amp; TEXT(B360,"hh:mm:ss")</f>
      </c>
      <c r="G360" s="4" t="s">
        <v>402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1"/>
      <c r="AI360" s="1"/>
    </row>
    <row x14ac:dyDescent="0.25" r="361" customHeight="1" ht="18.75">
      <c r="A361" s="1" t="s">
        <v>761</v>
      </c>
      <c r="B361" s="14">
        <v>1.0180555555555555</v>
      </c>
      <c r="C361" s="3">
        <v>1.16</v>
      </c>
      <c r="D361" s="4"/>
      <c r="E361" s="4"/>
      <c r="F361" s="4">
        <f>TEXT(A361,"yyyy/mm/dd") &amp; " " &amp; TEXT(B361,"hh:mm:ss")</f>
      </c>
      <c r="G361" s="4" t="s">
        <v>403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1"/>
      <c r="AI361" s="1"/>
    </row>
    <row x14ac:dyDescent="0.25" r="362" customHeight="1" ht="18.75">
      <c r="A362" s="1" t="s">
        <v>762</v>
      </c>
      <c r="B362" s="14">
        <v>1.0069444444444444</v>
      </c>
      <c r="C362" s="3">
        <v>0.787</v>
      </c>
      <c r="D362" s="4"/>
      <c r="E362" s="4"/>
      <c r="F362" s="4">
        <f>TEXT(A362,"yyyy/mm/dd") &amp; " " &amp; TEXT(B362,"hh:mm:ss")</f>
      </c>
      <c r="G362" s="4" t="s">
        <v>404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1"/>
      <c r="AI362" s="1"/>
    </row>
    <row x14ac:dyDescent="0.25" r="363" customHeight="1" ht="18.75">
      <c r="A363" s="21" t="s">
        <v>763</v>
      </c>
      <c r="B363" s="24">
        <v>1.0055555555555555</v>
      </c>
      <c r="C363" s="13">
        <v>0.312</v>
      </c>
      <c r="D363" s="4"/>
      <c r="E363" s="4"/>
      <c r="F363" s="4">
        <f>TEXT(A363,"yyyy/mm/dd") &amp; " " &amp; TEXT(B363,"hh:mm:ss")</f>
      </c>
      <c r="G363" s="20" t="s">
        <v>405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23"/>
      <c r="AI363" s="1"/>
    </row>
    <row x14ac:dyDescent="0.25" r="364" customHeight="1" ht="18.75">
      <c r="A364" s="1" t="s">
        <v>764</v>
      </c>
      <c r="B364" s="14">
        <v>1.4875</v>
      </c>
      <c r="C364" s="3">
        <v>2.09</v>
      </c>
      <c r="D364" s="4"/>
      <c r="E364" s="4"/>
      <c r="F364" s="4">
        <f>TEXT(A364,"yyyy/mm/dd") &amp; " " &amp; TEXT(B364,"hh:mm:ss")</f>
      </c>
      <c r="G364" s="4" t="s">
        <v>407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1"/>
      <c r="AI364" s="1"/>
    </row>
    <row x14ac:dyDescent="0.25" r="365" customHeight="1" ht="18.75">
      <c r="A365" s="1" t="s">
        <v>764</v>
      </c>
      <c r="B365" s="25">
        <v>1.7284722222222222</v>
      </c>
      <c r="C365" s="3">
        <v>6.96</v>
      </c>
      <c r="D365" s="4"/>
      <c r="E365" s="4"/>
      <c r="F365" s="4">
        <f>TEXT(A365,"yyyy/mm/dd") &amp; " " &amp; TEXT(B365,"hh:mm:ss")</f>
      </c>
      <c r="G365" s="4" t="s">
        <v>408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1"/>
      <c r="AI365" s="1"/>
    </row>
    <row x14ac:dyDescent="0.25" r="366" customHeight="1" ht="18.75">
      <c r="A366" s="1" t="s">
        <v>765</v>
      </c>
      <c r="B366" s="14">
        <v>1.0048611111111112</v>
      </c>
      <c r="C366" s="3">
        <v>5.99</v>
      </c>
      <c r="D366" s="4"/>
      <c r="E366" s="4"/>
      <c r="F366" s="4">
        <f>TEXT(A366,"yyyy/mm/dd") &amp; " " &amp; TEXT(B366,"hh:mm:ss")</f>
      </c>
      <c r="G366" s="4" t="s">
        <v>409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1"/>
      <c r="AI366" s="1"/>
    </row>
    <row x14ac:dyDescent="0.25" r="367" customHeight="1" ht="18.75">
      <c r="A367" s="1" t="s">
        <v>766</v>
      </c>
      <c r="B367" s="14">
        <v>1.0118055555555556</v>
      </c>
      <c r="C367" s="3">
        <v>7.67</v>
      </c>
      <c r="D367" s="4"/>
      <c r="E367" s="4"/>
      <c r="F367" s="4">
        <f>TEXT(A367,"yyyy/mm/dd") &amp; " " &amp; TEXT(B367,"hh:mm:ss")</f>
      </c>
      <c r="G367" s="4" t="s">
        <v>410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1"/>
      <c r="AI367" s="1"/>
    </row>
    <row x14ac:dyDescent="0.25" r="368" customHeight="1" ht="18.75">
      <c r="A368" s="1" t="s">
        <v>767</v>
      </c>
      <c r="B368" s="14">
        <v>1.0118055555555556</v>
      </c>
      <c r="C368" s="3">
        <v>9.27</v>
      </c>
      <c r="D368" s="4"/>
      <c r="E368" s="4"/>
      <c r="F368" s="4">
        <f>TEXT(A368,"yyyy/mm/dd") &amp; " " &amp; TEXT(B368,"hh:mm:ss")</f>
      </c>
      <c r="G368" s="4" t="s">
        <v>411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1"/>
      <c r="AI368" s="1"/>
    </row>
    <row x14ac:dyDescent="0.25" r="369" customHeight="1" ht="18.75">
      <c r="A369" s="1" t="s">
        <v>768</v>
      </c>
      <c r="B369" s="14">
        <v>1.011111111111111</v>
      </c>
      <c r="C369" s="3">
        <v>7.56</v>
      </c>
      <c r="D369" s="4"/>
      <c r="E369" s="4"/>
      <c r="F369" s="4">
        <f>TEXT(A369,"yyyy/mm/dd") &amp; " " &amp; TEXT(B369,"hh:mm:ss")</f>
      </c>
      <c r="G369" s="4" t="s">
        <v>412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1"/>
      <c r="AI369" s="1"/>
    </row>
    <row x14ac:dyDescent="0.25" r="370" customHeight="1" ht="18.75">
      <c r="A370" s="1" t="s">
        <v>248</v>
      </c>
      <c r="B370" s="14">
        <v>1.4881944444444444</v>
      </c>
      <c r="C370" s="3">
        <v>3.29</v>
      </c>
      <c r="D370" s="4"/>
      <c r="E370" s="4"/>
      <c r="F370" s="4">
        <f>TEXT(A370,"yyyy/mm/dd") &amp; " " &amp; TEXT(B370,"hh:mm:ss")</f>
      </c>
      <c r="G370" s="4" t="s">
        <v>413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1"/>
      <c r="AI370" s="1"/>
    </row>
    <row x14ac:dyDescent="0.25" r="371" customHeight="1" ht="18.75">
      <c r="A371" s="1" t="s">
        <v>284</v>
      </c>
      <c r="B371" s="14">
        <v>1.0159722222222223</v>
      </c>
      <c r="C371" s="3">
        <v>1.71</v>
      </c>
      <c r="D371" s="4"/>
      <c r="E371" s="4"/>
      <c r="F371" s="4">
        <f>TEXT(A371,"yyyy/mm/dd") &amp; " " &amp; TEXT(B371,"hh:mm:ss")</f>
      </c>
      <c r="G371" s="4" t="s">
        <v>93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1"/>
      <c r="AI371" s="1"/>
    </row>
    <row x14ac:dyDescent="0.25" r="372" customHeight="1" ht="18.75">
      <c r="A372" s="21" t="s">
        <v>294</v>
      </c>
      <c r="B372" s="24">
        <v>1.0034722222222223</v>
      </c>
      <c r="C372" s="13">
        <v>0.657</v>
      </c>
      <c r="D372" s="4"/>
      <c r="E372" s="4"/>
      <c r="F372" s="4">
        <f>TEXT(A372,"yyyy/mm/dd") &amp; " " &amp; TEXT(B372,"hh:mm:ss")</f>
      </c>
      <c r="G372" s="20" t="s">
        <v>414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23"/>
      <c r="AI372" s="1"/>
    </row>
    <row x14ac:dyDescent="0.25" r="373" customHeight="1" ht="18.75">
      <c r="A373" s="1" t="s">
        <v>769</v>
      </c>
      <c r="B373" s="25">
        <v>1.042361111111111</v>
      </c>
      <c r="C373" s="3">
        <v>2.536</v>
      </c>
      <c r="D373" s="4"/>
      <c r="E373" s="4"/>
      <c r="F373" s="4">
        <f>TEXT(A373,"yyyy/mm/dd") &amp; " " &amp; TEXT(B373,"hh:mm:ss")</f>
      </c>
      <c r="G373" s="4" t="s">
        <v>416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1"/>
      <c r="AI373" s="1"/>
    </row>
    <row x14ac:dyDescent="0.25" r="374" customHeight="1" ht="18.75">
      <c r="A374" s="1" t="s">
        <v>769</v>
      </c>
      <c r="B374" s="14">
        <v>1.05625</v>
      </c>
      <c r="C374" s="3">
        <v>4.48</v>
      </c>
      <c r="D374" s="4"/>
      <c r="E374" s="4"/>
      <c r="F374" s="4">
        <f>TEXT(A374,"yyyy/mm/dd") &amp; " " &amp; TEXT(B374,"hh:mm:ss")</f>
      </c>
      <c r="G374" s="4" t="s">
        <v>417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1"/>
      <c r="AI374" s="1"/>
    </row>
    <row x14ac:dyDescent="0.25" r="375" customHeight="1" ht="18.75">
      <c r="A375" s="1" t="s">
        <v>769</v>
      </c>
      <c r="B375" s="14">
        <v>1.6527777777777777</v>
      </c>
      <c r="C375" s="3">
        <v>3.879</v>
      </c>
      <c r="D375" s="4"/>
      <c r="E375" s="4"/>
      <c r="F375" s="4">
        <f>TEXT(A375,"yyyy/mm/dd") &amp; " " &amp; TEXT(B375,"hh:mm:ss")</f>
      </c>
      <c r="G375" s="4" t="s">
        <v>418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1"/>
      <c r="AI375" s="1"/>
    </row>
    <row x14ac:dyDescent="0.25" r="376" customHeight="1" ht="18.75">
      <c r="A376" s="1" t="s">
        <v>770</v>
      </c>
      <c r="B376" s="14">
        <v>1.1034722222222222</v>
      </c>
      <c r="C376" s="3">
        <v>2.552</v>
      </c>
      <c r="D376" s="4"/>
      <c r="E376" s="4"/>
      <c r="F376" s="4">
        <f>TEXT(A376,"yyyy/mm/dd") &amp; " " &amp; TEXT(B376,"hh:mm:ss")</f>
      </c>
      <c r="G376" s="4" t="s">
        <v>419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1"/>
      <c r="AI376" s="1"/>
    </row>
    <row x14ac:dyDescent="0.25" r="377" customHeight="1" ht="18.75">
      <c r="A377" s="1" t="s">
        <v>771</v>
      </c>
      <c r="B377" s="14">
        <v>1.020138888888889</v>
      </c>
      <c r="C377" s="3">
        <v>3.501</v>
      </c>
      <c r="D377" s="4"/>
      <c r="E377" s="4"/>
      <c r="F377" s="4">
        <f>TEXT(A377,"yyyy/mm/dd") &amp; " " &amp; TEXT(B377,"hh:mm:ss")</f>
      </c>
      <c r="G377" s="4" t="s">
        <v>420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1"/>
      <c r="AI377" s="1"/>
    </row>
    <row x14ac:dyDescent="0.25" r="378" customHeight="1" ht="18.75">
      <c r="A378" s="1" t="s">
        <v>772</v>
      </c>
      <c r="B378" s="14">
        <v>1.0215277777777778</v>
      </c>
      <c r="C378" s="3">
        <v>4.69</v>
      </c>
      <c r="D378" s="4"/>
      <c r="E378" s="4"/>
      <c r="F378" s="4">
        <f>TEXT(A378,"yyyy/mm/dd") &amp; " " &amp; TEXT(B378,"hh:mm:ss")</f>
      </c>
      <c r="G378" s="4" t="s">
        <v>421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1"/>
      <c r="AI378" s="1"/>
    </row>
    <row x14ac:dyDescent="0.25" r="379" customHeight="1" ht="18.75">
      <c r="A379" s="1" t="s">
        <v>773</v>
      </c>
      <c r="B379" s="14">
        <v>1.0027777777777778</v>
      </c>
      <c r="C379" s="3">
        <v>4.72</v>
      </c>
      <c r="D379" s="4"/>
      <c r="E379" s="4"/>
      <c r="F379" s="4">
        <f>TEXT(A379,"yyyy/mm/dd") &amp; " " &amp; TEXT(B379,"hh:mm:ss")</f>
      </c>
      <c r="G379" s="4" t="s">
        <v>422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1"/>
      <c r="AI379" s="1"/>
    </row>
    <row x14ac:dyDescent="0.25" r="380" customHeight="1" ht="18.75">
      <c r="A380" s="1" t="s">
        <v>774</v>
      </c>
      <c r="B380" s="14">
        <v>1.0138888888888888</v>
      </c>
      <c r="C380" s="3">
        <v>3.146</v>
      </c>
      <c r="D380" s="4"/>
      <c r="E380" s="4"/>
      <c r="F380" s="4">
        <f>TEXT(A380,"yyyy/mm/dd") &amp; " " &amp; TEXT(B380,"hh:mm:ss")</f>
      </c>
      <c r="G380" s="4" t="s">
        <v>423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1"/>
      <c r="AI380" s="1"/>
    </row>
    <row x14ac:dyDescent="0.25" r="381" customHeight="1" ht="18.75">
      <c r="A381" s="1" t="s">
        <v>775</v>
      </c>
      <c r="B381" s="14">
        <v>1.0027777777777778</v>
      </c>
      <c r="C381" s="3">
        <v>1.765</v>
      </c>
      <c r="D381" s="4"/>
      <c r="E381" s="4"/>
      <c r="F381" s="4">
        <f>TEXT(A381,"yyyy/mm/dd") &amp; " " &amp; TEXT(B381,"hh:mm:ss")</f>
      </c>
      <c r="G381" s="4" t="s">
        <v>424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1"/>
      <c r="AI381" s="1"/>
    </row>
    <row x14ac:dyDescent="0.25" r="382" customHeight="1" ht="18.75">
      <c r="A382" s="1" t="s">
        <v>776</v>
      </c>
      <c r="B382" s="14">
        <v>1.0034722222222223</v>
      </c>
      <c r="C382" s="3">
        <v>0.9054</v>
      </c>
      <c r="D382" s="4"/>
      <c r="E382" s="4"/>
      <c r="F382" s="4">
        <f>TEXT(A382,"yyyy/mm/dd") &amp; " " &amp; TEXT(B382,"hh:mm:ss")</f>
      </c>
      <c r="G382" s="4" t="s">
        <v>425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1"/>
      <c r="AI382" s="1"/>
    </row>
    <row x14ac:dyDescent="0.25" r="383" customHeight="1" ht="18.75">
      <c r="A383" s="1" t="s">
        <v>777</v>
      </c>
      <c r="B383" s="14">
        <v>1.0034722222222223</v>
      </c>
      <c r="C383" s="3">
        <v>0.4838</v>
      </c>
      <c r="D383" s="4"/>
      <c r="E383" s="4"/>
      <c r="F383" s="4">
        <f>TEXT(A383,"yyyy/mm/dd") &amp; " " &amp; TEXT(B383,"hh:mm:ss")</f>
      </c>
      <c r="G383" s="4" t="s">
        <v>426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1"/>
      <c r="AI383" s="1"/>
    </row>
    <row x14ac:dyDescent="0.25" r="384" customHeight="1" ht="18.75">
      <c r="A384" s="1" t="s">
        <v>778</v>
      </c>
      <c r="B384" s="14">
        <v>1.0027777777777778</v>
      </c>
      <c r="C384" s="3">
        <v>0.25939999999999996</v>
      </c>
      <c r="D384" s="4"/>
      <c r="E384" s="4"/>
      <c r="F384" s="4">
        <f>TEXT(A384,"yyyy/mm/dd") &amp; " " &amp; TEXT(B384,"hh:mm:ss")</f>
      </c>
      <c r="G384" s="4" t="s">
        <v>427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1"/>
      <c r="AI384" s="1"/>
    </row>
    <row x14ac:dyDescent="0.25" r="385" customHeight="1" ht="18.75">
      <c r="A385" s="1" t="s">
        <v>779</v>
      </c>
      <c r="B385" s="14">
        <v>1.2409722222222221</v>
      </c>
      <c r="C385" s="3">
        <v>0.13119999999999998</v>
      </c>
      <c r="D385" s="4"/>
      <c r="E385" s="4"/>
      <c r="F385" s="4">
        <f>TEXT(A385,"yyyy/mm/dd") &amp; " " &amp; TEXT(B385,"hh:mm:ss")</f>
      </c>
      <c r="G385" s="4" t="s">
        <v>428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1"/>
      <c r="AI385" s="1"/>
    </row>
    <row x14ac:dyDescent="0.25" r="386" customHeight="1" ht="18.75">
      <c r="A386" s="1" t="s">
        <v>780</v>
      </c>
      <c r="B386" s="14">
        <v>1.0020833333333334</v>
      </c>
      <c r="C386" s="3">
        <v>0.0729</v>
      </c>
      <c r="D386" s="4"/>
      <c r="E386" s="4"/>
      <c r="F386" s="4">
        <f>TEXT(A386,"yyyy/mm/dd") &amp; " " &amp; TEXT(B386,"hh:mm:ss")</f>
      </c>
      <c r="G386" s="4" t="s">
        <v>429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1"/>
      <c r="AI386" s="1"/>
    </row>
    <row x14ac:dyDescent="0.25" r="387" customHeight="1" ht="18.75">
      <c r="A387" s="1" t="s">
        <v>781</v>
      </c>
      <c r="B387" s="14">
        <v>1.0027777777777778</v>
      </c>
      <c r="C387" s="3">
        <v>0.0423</v>
      </c>
      <c r="D387" s="4"/>
      <c r="E387" s="4"/>
      <c r="F387" s="4">
        <f>TEXT(A387,"yyyy/mm/dd") &amp; " " &amp; TEXT(B387,"hh:mm:ss")</f>
      </c>
      <c r="G387" s="4" t="s">
        <v>430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1"/>
      <c r="AI387" s="1"/>
    </row>
    <row x14ac:dyDescent="0.25" r="388" customHeight="1" ht="18.75">
      <c r="A388" s="1" t="s">
        <v>782</v>
      </c>
      <c r="B388" s="14">
        <v>1.0451388888888888</v>
      </c>
      <c r="C388" s="3">
        <v>0.0294</v>
      </c>
      <c r="D388" s="4"/>
      <c r="E388" s="4"/>
      <c r="F388" s="4">
        <f>TEXT(A388,"yyyy/mm/dd") &amp; " " &amp; TEXT(B388,"hh:mm:ss")</f>
      </c>
      <c r="G388" s="4" t="s">
        <v>431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1"/>
      <c r="AI388" s="1"/>
    </row>
    <row x14ac:dyDescent="0.25" r="389" customHeight="1" ht="18.75">
      <c r="A389" s="1" t="s">
        <v>783</v>
      </c>
      <c r="B389" s="14">
        <v>1.0055555555555555</v>
      </c>
      <c r="C389" s="3">
        <v>0.0217</v>
      </c>
      <c r="D389" s="4"/>
      <c r="E389" s="4"/>
      <c r="F389" s="4">
        <f>TEXT(A389,"yyyy/mm/dd") &amp; " " &amp; TEXT(B389,"hh:mm:ss")</f>
      </c>
      <c r="G389" s="4" t="s">
        <v>432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1"/>
      <c r="AI389" s="1"/>
    </row>
    <row x14ac:dyDescent="0.25" r="390" customHeight="1" ht="18.75">
      <c r="A390" s="21" t="s">
        <v>784</v>
      </c>
      <c r="B390" s="22">
        <v>1.0090277777777779</v>
      </c>
      <c r="C390" s="13">
        <v>0.0182</v>
      </c>
      <c r="D390" s="4"/>
      <c r="E390" s="4"/>
      <c r="F390" s="4">
        <f>TEXT(A390,"yyyy/mm/dd") &amp; " " &amp; TEXT(B390,"hh:mm:ss")</f>
      </c>
      <c r="G390" s="20" t="s">
        <v>433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23"/>
      <c r="AI390" s="1"/>
    </row>
    <row x14ac:dyDescent="0.25" r="391" customHeight="1" ht="18.75">
      <c r="A391" s="1" t="s">
        <v>785</v>
      </c>
      <c r="B391" s="14">
        <v>1.682638888888889</v>
      </c>
      <c r="C391" s="3">
        <v>0.2377</v>
      </c>
      <c r="D391" s="4"/>
      <c r="E391" s="4"/>
      <c r="F391" s="4">
        <f>TEXT(A391,"yyyy/mm/dd") &amp; " " &amp; TEXT(B391,"hh:mm:ss")</f>
      </c>
      <c r="G391" s="4" t="s">
        <v>435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1"/>
      <c r="AI391" s="1"/>
    </row>
    <row x14ac:dyDescent="0.25" r="392" customHeight="1" ht="18.75">
      <c r="A392" s="1" t="s">
        <v>785</v>
      </c>
      <c r="B392" s="14">
        <v>1.8972222222222221</v>
      </c>
      <c r="C392" s="3">
        <v>0.18619999999999998</v>
      </c>
      <c r="D392" s="4"/>
      <c r="E392" s="4"/>
      <c r="F392" s="4">
        <f>TEXT(A392,"yyyy/mm/dd") &amp; " " &amp; TEXT(B392,"hh:mm:ss")</f>
      </c>
      <c r="G392" s="4" t="s">
        <v>436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1"/>
      <c r="AI392" s="1"/>
    </row>
    <row x14ac:dyDescent="0.25" r="393" customHeight="1" ht="18.75">
      <c r="A393" s="1" t="s">
        <v>786</v>
      </c>
      <c r="B393" s="14">
        <v>1.0069444444444444</v>
      </c>
      <c r="C393" s="3">
        <v>0.109</v>
      </c>
      <c r="D393" s="4"/>
      <c r="E393" s="4"/>
      <c r="F393" s="4">
        <f>TEXT(A393,"yyyy/mm/dd") &amp; " " &amp; TEXT(B393,"hh:mm:ss")</f>
      </c>
      <c r="G393" s="4" t="s">
        <v>437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1"/>
      <c r="AI393" s="1"/>
    </row>
    <row x14ac:dyDescent="0.25" r="394" customHeight="1" ht="18.75">
      <c r="A394" s="1" t="s">
        <v>787</v>
      </c>
      <c r="B394" s="14">
        <v>1.0194444444444444</v>
      </c>
      <c r="C394" s="3">
        <v>0.0717</v>
      </c>
      <c r="D394" s="4"/>
      <c r="E394" s="4"/>
      <c r="F394" s="4">
        <f>TEXT(A394,"yyyy/mm/dd") &amp; " " &amp; TEXT(B394,"hh:mm:ss")</f>
      </c>
      <c r="G394" s="4" t="s">
        <v>438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1"/>
      <c r="AI394" s="1"/>
    </row>
    <row x14ac:dyDescent="0.25" r="395" customHeight="1" ht="18.75">
      <c r="A395" s="1" t="s">
        <v>788</v>
      </c>
      <c r="B395" s="14">
        <v>1.020138888888889</v>
      </c>
      <c r="C395" s="3">
        <v>0.0592</v>
      </c>
      <c r="D395" s="4"/>
      <c r="E395" s="4"/>
      <c r="F395" s="4">
        <f>TEXT(A395,"yyyy/mm/dd") &amp; " " &amp; TEXT(B395,"hh:mm:ss")</f>
      </c>
      <c r="G395" s="4" t="s">
        <v>439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1"/>
      <c r="AI395" s="1"/>
    </row>
    <row x14ac:dyDescent="0.25" r="396" customHeight="1" ht="18.75">
      <c r="A396" s="1" t="s">
        <v>789</v>
      </c>
      <c r="B396" s="14">
        <v>1.0041666666666667</v>
      </c>
      <c r="C396" s="3">
        <v>0.0416</v>
      </c>
      <c r="D396" s="4"/>
      <c r="E396" s="4"/>
      <c r="F396" s="4">
        <f>TEXT(A396,"yyyy/mm/dd") &amp; " " &amp; TEXT(B396,"hh:mm:ss")</f>
      </c>
      <c r="G396" s="4" t="s">
        <v>440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1"/>
      <c r="AI396" s="1"/>
    </row>
    <row x14ac:dyDescent="0.25" r="397" customHeight="1" ht="18.75">
      <c r="A397" s="1" t="s">
        <v>790</v>
      </c>
      <c r="B397" s="14">
        <v>1.0020833333333334</v>
      </c>
      <c r="C397" s="3">
        <v>0.0219</v>
      </c>
      <c r="D397" s="4"/>
      <c r="E397" s="4"/>
      <c r="F397" s="4">
        <f>TEXT(A397,"yyyy/mm/dd") &amp; " " &amp; TEXT(B397,"hh:mm:ss")</f>
      </c>
      <c r="G397" s="4" t="s">
        <v>441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1"/>
      <c r="AI397" s="1"/>
    </row>
    <row x14ac:dyDescent="0.25" r="398" customHeight="1" ht="18.75">
      <c r="A398" s="1" t="s">
        <v>791</v>
      </c>
      <c r="B398" s="14">
        <v>1.0027777777777778</v>
      </c>
      <c r="C398" s="3">
        <v>0.0094</v>
      </c>
      <c r="D398" s="4"/>
      <c r="E398" s="4"/>
      <c r="F398" s="4">
        <f>TEXT(A398,"yyyy/mm/dd") &amp; " " &amp; TEXT(B398,"hh:mm:ss")</f>
      </c>
      <c r="G398" s="4" t="s">
        <v>442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1"/>
      <c r="AI398" s="1"/>
    </row>
    <row x14ac:dyDescent="0.25" r="399" customHeight="1" ht="18.75">
      <c r="A399" s="21" t="s">
        <v>792</v>
      </c>
      <c r="B399" s="24">
        <v>1.0048611111111112</v>
      </c>
      <c r="C399" s="13">
        <v>0.0074</v>
      </c>
      <c r="D399" s="4"/>
      <c r="E399" s="4"/>
      <c r="F399" s="4">
        <f>TEXT(A399,"yyyy/mm/dd") &amp; " " &amp; TEXT(B399,"hh:mm:ss")</f>
      </c>
      <c r="G399" s="20" t="s">
        <v>443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23"/>
      <c r="AI399" s="1"/>
    </row>
    <row x14ac:dyDescent="0.25" r="400" customHeight="1" ht="18.75">
      <c r="A400" s="1" t="s">
        <v>109</v>
      </c>
      <c r="B400" s="14">
        <v>1.8770833333333332</v>
      </c>
      <c r="C400" s="3">
        <v>0.3103</v>
      </c>
      <c r="D400" s="4"/>
      <c r="E400" s="4"/>
      <c r="F400" s="4">
        <f>TEXT(A400,"yyyy/mm/dd") &amp; " " &amp; TEXT(B400,"hh:mm:ss")</f>
      </c>
      <c r="G400" s="4" t="s">
        <v>445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1"/>
      <c r="AI400" s="1"/>
    </row>
    <row x14ac:dyDescent="0.25" r="401" customHeight="1" ht="18.75">
      <c r="A401" s="1" t="s">
        <v>793</v>
      </c>
      <c r="B401" s="14">
        <v>1.0013888888888889</v>
      </c>
      <c r="C401" s="3">
        <v>1.752</v>
      </c>
      <c r="D401" s="4"/>
      <c r="E401" s="4"/>
      <c r="F401" s="4">
        <f>TEXT(A401,"yyyy/mm/dd") &amp; " " &amp; TEXT(B401,"hh:mm:ss")</f>
      </c>
      <c r="G401" s="4" t="s">
        <v>446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1"/>
      <c r="AI401" s="1"/>
    </row>
    <row x14ac:dyDescent="0.25" r="402" customHeight="1" ht="18.75">
      <c r="A402" s="1" t="s">
        <v>793</v>
      </c>
      <c r="B402" s="14">
        <v>1.0048611111111112</v>
      </c>
      <c r="C402" s="3">
        <v>1.469</v>
      </c>
      <c r="D402" s="4"/>
      <c r="E402" s="4"/>
      <c r="F402" s="4">
        <f>TEXT(A402,"yyyy/mm/dd") &amp; " " &amp; TEXT(B402,"hh:mm:ss")</f>
      </c>
      <c r="G402" s="4" t="s">
        <v>447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1"/>
      <c r="AI402" s="1"/>
    </row>
    <row x14ac:dyDescent="0.25" r="403" customHeight="1" ht="18.75">
      <c r="A403" s="1" t="s">
        <v>793</v>
      </c>
      <c r="B403" s="14">
        <v>1.6944444444444444</v>
      </c>
      <c r="C403" s="3">
        <v>2.038</v>
      </c>
      <c r="D403" s="4"/>
      <c r="E403" s="4"/>
      <c r="F403" s="4">
        <f>TEXT(A403,"yyyy/mm/dd") &amp; " " &amp; TEXT(B403,"hh:mm:ss")</f>
      </c>
      <c r="G403" s="4" t="s">
        <v>448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1"/>
      <c r="AI403" s="1"/>
    </row>
    <row x14ac:dyDescent="0.25" r="404" customHeight="1" ht="18.75">
      <c r="A404" s="1" t="s">
        <v>794</v>
      </c>
      <c r="B404" s="14">
        <v>1.0013888888888889</v>
      </c>
      <c r="C404" s="3">
        <v>2.201</v>
      </c>
      <c r="D404" s="4"/>
      <c r="E404" s="4"/>
      <c r="F404" s="4">
        <f>TEXT(A404,"yyyy/mm/dd") &amp; " " &amp; TEXT(B404,"hh:mm:ss")</f>
      </c>
      <c r="G404" s="4" t="s">
        <v>449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1"/>
      <c r="AI404" s="1"/>
    </row>
    <row x14ac:dyDescent="0.25" r="405" customHeight="1" ht="18.75">
      <c r="A405" s="1" t="s">
        <v>795</v>
      </c>
      <c r="B405" s="14">
        <v>1.0104166666666667</v>
      </c>
      <c r="C405" s="3">
        <v>2.963</v>
      </c>
      <c r="D405" s="4"/>
      <c r="E405" s="4"/>
      <c r="F405" s="4">
        <f>TEXT(A405,"yyyy/mm/dd") &amp; " " &amp; TEXT(B405,"hh:mm:ss")</f>
      </c>
      <c r="G405" s="4" t="s">
        <v>450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1"/>
      <c r="AI405" s="1"/>
    </row>
    <row x14ac:dyDescent="0.25" r="406" customHeight="1" ht="18.75">
      <c r="A406" s="1" t="s">
        <v>785</v>
      </c>
      <c r="B406" s="14">
        <v>1.0291666666666666</v>
      </c>
      <c r="C406" s="3">
        <v>2.72</v>
      </c>
      <c r="D406" s="4"/>
      <c r="E406" s="4"/>
      <c r="F406" s="4">
        <f>TEXT(A406,"yyyy/mm/dd") &amp; " " &amp; TEXT(B406,"hh:mm:ss")</f>
      </c>
      <c r="G406" s="4" t="s">
        <v>451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1"/>
      <c r="AI406" s="1"/>
    </row>
    <row x14ac:dyDescent="0.25" r="407" customHeight="1" ht="18.75">
      <c r="A407" s="1" t="s">
        <v>785</v>
      </c>
      <c r="B407" s="14">
        <v>1.6583333333333332</v>
      </c>
      <c r="C407" s="3">
        <v>2.043</v>
      </c>
      <c r="D407" s="4"/>
      <c r="E407" s="4"/>
      <c r="F407" s="4">
        <f>TEXT(A407,"yyyy/mm/dd") &amp; " " &amp; TEXT(B407,"hh:mm:ss")</f>
      </c>
      <c r="G407" s="4" t="s">
        <v>452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1"/>
      <c r="AI407" s="1"/>
    </row>
    <row x14ac:dyDescent="0.25" r="408" customHeight="1" ht="18.75">
      <c r="A408" s="1" t="s">
        <v>786</v>
      </c>
      <c r="B408" s="14">
        <v>1.0069444444444444</v>
      </c>
      <c r="C408" s="3">
        <v>1.342</v>
      </c>
      <c r="D408" s="4"/>
      <c r="E408" s="4"/>
      <c r="F408" s="4">
        <f>TEXT(A408,"yyyy/mm/dd") &amp; " " &amp; TEXT(B408,"hh:mm:ss")</f>
      </c>
      <c r="G408" s="4" t="s">
        <v>437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1"/>
      <c r="AI408" s="1"/>
    </row>
    <row x14ac:dyDescent="0.25" r="409" customHeight="1" ht="18.75">
      <c r="A409" s="1" t="s">
        <v>787</v>
      </c>
      <c r="B409" s="14">
        <v>1.0034722222222223</v>
      </c>
      <c r="C409" s="3">
        <v>0.3865</v>
      </c>
      <c r="D409" s="4"/>
      <c r="E409" s="4"/>
      <c r="F409" s="4">
        <f>TEXT(A409,"yyyy/mm/dd") &amp; " " &amp; TEXT(B409,"hh:mm:ss")</f>
      </c>
      <c r="G409" s="4" t="s">
        <v>453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1"/>
      <c r="AI409" s="1"/>
    </row>
    <row x14ac:dyDescent="0.25" r="410" customHeight="1" ht="18.75">
      <c r="A410" s="21" t="s">
        <v>788</v>
      </c>
      <c r="B410" s="24">
        <v>1.020138888888889</v>
      </c>
      <c r="C410" s="13">
        <v>0.0991</v>
      </c>
      <c r="D410" s="4"/>
      <c r="E410" s="4"/>
      <c r="F410" s="4">
        <f>TEXT(A410,"yyyy/mm/dd") &amp; " " &amp; TEXT(B410,"hh:mm:ss")</f>
      </c>
      <c r="G410" s="20" t="s">
        <v>439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23"/>
      <c r="AI410" s="1"/>
    </row>
    <row x14ac:dyDescent="0.25" r="411" customHeight="1" ht="18.75">
      <c r="A411" s="1" t="s">
        <v>796</v>
      </c>
      <c r="B411" s="14">
        <v>1.4666666666666668</v>
      </c>
      <c r="C411" s="3">
        <v>4.592</v>
      </c>
      <c r="D411" s="4"/>
      <c r="E411" s="4"/>
      <c r="F411" s="4">
        <f>TEXT(A411,"yyyy/mm/dd") &amp; " " &amp; TEXT(B411,"hh:mm:ss")</f>
      </c>
      <c r="G411" s="4" t="s">
        <v>455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1"/>
      <c r="AI411" s="1"/>
    </row>
    <row x14ac:dyDescent="0.25" r="412" customHeight="1" ht="18.75">
      <c r="A412" s="1" t="s">
        <v>796</v>
      </c>
      <c r="B412" s="14">
        <v>1.7263888888888888</v>
      </c>
      <c r="C412" s="3">
        <v>7.594</v>
      </c>
      <c r="D412" s="4"/>
      <c r="E412" s="4"/>
      <c r="F412" s="4">
        <f>TEXT(A412,"yyyy/mm/dd") &amp; " " &amp; TEXT(B412,"hh:mm:ss")</f>
      </c>
      <c r="G412" s="4" t="s">
        <v>456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1"/>
      <c r="AI412" s="1"/>
    </row>
    <row x14ac:dyDescent="0.25" r="413" customHeight="1" ht="18.75">
      <c r="A413" s="1" t="s">
        <v>797</v>
      </c>
      <c r="B413" s="14">
        <v>1.0055555555555555</v>
      </c>
      <c r="C413" s="3">
        <v>3.812</v>
      </c>
      <c r="D413" s="4"/>
      <c r="E413" s="4"/>
      <c r="F413" s="4">
        <f>TEXT(A413,"yyyy/mm/dd") &amp; " " &amp; TEXT(B413,"hh:mm:ss")</f>
      </c>
      <c r="G413" s="4" t="s">
        <v>457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1"/>
      <c r="AI413" s="1"/>
    </row>
    <row x14ac:dyDescent="0.25" r="414" customHeight="1" ht="18.75">
      <c r="A414" s="1" t="s">
        <v>462</v>
      </c>
      <c r="B414" s="14">
        <v>1.00625</v>
      </c>
      <c r="C414" s="3">
        <v>3.519</v>
      </c>
      <c r="D414" s="4"/>
      <c r="E414" s="4"/>
      <c r="F414" s="4">
        <f>TEXT(A414,"yyyy/mm/dd") &amp; " " &amp; TEXT(B414,"hh:mm:ss")</f>
      </c>
      <c r="G414" s="4" t="s">
        <v>458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1"/>
      <c r="AI414" s="1"/>
    </row>
    <row x14ac:dyDescent="0.25" r="415" customHeight="1" ht="18.75">
      <c r="A415" s="1" t="s">
        <v>478</v>
      </c>
      <c r="B415" s="14">
        <v>1.0034722222222223</v>
      </c>
      <c r="C415" s="3">
        <v>4.078</v>
      </c>
      <c r="D415" s="4"/>
      <c r="E415" s="4"/>
      <c r="F415" s="4">
        <f>TEXT(A415,"yyyy/mm/dd") &amp; " " &amp; TEXT(B415,"hh:mm:ss")</f>
      </c>
      <c r="G415" s="4" t="s">
        <v>113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1"/>
      <c r="AI415" s="1"/>
    </row>
    <row x14ac:dyDescent="0.25" r="416" customHeight="1" ht="18.75">
      <c r="A416" s="1" t="s">
        <v>487</v>
      </c>
      <c r="B416" s="14">
        <v>1.0048611111111112</v>
      </c>
      <c r="C416" s="3">
        <v>2.724</v>
      </c>
      <c r="D416" s="4"/>
      <c r="E416" s="4"/>
      <c r="F416" s="4">
        <f>TEXT(A416,"yyyy/mm/dd") &amp; " " &amp; TEXT(B416,"hh:mm:ss")</f>
      </c>
      <c r="G416" s="4" t="s">
        <v>114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1"/>
      <c r="AI416" s="1"/>
    </row>
    <row x14ac:dyDescent="0.25" r="417" customHeight="1" ht="18.75">
      <c r="A417" s="1" t="s">
        <v>500</v>
      </c>
      <c r="B417" s="14">
        <v>1.0145833333333334</v>
      </c>
      <c r="C417" s="3">
        <v>1.635</v>
      </c>
      <c r="D417" s="4"/>
      <c r="E417" s="4"/>
      <c r="F417" s="4">
        <f>TEXT(A417,"yyyy/mm/dd") &amp; " " &amp; TEXT(B417,"hh:mm:ss")</f>
      </c>
      <c r="G417" s="4" t="s">
        <v>115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1"/>
      <c r="AI417" s="1"/>
    </row>
    <row x14ac:dyDescent="0.25" r="418" customHeight="1" ht="18.75">
      <c r="A418" s="1" t="s">
        <v>508</v>
      </c>
      <c r="B418" s="14">
        <v>1.01875</v>
      </c>
      <c r="C418" s="3">
        <v>0.8617</v>
      </c>
      <c r="D418" s="4"/>
      <c r="E418" s="4"/>
      <c r="F418" s="4">
        <f>TEXT(A418,"yyyy/mm/dd") &amp; " " &amp; TEXT(B418,"hh:mm:ss")</f>
      </c>
      <c r="G418" s="4" t="s">
        <v>116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1"/>
      <c r="AI418" s="1"/>
    </row>
    <row x14ac:dyDescent="0.25" r="419" customHeight="1" ht="18.75">
      <c r="A419" s="1" t="s">
        <v>519</v>
      </c>
      <c r="B419" s="14">
        <v>1.011111111111111</v>
      </c>
      <c r="C419" s="3">
        <v>0.5237</v>
      </c>
      <c r="D419" s="4"/>
      <c r="E419" s="4"/>
      <c r="F419" s="4">
        <f>TEXT(A419,"yyyy/mm/dd") &amp; " " &amp; TEXT(B419,"hh:mm:ss")</f>
      </c>
      <c r="G419" s="4" t="s">
        <v>459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1"/>
      <c r="AI419" s="1"/>
    </row>
    <row x14ac:dyDescent="0.25" r="420" customHeight="1" ht="18.75">
      <c r="A420" s="1" t="s">
        <v>519</v>
      </c>
      <c r="B420" s="14">
        <v>1.9180555555555556</v>
      </c>
      <c r="C420" s="3">
        <v>0.5035</v>
      </c>
      <c r="D420" s="4"/>
      <c r="E420" s="4"/>
      <c r="F420" s="4">
        <f>TEXT(A420,"yyyy/mm/dd") &amp; " " &amp; TEXT(B420,"hh:mm:ss")</f>
      </c>
      <c r="G420" s="4" t="s">
        <v>460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1"/>
      <c r="AI420" s="1"/>
    </row>
    <row x14ac:dyDescent="0.25" r="421" customHeight="1" ht="18.75">
      <c r="A421" s="1" t="s">
        <v>529</v>
      </c>
      <c r="B421" s="14">
        <v>1.0097222222222222</v>
      </c>
      <c r="C421" s="3">
        <v>0.6762999999999999</v>
      </c>
      <c r="D421" s="4"/>
      <c r="E421" s="4"/>
      <c r="F421" s="4">
        <f>TEXT(A421,"yyyy/mm/dd") &amp; " " &amp; TEXT(B421,"hh:mm:ss")</f>
      </c>
      <c r="G421" s="4" t="s">
        <v>461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1"/>
      <c r="AI421" s="1"/>
    </row>
    <row x14ac:dyDescent="0.25" r="422" customHeight="1" ht="18.75">
      <c r="A422" s="21" t="s">
        <v>549</v>
      </c>
      <c r="B422" s="24">
        <v>1.2583333333333333</v>
      </c>
      <c r="C422" s="13">
        <v>0.4093</v>
      </c>
      <c r="D422" s="4"/>
      <c r="E422" s="4"/>
      <c r="F422" s="4">
        <f>TEXT(A422,"yyyy/mm/dd") &amp; " " &amp; TEXT(B422,"hh:mm:ss")</f>
      </c>
      <c r="G422" s="20" t="s">
        <v>120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23"/>
      <c r="AI422" s="1"/>
    </row>
    <row x14ac:dyDescent="0.25" r="423" customHeight="1" ht="18.75">
      <c r="A423" s="1" t="s">
        <v>798</v>
      </c>
      <c r="B423" s="14">
        <v>1.8479166666666667</v>
      </c>
      <c r="C423" s="3">
        <v>1.106</v>
      </c>
      <c r="D423" s="4"/>
      <c r="E423" s="4"/>
      <c r="F423" s="4">
        <f>TEXT(A423,"yyyy/mm/dd") &amp; " " &amp; TEXT(B423,"hh:mm:ss")</f>
      </c>
      <c r="G423" s="4" t="s">
        <v>463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1"/>
      <c r="AI423" s="1"/>
    </row>
    <row x14ac:dyDescent="0.25" r="424" customHeight="1" ht="18.75">
      <c r="A424" s="1" t="s">
        <v>798</v>
      </c>
      <c r="B424" s="14">
        <v>1.9652777777777777</v>
      </c>
      <c r="C424" s="3">
        <v>1.861</v>
      </c>
      <c r="D424" s="4"/>
      <c r="E424" s="4"/>
      <c r="F424" s="4">
        <f>TEXT(A424,"yyyy/mm/dd") &amp; " " &amp; TEXT(B424,"hh:mm:ss")</f>
      </c>
      <c r="G424" s="4" t="s">
        <v>464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1"/>
      <c r="AI424" s="1"/>
    </row>
    <row x14ac:dyDescent="0.25" r="425" customHeight="1" ht="18.75">
      <c r="A425" s="1" t="s">
        <v>799</v>
      </c>
      <c r="B425" s="14">
        <v>1.0048611111111112</v>
      </c>
      <c r="C425" s="3">
        <v>2.766</v>
      </c>
      <c r="D425" s="4"/>
      <c r="E425" s="4"/>
      <c r="F425" s="4">
        <f>TEXT(A425,"yyyy/mm/dd") &amp; " " &amp; TEXT(B425,"hh:mm:ss")</f>
      </c>
      <c r="G425" s="4" t="s">
        <v>465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1"/>
      <c r="AI425" s="1"/>
    </row>
    <row x14ac:dyDescent="0.25" r="426" customHeight="1" ht="18.75">
      <c r="A426" s="1" t="s">
        <v>800</v>
      </c>
      <c r="B426" s="14">
        <v>1.0125</v>
      </c>
      <c r="C426" s="3">
        <v>0.9432</v>
      </c>
      <c r="D426" s="4"/>
      <c r="E426" s="4"/>
      <c r="F426" s="4">
        <f>TEXT(A426,"yyyy/mm/dd") &amp; " " &amp; TEXT(B426,"hh:mm:ss")</f>
      </c>
      <c r="G426" s="4" t="s">
        <v>466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1"/>
      <c r="AI426" s="1"/>
    </row>
    <row x14ac:dyDescent="0.25" r="427" customHeight="1" ht="18.75">
      <c r="A427" s="1" t="s">
        <v>801</v>
      </c>
      <c r="B427" s="14">
        <v>1.0145833333333334</v>
      </c>
      <c r="C427" s="3">
        <v>0.8925</v>
      </c>
      <c r="D427" s="4"/>
      <c r="E427" s="4"/>
      <c r="F427" s="4">
        <f>TEXT(A427,"yyyy/mm/dd") &amp; " " &amp; TEXT(B427,"hh:mm:ss")</f>
      </c>
      <c r="G427" s="4" t="s">
        <v>467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1"/>
      <c r="AI427" s="1"/>
    </row>
    <row x14ac:dyDescent="0.25" r="428" customHeight="1" ht="18.75">
      <c r="A428" s="1" t="s">
        <v>802</v>
      </c>
      <c r="B428" s="14">
        <v>1.0097222222222222</v>
      </c>
      <c r="C428" s="3">
        <v>0.9709</v>
      </c>
      <c r="D428" s="4"/>
      <c r="E428" s="4"/>
      <c r="F428" s="4">
        <f>TEXT(A428,"yyyy/mm/dd") &amp; " " &amp; TEXT(B428,"hh:mm:ss")</f>
      </c>
      <c r="G428" s="4" t="s">
        <v>468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1"/>
      <c r="AI428" s="1"/>
    </row>
    <row x14ac:dyDescent="0.25" r="429" customHeight="1" ht="18.75">
      <c r="A429" s="1" t="s">
        <v>803</v>
      </c>
      <c r="B429" s="14">
        <v>1.0041666666666667</v>
      </c>
      <c r="C429" s="3">
        <v>0.7397</v>
      </c>
      <c r="D429" s="4"/>
      <c r="E429" s="4"/>
      <c r="F429" s="4">
        <f>TEXT(A429,"yyyy/mm/dd") &amp; " " &amp; TEXT(B429,"hh:mm:ss")</f>
      </c>
      <c r="G429" s="4" t="s">
        <v>469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1"/>
      <c r="AI429" s="1"/>
    </row>
    <row x14ac:dyDescent="0.25" r="430" customHeight="1" ht="18.75">
      <c r="A430" s="21" t="s">
        <v>804</v>
      </c>
      <c r="B430" s="24">
        <v>1.0034722222222223</v>
      </c>
      <c r="C430" s="13">
        <v>0.4382</v>
      </c>
      <c r="D430" s="4"/>
      <c r="E430" s="4"/>
      <c r="F430" s="4">
        <f>TEXT(A430,"yyyy/mm/dd") &amp; " " &amp; TEXT(B430,"hh:mm:ss")</f>
      </c>
      <c r="G430" s="20" t="s">
        <v>470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23"/>
      <c r="AI430" s="1"/>
    </row>
    <row x14ac:dyDescent="0.25" r="431" customHeight="1" ht="18.75">
      <c r="A431" s="1" t="s">
        <v>695</v>
      </c>
      <c r="B431" s="14">
        <v>1.6145833333333335</v>
      </c>
      <c r="C431" s="3">
        <v>0.2339</v>
      </c>
      <c r="D431" s="4"/>
      <c r="E431" s="4"/>
      <c r="F431" s="4">
        <f>TEXT(A431,"yyyy/mm/dd") &amp; " " &amp; TEXT(B431,"hh:mm:ss")</f>
      </c>
      <c r="G431" s="4" t="s">
        <v>471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1"/>
      <c r="AI431" s="1"/>
    </row>
    <row x14ac:dyDescent="0.25" r="432" customHeight="1" ht="18.75">
      <c r="A432" s="1" t="s">
        <v>695</v>
      </c>
      <c r="B432" s="14">
        <v>1.792361111111111</v>
      </c>
      <c r="C432" s="3">
        <v>0.5306000000000001</v>
      </c>
      <c r="D432" s="4"/>
      <c r="E432" s="4"/>
      <c r="F432" s="4">
        <f>TEXT(A432,"yyyy/mm/dd") &amp; " " &amp; TEXT(B432,"hh:mm:ss")</f>
      </c>
      <c r="G432" s="4" t="s">
        <v>472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1"/>
      <c r="AI432" s="1"/>
    </row>
    <row x14ac:dyDescent="0.25" r="433" customHeight="1" ht="18.75">
      <c r="A433" s="1" t="s">
        <v>746</v>
      </c>
      <c r="B433" s="14">
        <v>1.0125</v>
      </c>
      <c r="C433" s="3">
        <v>2.207</v>
      </c>
      <c r="D433" s="4"/>
      <c r="E433" s="4"/>
      <c r="F433" s="4">
        <f>TEXT(A433,"yyyy/mm/dd") &amp; " " &amp; TEXT(B433,"hh:mm:ss")</f>
      </c>
      <c r="G433" s="4" t="s">
        <v>382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1"/>
      <c r="AI433" s="1"/>
    </row>
    <row x14ac:dyDescent="0.25" r="434" customHeight="1" ht="18.75">
      <c r="A434" s="1" t="s">
        <v>747</v>
      </c>
      <c r="B434" s="14">
        <v>1.01875</v>
      </c>
      <c r="C434" s="3">
        <v>1.424</v>
      </c>
      <c r="D434" s="4"/>
      <c r="E434" s="4"/>
      <c r="F434" s="4">
        <f>TEXT(A434,"yyyy/mm/dd") &amp; " " &amp; TEXT(B434,"hh:mm:ss")</f>
      </c>
      <c r="G434" s="4" t="s">
        <v>383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1"/>
      <c r="AI434" s="1"/>
    </row>
    <row x14ac:dyDescent="0.25" r="435" customHeight="1" ht="18.75">
      <c r="A435" s="1" t="s">
        <v>747</v>
      </c>
      <c r="B435" s="25">
        <v>1.7222222222222223</v>
      </c>
      <c r="C435" s="3">
        <v>1.111</v>
      </c>
      <c r="D435" s="4"/>
      <c r="E435" s="4"/>
      <c r="F435" s="4">
        <f>TEXT(A435,"yyyy/mm/dd") &amp; " " &amp; TEXT(B435,"hh:mm:ss")</f>
      </c>
      <c r="G435" s="4" t="s">
        <v>473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1"/>
      <c r="AI435" s="1"/>
    </row>
    <row x14ac:dyDescent="0.25" r="436" customHeight="1" ht="18.75">
      <c r="A436" s="1" t="s">
        <v>748</v>
      </c>
      <c r="B436" s="14">
        <v>1.0180555555555555</v>
      </c>
      <c r="C436" s="3">
        <v>1.294</v>
      </c>
      <c r="D436" s="4"/>
      <c r="E436" s="4"/>
      <c r="F436" s="4">
        <f>TEXT(A436,"yyyy/mm/dd") &amp; " " &amp; TEXT(B436,"hh:mm:ss")</f>
      </c>
      <c r="G436" s="4" t="s">
        <v>384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1"/>
      <c r="AI436" s="1"/>
    </row>
    <row x14ac:dyDescent="0.25" r="437" customHeight="1" ht="18.75">
      <c r="A437" s="1" t="s">
        <v>749</v>
      </c>
      <c r="B437" s="14">
        <v>1.0055555555555555</v>
      </c>
      <c r="C437" s="3">
        <v>1.516</v>
      </c>
      <c r="D437" s="4"/>
      <c r="E437" s="4"/>
      <c r="F437" s="4">
        <f>TEXT(A437,"yyyy/mm/dd") &amp; " " &amp; TEXT(B437,"hh:mm:ss")</f>
      </c>
      <c r="G437" s="4" t="s">
        <v>385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1"/>
      <c r="AI437" s="1"/>
    </row>
    <row x14ac:dyDescent="0.25" r="438" customHeight="1" ht="18.75">
      <c r="A438" s="21" t="s">
        <v>750</v>
      </c>
      <c r="B438" s="24">
        <v>1.0131944444444445</v>
      </c>
      <c r="C438" s="13">
        <v>1.158</v>
      </c>
      <c r="D438" s="4"/>
      <c r="E438" s="4"/>
      <c r="F438" s="4">
        <f>TEXT(A438,"yyyy/mm/dd") &amp; " " &amp; TEXT(B438,"hh:mm:ss")</f>
      </c>
      <c r="G438" s="20" t="s">
        <v>474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23"/>
      <c r="AI438" s="1"/>
    </row>
    <row x14ac:dyDescent="0.25" r="439" customHeight="1" ht="18.75">
      <c r="A439" s="1" t="s">
        <v>695</v>
      </c>
      <c r="B439" s="14">
        <v>1.7784722222222222</v>
      </c>
      <c r="C439" s="3">
        <v>0.1301</v>
      </c>
      <c r="D439" s="4"/>
      <c r="E439" s="4"/>
      <c r="F439" s="4">
        <f>TEXT(A439,"yyyy/mm/dd") &amp; " " &amp; TEXT(B439,"hh:mm:ss")</f>
      </c>
      <c r="G439" s="4" t="s">
        <v>475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1"/>
      <c r="AI439" s="1"/>
    </row>
    <row x14ac:dyDescent="0.25" r="440" customHeight="1" ht="18.75">
      <c r="A440" s="1" t="s">
        <v>695</v>
      </c>
      <c r="B440" s="14">
        <v>1.9611111111111112</v>
      </c>
      <c r="C440" s="3">
        <v>0.167</v>
      </c>
      <c r="D440" s="4"/>
      <c r="E440" s="4"/>
      <c r="F440" s="4">
        <f>TEXT(A440,"yyyy/mm/dd") &amp; " " &amp; TEXT(B440,"hh:mm:ss")</f>
      </c>
      <c r="G440" s="4" t="s">
        <v>476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1"/>
      <c r="AI440" s="1"/>
    </row>
    <row x14ac:dyDescent="0.25" r="441" customHeight="1" ht="18.75">
      <c r="A441" s="1" t="s">
        <v>746</v>
      </c>
      <c r="B441" s="14">
        <v>1.0125</v>
      </c>
      <c r="C441" s="3">
        <v>0.2508</v>
      </c>
      <c r="D441" s="4"/>
      <c r="E441" s="4"/>
      <c r="F441" s="4">
        <f>TEXT(A441,"yyyy/mm/dd") &amp; " " &amp; TEXT(B441,"hh:mm:ss")</f>
      </c>
      <c r="G441" s="4" t="s">
        <v>382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1"/>
      <c r="AI441" s="1"/>
    </row>
    <row x14ac:dyDescent="0.25" r="442" customHeight="1" ht="18.75">
      <c r="A442" s="1" t="s">
        <v>747</v>
      </c>
      <c r="B442" s="14">
        <v>1.01875</v>
      </c>
      <c r="C442" s="3">
        <v>0.19590000000000002</v>
      </c>
      <c r="D442" s="4"/>
      <c r="E442" s="4"/>
      <c r="F442" s="4">
        <f>TEXT(A442,"yyyy/mm/dd") &amp; " " &amp; TEXT(B442,"hh:mm:ss")</f>
      </c>
      <c r="G442" s="4" t="s">
        <v>383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1"/>
      <c r="AI442" s="1"/>
    </row>
    <row x14ac:dyDescent="0.25" r="443" customHeight="1" ht="18.75">
      <c r="A443" s="1" t="s">
        <v>748</v>
      </c>
      <c r="B443" s="14">
        <v>1.0180555555555555</v>
      </c>
      <c r="C443" s="3">
        <v>0.2105</v>
      </c>
      <c r="D443" s="4"/>
      <c r="E443" s="4"/>
      <c r="F443" s="4">
        <f>TEXT(A443,"yyyy/mm/dd") &amp; " " &amp; TEXT(B443,"hh:mm:ss")</f>
      </c>
      <c r="G443" s="4" t="s">
        <v>384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1"/>
      <c r="AI443" s="1"/>
    </row>
    <row x14ac:dyDescent="0.25" r="444" customHeight="1" ht="18.75">
      <c r="A444" s="1" t="s">
        <v>749</v>
      </c>
      <c r="B444" s="14">
        <v>1.0055555555555555</v>
      </c>
      <c r="C444" s="3">
        <v>0.223</v>
      </c>
      <c r="D444" s="4"/>
      <c r="E444" s="4"/>
      <c r="F444" s="4">
        <f>TEXT(A444,"yyyy/mm/dd") &amp; " " &amp; TEXT(B444,"hh:mm:ss")</f>
      </c>
      <c r="G444" s="4" t="s">
        <v>385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1"/>
      <c r="AI444" s="1"/>
    </row>
    <row x14ac:dyDescent="0.25" r="445" customHeight="1" ht="18.75">
      <c r="A445" s="1" t="s">
        <v>750</v>
      </c>
      <c r="B445" s="14">
        <v>1.0069444444444444</v>
      </c>
      <c r="C445" s="3">
        <v>0.1666</v>
      </c>
      <c r="D445" s="4"/>
      <c r="E445" s="4"/>
      <c r="F445" s="4">
        <f>TEXT(A445,"yyyy/mm/dd") &amp; " " &amp; TEXT(B445,"hh:mm:ss")</f>
      </c>
      <c r="G445" s="4" t="s">
        <v>386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1"/>
      <c r="AI445" s="1"/>
    </row>
    <row x14ac:dyDescent="0.25" r="446" customHeight="1" ht="18.75">
      <c r="A446" s="21" t="s">
        <v>751</v>
      </c>
      <c r="B446" s="24">
        <v>1.0006944444444446</v>
      </c>
      <c r="C446" s="13">
        <v>0.09240000000000001</v>
      </c>
      <c r="D446" s="4"/>
      <c r="E446" s="4"/>
      <c r="F446" s="4">
        <f>TEXT(A446,"yyyy/mm/dd") &amp; " " &amp; TEXT(B446,"hh:mm:ss")</f>
      </c>
      <c r="G446" s="20" t="s">
        <v>477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23"/>
      <c r="AI446" s="1"/>
    </row>
    <row x14ac:dyDescent="0.25" r="447" customHeight="1" ht="18.75">
      <c r="A447" s="1" t="s">
        <v>805</v>
      </c>
      <c r="B447" s="14">
        <v>1.4965277777777777</v>
      </c>
      <c r="C447" s="3">
        <v>1.155</v>
      </c>
      <c r="D447" s="4"/>
      <c r="E447" s="4"/>
      <c r="F447" s="4">
        <f>TEXT(A447,"yyyy/mm/dd") &amp; " " &amp; TEXT(B447,"hh:mm:ss")</f>
      </c>
      <c r="G447" s="4" t="s">
        <v>479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1"/>
      <c r="AI447" s="1"/>
    </row>
    <row x14ac:dyDescent="0.25" r="448" customHeight="1" ht="18.75">
      <c r="A448" s="1" t="s">
        <v>805</v>
      </c>
      <c r="B448" s="14">
        <v>1.8847222222222222</v>
      </c>
      <c r="C448" s="3">
        <v>2.451</v>
      </c>
      <c r="D448" s="4"/>
      <c r="E448" s="4"/>
      <c r="F448" s="4">
        <f>TEXT(A448,"yyyy/mm/dd") &amp; " " &amp; TEXT(B448,"hh:mm:ss")</f>
      </c>
      <c r="G448" s="4" t="s">
        <v>480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1"/>
      <c r="AI448" s="1"/>
    </row>
    <row x14ac:dyDescent="0.25" r="449" customHeight="1" ht="18.75">
      <c r="A449" s="1" t="s">
        <v>806</v>
      </c>
      <c r="B449" s="14">
        <v>1.0145833333333334</v>
      </c>
      <c r="C449" s="3">
        <v>1.795</v>
      </c>
      <c r="D449" s="4"/>
      <c r="E449" s="4"/>
      <c r="F449" s="4">
        <f>TEXT(A449,"yyyy/mm/dd") &amp; " " &amp; TEXT(B449,"hh:mm:ss")</f>
      </c>
      <c r="G449" s="4" t="s">
        <v>481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1"/>
      <c r="AI449" s="1"/>
    </row>
    <row x14ac:dyDescent="0.25" r="450" customHeight="1" ht="18.75">
      <c r="A450" s="1" t="s">
        <v>807</v>
      </c>
      <c r="B450" s="14">
        <v>1.0138888888888888</v>
      </c>
      <c r="C450" s="3">
        <v>1.101</v>
      </c>
      <c r="D450" s="4"/>
      <c r="E450" s="4"/>
      <c r="F450" s="4">
        <f>TEXT(A450,"yyyy/mm/dd") &amp; " " &amp; TEXT(B450,"hh:mm:ss")</f>
      </c>
      <c r="G450" s="4" t="s">
        <v>482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1"/>
      <c r="AI450" s="1"/>
    </row>
    <row x14ac:dyDescent="0.25" r="451" customHeight="1" ht="18.75">
      <c r="A451" s="1" t="s">
        <v>808</v>
      </c>
      <c r="B451" s="14">
        <v>1.0104166666666667</v>
      </c>
      <c r="C451" s="3">
        <v>0.8627999999999999</v>
      </c>
      <c r="D451" s="4"/>
      <c r="E451" s="4"/>
      <c r="F451" s="4">
        <f>TEXT(A451,"yyyy/mm/dd") &amp; " " &amp; TEXT(B451,"hh:mm:ss")</f>
      </c>
      <c r="G451" s="4" t="s">
        <v>483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1"/>
      <c r="AI451" s="1"/>
    </row>
    <row x14ac:dyDescent="0.25" r="452" customHeight="1" ht="18.75">
      <c r="A452" s="1" t="s">
        <v>809</v>
      </c>
      <c r="B452" s="14">
        <v>1.0298611111111111</v>
      </c>
      <c r="C452" s="3">
        <v>0.6315</v>
      </c>
      <c r="D452" s="4"/>
      <c r="E452" s="4"/>
      <c r="F452" s="4">
        <f>TEXT(A452,"yyyy/mm/dd") &amp; " " &amp; TEXT(B452,"hh:mm:ss")</f>
      </c>
      <c r="G452" s="4" t="s">
        <v>484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1"/>
      <c r="AI452" s="1"/>
    </row>
    <row x14ac:dyDescent="0.25" r="453" customHeight="1" ht="18.75">
      <c r="A453" s="1" t="s">
        <v>810</v>
      </c>
      <c r="B453" s="14">
        <v>1.2375</v>
      </c>
      <c r="C453" s="3">
        <v>0.44930000000000003</v>
      </c>
      <c r="D453" s="4"/>
      <c r="E453" s="4"/>
      <c r="F453" s="4">
        <f>TEXT(A453,"yyyy/mm/dd") &amp; " " &amp; TEXT(B453,"hh:mm:ss")</f>
      </c>
      <c r="G453" s="4" t="s">
        <v>485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1"/>
      <c r="AI453" s="1"/>
    </row>
    <row x14ac:dyDescent="0.25" r="454" customHeight="1" ht="18.75">
      <c r="A454" s="21" t="s">
        <v>811</v>
      </c>
      <c r="B454" s="24">
        <v>1.0006944444444446</v>
      </c>
      <c r="C454" s="13">
        <v>0.2802</v>
      </c>
      <c r="D454" s="4"/>
      <c r="E454" s="4"/>
      <c r="F454" s="4">
        <f>TEXT(A454,"yyyy/mm/dd") &amp; " " &amp; TEXT(B454,"hh:mm:ss")</f>
      </c>
      <c r="G454" s="20" t="s">
        <v>486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23"/>
      <c r="AI454" s="1"/>
    </row>
    <row x14ac:dyDescent="0.25" r="455" customHeight="1" ht="18.75">
      <c r="A455" s="1" t="s">
        <v>812</v>
      </c>
      <c r="B455" s="14">
        <v>1.6006944444444444</v>
      </c>
      <c r="C455" s="3">
        <v>1.54</v>
      </c>
      <c r="D455" s="4"/>
      <c r="E455" s="4"/>
      <c r="F455" s="4">
        <f>TEXT(A455,"yyyy/mm/dd") &amp; " " &amp; TEXT(B455,"hh:mm:ss")</f>
      </c>
      <c r="G455" s="4" t="s">
        <v>488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1"/>
      <c r="AI455" s="1"/>
    </row>
    <row x14ac:dyDescent="0.25" r="456" customHeight="1" ht="18.75">
      <c r="A456" s="1" t="s">
        <v>812</v>
      </c>
      <c r="B456" s="14">
        <v>1.98125</v>
      </c>
      <c r="C456" s="3">
        <v>3.16</v>
      </c>
      <c r="D456" s="4"/>
      <c r="E456" s="4"/>
      <c r="F456" s="4">
        <f>TEXT(A456,"yyyy/mm/dd") &amp; " " &amp; TEXT(B456,"hh:mm:ss")</f>
      </c>
      <c r="G456" s="4" t="s">
        <v>489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1"/>
      <c r="AI456" s="1"/>
    </row>
    <row x14ac:dyDescent="0.25" r="457" customHeight="1" ht="18.75">
      <c r="A457" s="1" t="s">
        <v>813</v>
      </c>
      <c r="B457" s="14">
        <v>1.01875</v>
      </c>
      <c r="C457" s="3">
        <v>2.41</v>
      </c>
      <c r="D457" s="4"/>
      <c r="E457" s="4"/>
      <c r="F457" s="4">
        <f>TEXT(A457,"yyyy/mm/dd") &amp; " " &amp; TEXT(B457,"hh:mm:ss")</f>
      </c>
      <c r="G457" s="4" t="s">
        <v>490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1"/>
      <c r="AI457" s="1"/>
    </row>
    <row x14ac:dyDescent="0.25" r="458" customHeight="1" ht="18.75">
      <c r="A458" s="1" t="s">
        <v>814</v>
      </c>
      <c r="B458" s="14">
        <v>1.0381944444444444</v>
      </c>
      <c r="C458" s="3">
        <v>3.38</v>
      </c>
      <c r="D458" s="4"/>
      <c r="E458" s="4"/>
      <c r="F458" s="4">
        <f>TEXT(A458,"yyyy/mm/dd") &amp; " " &amp; TEXT(B458,"hh:mm:ss")</f>
      </c>
      <c r="G458" s="4" t="s">
        <v>491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1"/>
      <c r="AI458" s="1"/>
    </row>
    <row x14ac:dyDescent="0.25" r="459" customHeight="1" ht="18.75">
      <c r="A459" s="1" t="s">
        <v>815</v>
      </c>
      <c r="B459" s="14">
        <v>1.0173611111111112</v>
      </c>
      <c r="C459" s="3">
        <v>3.09</v>
      </c>
      <c r="D459" s="4"/>
      <c r="E459" s="4"/>
      <c r="F459" s="4">
        <f>TEXT(A459,"yyyy/mm/dd") &amp; " " &amp; TEXT(B459,"hh:mm:ss")</f>
      </c>
      <c r="G459" s="4" t="s">
        <v>492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1"/>
      <c r="AI459" s="1"/>
    </row>
    <row x14ac:dyDescent="0.25" r="460" customHeight="1" ht="18.75">
      <c r="A460" s="1" t="s">
        <v>816</v>
      </c>
      <c r="B460" s="14">
        <v>1.0090277777777779</v>
      </c>
      <c r="C460" s="6">
        <v>2</v>
      </c>
      <c r="D460" s="4"/>
      <c r="E460" s="4"/>
      <c r="F460" s="4">
        <f>TEXT(A460,"yyyy/mm/dd") &amp; " " &amp; TEXT(B460,"hh:mm:ss")</f>
      </c>
      <c r="G460" s="4" t="s">
        <v>493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1"/>
      <c r="AI460" s="1"/>
    </row>
    <row x14ac:dyDescent="0.25" r="461" customHeight="1" ht="18.75">
      <c r="A461" s="1" t="s">
        <v>817</v>
      </c>
      <c r="B461" s="14">
        <v>1.007638888888889</v>
      </c>
      <c r="C461" s="3">
        <v>0.637</v>
      </c>
      <c r="D461" s="4"/>
      <c r="E461" s="4"/>
      <c r="F461" s="4">
        <f>TEXT(A461,"yyyy/mm/dd") &amp; " " &amp; TEXT(B461,"hh:mm:ss")</f>
      </c>
      <c r="G461" s="4" t="s">
        <v>494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1"/>
      <c r="AI461" s="1"/>
    </row>
    <row x14ac:dyDescent="0.25" r="462" customHeight="1" ht="18.75">
      <c r="A462" s="1" t="s">
        <v>818</v>
      </c>
      <c r="B462" s="14">
        <v>1.0215277777777778</v>
      </c>
      <c r="C462" s="3">
        <v>0.225</v>
      </c>
      <c r="D462" s="4"/>
      <c r="E462" s="4"/>
      <c r="F462" s="4">
        <f>TEXT(A462,"yyyy/mm/dd") &amp; " " &amp; TEXT(B462,"hh:mm:ss")</f>
      </c>
      <c r="G462" s="4" t="s">
        <v>495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1"/>
      <c r="AI462" s="1"/>
    </row>
    <row x14ac:dyDescent="0.25" r="463" customHeight="1" ht="18.75">
      <c r="A463" s="1" t="s">
        <v>819</v>
      </c>
      <c r="B463" s="14">
        <v>1.2527777777777778</v>
      </c>
      <c r="C463" s="3">
        <v>0.115</v>
      </c>
      <c r="D463" s="4"/>
      <c r="E463" s="4"/>
      <c r="F463" s="4">
        <f>TEXT(A463,"yyyy/mm/dd") &amp; " " &amp; TEXT(B463,"hh:mm:ss")</f>
      </c>
      <c r="G463" s="4" t="s">
        <v>496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1"/>
      <c r="AI463" s="1"/>
    </row>
    <row x14ac:dyDescent="0.25" r="464" customHeight="1" ht="18.75">
      <c r="A464" s="1" t="s">
        <v>820</v>
      </c>
      <c r="B464" s="14">
        <v>1.2402777777777778</v>
      </c>
      <c r="C464" s="3">
        <v>0.071</v>
      </c>
      <c r="D464" s="4"/>
      <c r="E464" s="4"/>
      <c r="F464" s="4">
        <f>TEXT(A464,"yyyy/mm/dd") &amp; " " &amp; TEXT(B464,"hh:mm:ss")</f>
      </c>
      <c r="G464" s="4" t="s">
        <v>497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1"/>
      <c r="AI464" s="1"/>
    </row>
    <row x14ac:dyDescent="0.25" r="465" customHeight="1" ht="18.75">
      <c r="A465" s="1" t="s">
        <v>821</v>
      </c>
      <c r="B465" s="14">
        <v>1.2347222222222223</v>
      </c>
      <c r="C465" s="3">
        <v>0.051</v>
      </c>
      <c r="D465" s="4"/>
      <c r="E465" s="4"/>
      <c r="F465" s="4">
        <f>TEXT(A465,"yyyy/mm/dd") &amp; " " &amp; TEXT(B465,"hh:mm:ss")</f>
      </c>
      <c r="G465" s="4" t="s">
        <v>498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1"/>
      <c r="AI465" s="1"/>
    </row>
    <row x14ac:dyDescent="0.25" r="466" customHeight="1" ht="18.75">
      <c r="A466" s="21" t="s">
        <v>822</v>
      </c>
      <c r="B466" s="24">
        <v>1.0027777777777778</v>
      </c>
      <c r="C466" s="13">
        <v>0.037</v>
      </c>
      <c r="D466" s="4"/>
      <c r="E466" s="4"/>
      <c r="F466" s="4">
        <f>TEXT(A466,"yyyy/mm/dd") &amp; " " &amp; TEXT(B466,"hh:mm:ss")</f>
      </c>
      <c r="G466" s="20" t="s">
        <v>499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23"/>
      <c r="AI466" s="1"/>
    </row>
    <row x14ac:dyDescent="0.25" r="467" customHeight="1" ht="18.75">
      <c r="A467" s="1" t="s">
        <v>823</v>
      </c>
      <c r="B467" s="14">
        <v>1.5798611111111112</v>
      </c>
      <c r="C467" s="3">
        <v>0.284</v>
      </c>
      <c r="D467" s="4"/>
      <c r="E467" s="4"/>
      <c r="F467" s="4">
        <f>TEXT(A467,"yyyy/mm/dd") &amp; " " &amp; TEXT(B467,"hh:mm:ss")</f>
      </c>
      <c r="G467" s="4" t="s">
        <v>501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1"/>
      <c r="AI467" s="1"/>
    </row>
    <row x14ac:dyDescent="0.25" r="468" customHeight="1" ht="18.75">
      <c r="A468" s="1" t="s">
        <v>823</v>
      </c>
      <c r="B468" s="14">
        <v>1.75</v>
      </c>
      <c r="C468" s="3">
        <v>0.764</v>
      </c>
      <c r="D468" s="4"/>
      <c r="E468" s="4"/>
      <c r="F468" s="4">
        <f>TEXT(A468,"yyyy/mm/dd") &amp; " " &amp; TEXT(B468,"hh:mm:ss")</f>
      </c>
      <c r="G468" s="4" t="s">
        <v>502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1"/>
      <c r="AI468" s="1"/>
    </row>
    <row x14ac:dyDescent="0.25" r="469" customHeight="1" ht="18.75">
      <c r="A469" s="1" t="s">
        <v>824</v>
      </c>
      <c r="B469" s="14">
        <v>1.0145833333333334</v>
      </c>
      <c r="C469" s="3">
        <v>0.739</v>
      </c>
      <c r="D469" s="4"/>
      <c r="E469" s="4"/>
      <c r="F469" s="4">
        <f>TEXT(A469,"yyyy/mm/dd") &amp; " " &amp; TEXT(B469,"hh:mm:ss")</f>
      </c>
      <c r="G469" s="4" t="s">
        <v>503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1"/>
      <c r="AI469" s="1"/>
    </row>
    <row x14ac:dyDescent="0.25" r="470" customHeight="1" ht="18.75">
      <c r="A470" s="1" t="s">
        <v>825</v>
      </c>
      <c r="B470" s="14">
        <v>1.0229166666666667</v>
      </c>
      <c r="C470" s="3">
        <v>0.495</v>
      </c>
      <c r="D470" s="4"/>
      <c r="E470" s="4"/>
      <c r="F470" s="4">
        <f>TEXT(A470,"yyyy/mm/dd") &amp; " " &amp; TEXT(B470,"hh:mm:ss")</f>
      </c>
      <c r="G470" s="4" t="s">
        <v>504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1"/>
      <c r="AI470" s="1"/>
    </row>
    <row x14ac:dyDescent="0.25" r="471" customHeight="1" ht="18.75">
      <c r="A471" s="1" t="s">
        <v>826</v>
      </c>
      <c r="B471" s="14">
        <v>1.2395833333333333</v>
      </c>
      <c r="C471" s="3">
        <v>0.489</v>
      </c>
      <c r="D471" s="4"/>
      <c r="E471" s="4"/>
      <c r="F471" s="4">
        <f>TEXT(A471,"yyyy/mm/dd") &amp; " " &amp; TEXT(B471,"hh:mm:ss")</f>
      </c>
      <c r="G471" s="4" t="s">
        <v>505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1"/>
      <c r="AI471" s="1"/>
    </row>
    <row x14ac:dyDescent="0.25" r="472" customHeight="1" ht="18.75">
      <c r="A472" s="1" t="s">
        <v>827</v>
      </c>
      <c r="B472" s="14">
        <v>1.2375</v>
      </c>
      <c r="C472" s="3">
        <v>0.467</v>
      </c>
      <c r="D472" s="4"/>
      <c r="E472" s="4"/>
      <c r="F472" s="4">
        <f>TEXT(A472,"yyyy/mm/dd") &amp; " " &amp; TEXT(B472,"hh:mm:ss")</f>
      </c>
      <c r="G472" s="4" t="s">
        <v>506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1"/>
      <c r="AI472" s="1"/>
    </row>
    <row x14ac:dyDescent="0.25" r="473" customHeight="1" ht="18.75">
      <c r="A473" s="21" t="s">
        <v>828</v>
      </c>
      <c r="B473" s="24">
        <v>1.0090277777777779</v>
      </c>
      <c r="C473" s="13">
        <v>0.183</v>
      </c>
      <c r="D473" s="4"/>
      <c r="E473" s="4"/>
      <c r="F473" s="4">
        <f>TEXT(A473,"yyyy/mm/dd") &amp; " " &amp; TEXT(B473,"hh:mm:ss")</f>
      </c>
      <c r="G473" s="20" t="s">
        <v>507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23"/>
      <c r="AI473" s="1"/>
    </row>
    <row x14ac:dyDescent="0.25" r="474" customHeight="1" ht="18.75">
      <c r="A474" s="1" t="s">
        <v>829</v>
      </c>
      <c r="B474" s="14">
        <v>1.7111111111111112</v>
      </c>
      <c r="C474" s="3">
        <v>0.263</v>
      </c>
      <c r="D474" s="4"/>
      <c r="E474" s="4"/>
      <c r="F474" s="4">
        <f>TEXT(A474,"yyyy/mm/dd") &amp; " " &amp; TEXT(B474,"hh:mm:ss")</f>
      </c>
      <c r="G474" s="4" t="s">
        <v>509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1"/>
      <c r="AI474" s="1"/>
    </row>
    <row x14ac:dyDescent="0.25" r="475" customHeight="1" ht="18.75">
      <c r="A475" s="1" t="s">
        <v>829</v>
      </c>
      <c r="B475" s="14">
        <v>1.9388888888888889</v>
      </c>
      <c r="C475" s="3">
        <v>0.366</v>
      </c>
      <c r="D475" s="4"/>
      <c r="E475" s="4"/>
      <c r="F475" s="4">
        <f>TEXT(A475,"yyyy/mm/dd") &amp; " " &amp; TEXT(B475,"hh:mm:ss")</f>
      </c>
      <c r="G475" s="4" t="s">
        <v>510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1"/>
      <c r="AI475" s="1"/>
    </row>
    <row x14ac:dyDescent="0.25" r="476" customHeight="1" ht="18.75">
      <c r="A476" s="1" t="s">
        <v>830</v>
      </c>
      <c r="B476" s="14">
        <v>1.0131944444444445</v>
      </c>
      <c r="C476" s="3">
        <v>0.93</v>
      </c>
      <c r="D476" s="4"/>
      <c r="E476" s="4"/>
      <c r="F476" s="4">
        <f>TEXT(A476,"yyyy/mm/dd") &amp; " " &amp; TEXT(B476,"hh:mm:ss")</f>
      </c>
      <c r="G476" s="4" t="s">
        <v>511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1"/>
      <c r="AI476" s="1"/>
    </row>
    <row x14ac:dyDescent="0.25" r="477" customHeight="1" ht="18.75">
      <c r="A477" s="1" t="s">
        <v>831</v>
      </c>
      <c r="B477" s="14">
        <v>1.007638888888889</v>
      </c>
      <c r="C477" s="3">
        <v>1.28</v>
      </c>
      <c r="D477" s="4"/>
      <c r="E477" s="4"/>
      <c r="F477" s="4">
        <f>TEXT(A477,"yyyy/mm/dd") &amp; " " &amp; TEXT(B477,"hh:mm:ss")</f>
      </c>
      <c r="G477" s="4" t="s">
        <v>512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1"/>
      <c r="AI477" s="1"/>
    </row>
    <row x14ac:dyDescent="0.25" r="478" customHeight="1" ht="18.75">
      <c r="A478" s="1" t="s">
        <v>832</v>
      </c>
      <c r="B478" s="14">
        <v>1.0083333333333333</v>
      </c>
      <c r="C478" s="3">
        <v>1.01</v>
      </c>
      <c r="D478" s="4"/>
      <c r="E478" s="4"/>
      <c r="F478" s="4">
        <f>TEXT(A478,"yyyy/mm/dd") &amp; " " &amp; TEXT(B478,"hh:mm:ss")</f>
      </c>
      <c r="G478" s="4" t="s">
        <v>513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1"/>
      <c r="AI478" s="1"/>
    </row>
    <row x14ac:dyDescent="0.25" r="479" customHeight="1" ht="18.75">
      <c r="A479" s="1" t="s">
        <v>833</v>
      </c>
      <c r="B479" s="14">
        <v>1.0034722222222223</v>
      </c>
      <c r="C479" s="3">
        <v>0.784</v>
      </c>
      <c r="D479" s="4"/>
      <c r="E479" s="4"/>
      <c r="F479" s="4">
        <f>TEXT(A479,"yyyy/mm/dd") &amp; " " &amp; TEXT(B479,"hh:mm:ss")</f>
      </c>
      <c r="G479" s="4" t="s">
        <v>514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1"/>
      <c r="AI479" s="1"/>
    </row>
    <row x14ac:dyDescent="0.25" r="480" customHeight="1" ht="18.75">
      <c r="A480" s="1" t="s">
        <v>834</v>
      </c>
      <c r="B480" s="14">
        <v>1.0034722222222223</v>
      </c>
      <c r="C480" s="3">
        <v>0.413</v>
      </c>
      <c r="D480" s="4"/>
      <c r="E480" s="4"/>
      <c r="F480" s="4">
        <f>TEXT(A480,"yyyy/mm/dd") &amp; " " &amp; TEXT(B480,"hh:mm:ss")</f>
      </c>
      <c r="G480" s="4" t="s">
        <v>515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1"/>
      <c r="AI480" s="1"/>
    </row>
    <row x14ac:dyDescent="0.25" r="481" customHeight="1" ht="18.75">
      <c r="A481" s="1" t="s">
        <v>835</v>
      </c>
      <c r="B481" s="14">
        <v>1.23125</v>
      </c>
      <c r="C481" s="3">
        <v>0.237</v>
      </c>
      <c r="D481" s="4"/>
      <c r="E481" s="4"/>
      <c r="F481" s="4">
        <f>TEXT(A481,"yyyy/mm/dd") &amp; " " &amp; TEXT(B481,"hh:mm:ss")</f>
      </c>
      <c r="G481" s="4" t="s">
        <v>516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1"/>
      <c r="AI481" s="1"/>
    </row>
    <row x14ac:dyDescent="0.25" r="482" customHeight="1" ht="18.75">
      <c r="A482" s="1" t="s">
        <v>836</v>
      </c>
      <c r="B482" s="14">
        <v>1.0034722222222223</v>
      </c>
      <c r="C482" s="3">
        <v>0.181</v>
      </c>
      <c r="D482" s="4"/>
      <c r="E482" s="4"/>
      <c r="F482" s="4">
        <f>TEXT(A482,"yyyy/mm/dd") &amp; " " &amp; TEXT(B482,"hh:mm:ss")</f>
      </c>
      <c r="G482" s="4" t="s">
        <v>517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1"/>
      <c r="AI482" s="1"/>
    </row>
    <row x14ac:dyDescent="0.25" r="483" customHeight="1" ht="18.75">
      <c r="A483" s="21" t="s">
        <v>837</v>
      </c>
      <c r="B483" s="24">
        <v>1.0083333333333333</v>
      </c>
      <c r="C483" s="13">
        <v>0.139</v>
      </c>
      <c r="D483" s="4"/>
      <c r="E483" s="4"/>
      <c r="F483" s="4">
        <f>TEXT(A483,"yyyy/mm/dd") &amp; " " &amp; TEXT(B483,"hh:mm:ss")</f>
      </c>
      <c r="G483" s="20" t="s">
        <v>518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23"/>
      <c r="AI483" s="1"/>
    </row>
    <row x14ac:dyDescent="0.25" r="484" customHeight="1" ht="18.75">
      <c r="A484" s="1" t="s">
        <v>838</v>
      </c>
      <c r="B484" s="14">
        <v>1.8381944444444445</v>
      </c>
      <c r="C484" s="3">
        <v>0.212</v>
      </c>
      <c r="D484" s="4"/>
      <c r="E484" s="4"/>
      <c r="F484" s="4">
        <f>TEXT(A484,"yyyy/mm/dd") &amp; " " &amp; TEXT(B484,"hh:mm:ss")</f>
      </c>
      <c r="G484" s="4" t="s">
        <v>520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1"/>
      <c r="AI484" s="1"/>
    </row>
    <row x14ac:dyDescent="0.25" r="485" customHeight="1" ht="18.75">
      <c r="A485" s="1" t="s">
        <v>838</v>
      </c>
      <c r="B485" s="14">
        <v>1.9125</v>
      </c>
      <c r="C485" s="3">
        <v>0.276</v>
      </c>
      <c r="D485" s="4"/>
      <c r="E485" s="4"/>
      <c r="F485" s="4">
        <f>TEXT(A485,"yyyy/mm/dd") &amp; " " &amp; TEXT(B485,"hh:mm:ss")</f>
      </c>
      <c r="G485" s="4" t="s">
        <v>521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1"/>
      <c r="AI485" s="1"/>
    </row>
    <row x14ac:dyDescent="0.25" r="486" customHeight="1" ht="18.75">
      <c r="A486" s="1" t="s">
        <v>839</v>
      </c>
      <c r="B486" s="14">
        <v>1.0118055555555556</v>
      </c>
      <c r="C486" s="3">
        <v>0.612</v>
      </c>
      <c r="D486" s="4"/>
      <c r="E486" s="4"/>
      <c r="F486" s="4">
        <f>TEXT(A486,"yyyy/mm/dd") &amp; " " &amp; TEXT(B486,"hh:mm:ss")</f>
      </c>
      <c r="G486" s="4" t="s">
        <v>522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1"/>
      <c r="AI486" s="1"/>
    </row>
    <row x14ac:dyDescent="0.25" r="487" customHeight="1" ht="18.75">
      <c r="A487" s="1" t="s">
        <v>840</v>
      </c>
      <c r="B487" s="14">
        <v>1.0166666666666666</v>
      </c>
      <c r="C487" s="3">
        <v>0.757</v>
      </c>
      <c r="D487" s="4"/>
      <c r="E487" s="4"/>
      <c r="F487" s="4">
        <f>TEXT(A487,"yyyy/mm/dd") &amp; " " &amp; TEXT(B487,"hh:mm:ss")</f>
      </c>
      <c r="G487" s="4" t="s">
        <v>523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1"/>
      <c r="AI487" s="1"/>
    </row>
    <row x14ac:dyDescent="0.25" r="488" customHeight="1" ht="18.75">
      <c r="A488" s="1" t="s">
        <v>841</v>
      </c>
      <c r="B488" s="14">
        <v>1.0222222222222221</v>
      </c>
      <c r="C488" s="3">
        <v>0.479</v>
      </c>
      <c r="D488" s="4"/>
      <c r="E488" s="4"/>
      <c r="F488" s="4">
        <f>TEXT(A488,"yyyy/mm/dd") &amp; " " &amp; TEXT(B488,"hh:mm:ss")</f>
      </c>
      <c r="G488" s="4" t="s">
        <v>524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1"/>
      <c r="AI488" s="1"/>
    </row>
    <row x14ac:dyDescent="0.25" r="489" customHeight="1" ht="18.75">
      <c r="A489" s="28" t="s">
        <v>842</v>
      </c>
      <c r="B489" s="14">
        <v>1.0194444444444444</v>
      </c>
      <c r="C489" s="3">
        <v>0.43</v>
      </c>
      <c r="D489" s="4"/>
      <c r="E489" s="4"/>
      <c r="F489" s="4">
        <f>TEXT(A489,"yyyy/mm/dd") &amp; " " &amp; TEXT(B489,"hh:mm:ss")</f>
      </c>
      <c r="G489" s="4" t="s">
        <v>525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1"/>
      <c r="AI489" s="1"/>
    </row>
    <row x14ac:dyDescent="0.25" r="490" customHeight="1" ht="18.75">
      <c r="A490" s="1" t="s">
        <v>843</v>
      </c>
      <c r="B490" s="14">
        <v>1.0020833333333334</v>
      </c>
      <c r="C490" s="3">
        <v>0.394</v>
      </c>
      <c r="D490" s="4"/>
      <c r="E490" s="4"/>
      <c r="F490" s="4">
        <f>TEXT(A490,"yyyy/mm/dd") &amp; " " &amp; TEXT(B490,"hh:mm:ss")</f>
      </c>
      <c r="G490" s="4" t="s">
        <v>526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1"/>
      <c r="AI490" s="1"/>
    </row>
    <row x14ac:dyDescent="0.25" r="491" customHeight="1" ht="18.75">
      <c r="A491" s="1" t="s">
        <v>844</v>
      </c>
      <c r="B491" s="14">
        <v>1.0006944444444446</v>
      </c>
      <c r="C491" s="3">
        <v>0.228</v>
      </c>
      <c r="D491" s="4"/>
      <c r="E491" s="4"/>
      <c r="F491" s="4">
        <f>TEXT(A491,"yyyy/mm/dd") &amp; " " &amp; TEXT(B491,"hh:mm:ss")</f>
      </c>
      <c r="G491" s="4" t="s">
        <v>527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1"/>
      <c r="AI491" s="1"/>
    </row>
    <row x14ac:dyDescent="0.25" r="492" customHeight="1" ht="18.75">
      <c r="A492" s="21" t="s">
        <v>845</v>
      </c>
      <c r="B492" s="24">
        <v>1.00625</v>
      </c>
      <c r="C492" s="13">
        <v>0.125</v>
      </c>
      <c r="D492" s="4"/>
      <c r="E492" s="4"/>
      <c r="F492" s="4">
        <f>TEXT(A492,"yyyy/mm/dd") &amp; " " &amp; TEXT(B492,"hh:mm:ss")</f>
      </c>
      <c r="G492" s="20" t="s">
        <v>528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23"/>
      <c r="AI492" s="1"/>
    </row>
    <row x14ac:dyDescent="0.25" r="493" customHeight="1" ht="18.75">
      <c r="A493" s="1" t="s">
        <v>846</v>
      </c>
      <c r="B493" s="14">
        <v>1.73125</v>
      </c>
      <c r="C493" s="3">
        <v>3.6</v>
      </c>
      <c r="D493" s="4"/>
      <c r="E493" s="4"/>
      <c r="F493" s="4">
        <f>TEXT(A493,"yyyy/mm/dd") &amp; " " &amp; TEXT(B493,"hh:mm:ss")</f>
      </c>
      <c r="G493" s="4" t="s">
        <v>530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1"/>
      <c r="AI493" s="1"/>
    </row>
    <row x14ac:dyDescent="0.25" r="494" customHeight="1" ht="18.75">
      <c r="A494" s="1" t="s">
        <v>846</v>
      </c>
      <c r="B494" s="14">
        <v>1.917361111111111</v>
      </c>
      <c r="C494" s="3">
        <v>14.44</v>
      </c>
      <c r="D494" s="4"/>
      <c r="E494" s="4"/>
      <c r="F494" s="4">
        <f>TEXT(A494,"yyyy/mm/dd") &amp; " " &amp; TEXT(B494,"hh:mm:ss")</f>
      </c>
      <c r="G494" s="4" t="s">
        <v>531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1"/>
      <c r="AI494" s="1"/>
    </row>
    <row x14ac:dyDescent="0.25" r="495" customHeight="1" ht="18.75">
      <c r="A495" s="1" t="s">
        <v>847</v>
      </c>
      <c r="B495" s="14">
        <v>1.0138888888888888</v>
      </c>
      <c r="C495" s="3">
        <v>6.84</v>
      </c>
      <c r="D495" s="4"/>
      <c r="E495" s="4"/>
      <c r="F495" s="4">
        <f>TEXT(A495,"yyyy/mm/dd") &amp; " " &amp; TEXT(B495,"hh:mm:ss")</f>
      </c>
      <c r="G495" s="4" t="s">
        <v>532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1"/>
      <c r="AI495" s="1"/>
    </row>
    <row x14ac:dyDescent="0.25" r="496" customHeight="1" ht="18.75">
      <c r="A496" s="1" t="s">
        <v>848</v>
      </c>
      <c r="B496" s="14">
        <v>1.0152777777777777</v>
      </c>
      <c r="C496" s="3">
        <v>7.14</v>
      </c>
      <c r="D496" s="4"/>
      <c r="E496" s="4"/>
      <c r="F496" s="4">
        <f>TEXT(A496,"yyyy/mm/dd") &amp; " " &amp; TEXT(B496,"hh:mm:ss")</f>
      </c>
      <c r="G496" s="4" t="s">
        <v>533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1"/>
      <c r="AI496" s="1"/>
    </row>
    <row x14ac:dyDescent="0.25" r="497" customHeight="1" ht="18.75">
      <c r="A497" s="1" t="s">
        <v>849</v>
      </c>
      <c r="B497" s="14">
        <v>1.0083333333333333</v>
      </c>
      <c r="C497" s="3">
        <v>6.84</v>
      </c>
      <c r="D497" s="4"/>
      <c r="E497" s="4"/>
      <c r="F497" s="4">
        <f>TEXT(A497,"yyyy/mm/dd") &amp; " " &amp; TEXT(B497,"hh:mm:ss")</f>
      </c>
      <c r="G497" s="4" t="s">
        <v>534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1"/>
      <c r="AI497" s="1"/>
    </row>
    <row x14ac:dyDescent="0.25" r="498" customHeight="1" ht="18.75">
      <c r="A498" s="1" t="s">
        <v>850</v>
      </c>
      <c r="B498" s="14">
        <v>1.01875</v>
      </c>
      <c r="C498" s="3">
        <v>5.49</v>
      </c>
      <c r="D498" s="4"/>
      <c r="E498" s="4"/>
      <c r="F498" s="4">
        <f>TEXT(A498,"yyyy/mm/dd") &amp; " " &amp; TEXT(B498,"hh:mm:ss")</f>
      </c>
      <c r="G498" s="4" t="s">
        <v>535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1"/>
      <c r="AI498" s="1"/>
    </row>
    <row x14ac:dyDescent="0.25" r="499" customHeight="1" ht="18.75">
      <c r="A499" s="1" t="s">
        <v>851</v>
      </c>
      <c r="B499" s="14">
        <v>1.023611111111111</v>
      </c>
      <c r="C499" s="3">
        <v>3.87</v>
      </c>
      <c r="D499" s="4"/>
      <c r="E499" s="4"/>
      <c r="F499" s="4">
        <f>TEXT(A499,"yyyy/mm/dd") &amp; " " &amp; TEXT(B499,"hh:mm:ss")</f>
      </c>
      <c r="G499" s="4" t="s">
        <v>536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1"/>
      <c r="AI499" s="1"/>
    </row>
    <row x14ac:dyDescent="0.25" r="500" customHeight="1" ht="18.75">
      <c r="A500" s="1" t="s">
        <v>852</v>
      </c>
      <c r="B500" s="14">
        <v>1.0027777777777778</v>
      </c>
      <c r="C500" s="3">
        <v>2.3</v>
      </c>
      <c r="D500" s="4"/>
      <c r="E500" s="4"/>
      <c r="F500" s="4">
        <f>TEXT(A500,"yyyy/mm/dd") &amp; " " &amp; TEXT(B500,"hh:mm:ss")</f>
      </c>
      <c r="G500" s="4" t="s">
        <v>537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1"/>
      <c r="AI500" s="1"/>
    </row>
    <row x14ac:dyDescent="0.25" r="501" customHeight="1" ht="18.75">
      <c r="A501" s="1" t="s">
        <v>853</v>
      </c>
      <c r="B501" s="14">
        <v>1.007638888888889</v>
      </c>
      <c r="C501" s="3">
        <v>1.54</v>
      </c>
      <c r="D501" s="4"/>
      <c r="E501" s="4"/>
      <c r="F501" s="4">
        <f>TEXT(A501,"yyyy/mm/dd") &amp; " " &amp; TEXT(B501,"hh:mm:ss")</f>
      </c>
      <c r="G501" s="4" t="s">
        <v>538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1"/>
      <c r="AI501" s="1"/>
    </row>
    <row x14ac:dyDescent="0.25" r="502" customHeight="1" ht="18.75">
      <c r="A502" s="1" t="s">
        <v>854</v>
      </c>
      <c r="B502" s="14">
        <v>1.2354166666666666</v>
      </c>
      <c r="C502" s="3">
        <v>1.15</v>
      </c>
      <c r="D502" s="4"/>
      <c r="E502" s="4"/>
      <c r="F502" s="4">
        <f>TEXT(A502,"yyyy/mm/dd") &amp; " " &amp; TEXT(B502,"hh:mm:ss")</f>
      </c>
      <c r="G502" s="4" t="s">
        <v>539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1"/>
      <c r="AI502" s="1"/>
    </row>
    <row x14ac:dyDescent="0.25" r="503" customHeight="1" ht="18.75">
      <c r="A503" s="1" t="s">
        <v>855</v>
      </c>
      <c r="B503" s="14">
        <v>1.0013888888888889</v>
      </c>
      <c r="C503" s="3">
        <v>0.727</v>
      </c>
      <c r="D503" s="4"/>
      <c r="E503" s="4"/>
      <c r="F503" s="4">
        <f>TEXT(A503,"yyyy/mm/dd") &amp; " " &amp; TEXT(B503,"hh:mm:ss")</f>
      </c>
      <c r="G503" s="4" t="s">
        <v>540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1"/>
      <c r="AI503" s="1"/>
    </row>
    <row x14ac:dyDescent="0.25" r="504" customHeight="1" ht="18.75">
      <c r="A504" s="1" t="s">
        <v>856</v>
      </c>
      <c r="B504" s="14">
        <v>1.0013888888888889</v>
      </c>
      <c r="C504" s="3">
        <v>0.482</v>
      </c>
      <c r="D504" s="4"/>
      <c r="E504" s="4"/>
      <c r="F504" s="4">
        <f>TEXT(A504,"yyyy/mm/dd") &amp; " " &amp; TEXT(B504,"hh:mm:ss")</f>
      </c>
      <c r="G504" s="4" t="s">
        <v>541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1"/>
      <c r="AI504" s="1"/>
    </row>
    <row x14ac:dyDescent="0.25" r="505" customHeight="1" ht="18.75">
      <c r="A505" s="1" t="s">
        <v>857</v>
      </c>
      <c r="B505" s="14">
        <v>1.0027777777777778</v>
      </c>
      <c r="C505" s="3">
        <v>0.364</v>
      </c>
      <c r="D505" s="4"/>
      <c r="E505" s="4"/>
      <c r="F505" s="4">
        <f>TEXT(A505,"yyyy/mm/dd") &amp; " " &amp; TEXT(B505,"hh:mm:ss")</f>
      </c>
      <c r="G505" s="4" t="s">
        <v>542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1"/>
      <c r="AI505" s="1"/>
    </row>
    <row x14ac:dyDescent="0.25" r="506" customHeight="1" ht="18.75">
      <c r="A506" s="1" t="s">
        <v>858</v>
      </c>
      <c r="B506" s="14">
        <v>1.0048611111111112</v>
      </c>
      <c r="C506" s="3">
        <v>0.267</v>
      </c>
      <c r="D506" s="4"/>
      <c r="E506" s="4"/>
      <c r="F506" s="4">
        <f>TEXT(A506,"yyyy/mm/dd") &amp; " " &amp; TEXT(B506,"hh:mm:ss")</f>
      </c>
      <c r="G506" s="4" t="s">
        <v>543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1"/>
      <c r="AI506" s="1"/>
    </row>
    <row x14ac:dyDescent="0.25" r="507" customHeight="1" ht="18.75">
      <c r="A507" s="1" t="s">
        <v>859</v>
      </c>
      <c r="B507" s="25">
        <v>1.25</v>
      </c>
      <c r="C507" s="3">
        <v>0.217</v>
      </c>
      <c r="D507" s="4"/>
      <c r="E507" s="4"/>
      <c r="F507" s="4">
        <f>TEXT(A507,"yyyy/mm/dd") &amp; " " &amp; TEXT(B507,"hh:mm:ss")</f>
      </c>
      <c r="G507" s="4" t="s">
        <v>544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1"/>
      <c r="AI507" s="1"/>
    </row>
    <row x14ac:dyDescent="0.25" r="508" customHeight="1" ht="18.75">
      <c r="A508" s="1" t="s">
        <v>860</v>
      </c>
      <c r="B508" s="14">
        <v>1.0020833333333334</v>
      </c>
      <c r="C508" s="3">
        <v>0.16</v>
      </c>
      <c r="D508" s="4"/>
      <c r="E508" s="4"/>
      <c r="F508" s="4">
        <f>TEXT(A508,"yyyy/mm/dd") &amp; " " &amp; TEXT(B508,"hh:mm:ss")</f>
      </c>
      <c r="G508" s="4" t="s">
        <v>545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1"/>
      <c r="AI508" s="1"/>
    </row>
    <row x14ac:dyDescent="0.25" r="509" customHeight="1" ht="18.75">
      <c r="A509" s="1" t="s">
        <v>860</v>
      </c>
      <c r="B509" s="14">
        <v>1.6520833333333333</v>
      </c>
      <c r="C509" s="3">
        <v>0.147</v>
      </c>
      <c r="D509" s="4"/>
      <c r="E509" s="4"/>
      <c r="F509" s="4">
        <f>TEXT(A509,"yyyy/mm/dd") &amp; " " &amp; TEXT(B509,"hh:mm:ss")</f>
      </c>
      <c r="G509" s="4" t="s">
        <v>546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1"/>
      <c r="AI509" s="1"/>
    </row>
    <row x14ac:dyDescent="0.25" r="510" customHeight="1" ht="18.75">
      <c r="A510" s="1" t="s">
        <v>861</v>
      </c>
      <c r="B510" s="14">
        <v>1.0041666666666667</v>
      </c>
      <c r="C510" s="3">
        <v>0.143</v>
      </c>
      <c r="D510" s="4"/>
      <c r="E510" s="4"/>
      <c r="F510" s="4">
        <f>TEXT(A510,"yyyy/mm/dd") &amp; " " &amp; TEXT(B510,"hh:mm:ss")</f>
      </c>
      <c r="G510" s="4" t="s">
        <v>547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1"/>
      <c r="AI510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E56"/>
  <sheetViews>
    <sheetView workbookViewId="0"/>
  </sheetViews>
  <sheetFormatPr defaultRowHeight="15" x14ac:dyDescent="0.25"/>
  <cols>
    <col min="1" max="1" style="8" width="13.576428571428572" customWidth="1" bestFit="1"/>
    <col min="2" max="2" style="9" width="13.576428571428572" customWidth="1" bestFit="1"/>
    <col min="3" max="3" style="9" width="13.576428571428572" customWidth="1" bestFit="1"/>
    <col min="4" max="4" style="9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9" width="13.576428571428572" customWidth="1" bestFit="1"/>
    <col min="9" max="9" style="9" width="13.576428571428572" customWidth="1" bestFit="1"/>
    <col min="10" max="10" style="9" width="13.576428571428572" customWidth="1" bestFit="1"/>
    <col min="11" max="11" style="9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1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  <col min="27" max="27" style="10" width="13.576428571428572" customWidth="1" bestFit="1"/>
    <col min="28" max="28" style="10" width="13.576428571428572" customWidth="1" bestFit="1"/>
    <col min="29" max="29" style="10" width="13.576428571428572" customWidth="1" bestFit="1"/>
    <col min="30" max="30" style="10" width="13.576428571428572" customWidth="1" bestFit="1"/>
    <col min="31" max="31" style="10" width="13.576428571428572" customWidth="1" bestFit="1"/>
  </cols>
  <sheetData>
    <row x14ac:dyDescent="0.25" r="1" customHeight="1" ht="18.75">
      <c r="A1" s="1" t="s">
        <v>0</v>
      </c>
      <c r="B1" s="2">
        <v>1.25</v>
      </c>
      <c r="C1" s="3">
        <v>12.9</v>
      </c>
      <c r="D1" s="2">
        <v>1.4361111111111111</v>
      </c>
      <c r="E1" s="3">
        <v>6.94</v>
      </c>
      <c r="F1" s="2">
        <v>1.7888888888888888</v>
      </c>
      <c r="G1" s="3">
        <v>4.58</v>
      </c>
      <c r="H1" s="2">
        <v>2.811111111111111</v>
      </c>
      <c r="I1" s="3">
        <v>2.93</v>
      </c>
      <c r="J1" s="2">
        <v>3.8090277777777777</v>
      </c>
      <c r="K1" s="3">
        <v>4.08</v>
      </c>
      <c r="L1" s="2">
        <v>4.857638888888889</v>
      </c>
      <c r="M1" s="3">
        <v>3.72</v>
      </c>
      <c r="N1" s="2">
        <v>5.841666666666667</v>
      </c>
      <c r="O1" s="3">
        <v>2.41</v>
      </c>
      <c r="P1" s="2">
        <v>7.8375</v>
      </c>
      <c r="Q1" s="3">
        <v>0.674</v>
      </c>
      <c r="R1" s="2"/>
      <c r="S1" s="4"/>
      <c r="T1" s="2"/>
      <c r="U1" s="4"/>
      <c r="V1" s="2"/>
      <c r="W1" s="4"/>
      <c r="X1" s="4"/>
      <c r="Y1" s="4"/>
      <c r="Z1" s="4"/>
      <c r="AA1" s="4"/>
      <c r="AB1" s="4"/>
      <c r="AC1" s="4"/>
      <c r="AD1" s="4"/>
      <c r="AE1" s="4"/>
    </row>
    <row x14ac:dyDescent="0.25" r="2" customHeight="1" ht="18.75">
      <c r="A2" s="1" t="s">
        <v>1</v>
      </c>
      <c r="B2" s="2">
        <v>1.211111111111111</v>
      </c>
      <c r="C2" s="3">
        <v>0.189</v>
      </c>
      <c r="D2" s="2">
        <v>1.4298611111111112</v>
      </c>
      <c r="E2" s="3">
        <v>0.468</v>
      </c>
      <c r="F2" s="2">
        <v>1.9513888888888888</v>
      </c>
      <c r="G2" s="3">
        <v>0.322</v>
      </c>
      <c r="H2" s="2">
        <v>3.004861111111111</v>
      </c>
      <c r="I2" s="3">
        <v>0.232</v>
      </c>
      <c r="J2" s="2">
        <v>4.003472222222222</v>
      </c>
      <c r="K2" s="3">
        <v>0.24</v>
      </c>
      <c r="L2" s="2">
        <v>5.052777777777778</v>
      </c>
      <c r="M2" s="3">
        <v>0.231</v>
      </c>
      <c r="N2" s="2">
        <v>6.031944444444444</v>
      </c>
      <c r="O2" s="3">
        <v>0.199</v>
      </c>
      <c r="P2" s="2">
        <v>7.027083333333334</v>
      </c>
      <c r="Q2" s="3">
        <v>0.146</v>
      </c>
      <c r="R2" s="2">
        <v>8.029166666666667</v>
      </c>
      <c r="S2" s="3">
        <v>0.11</v>
      </c>
      <c r="T2" s="2"/>
      <c r="U2" s="4"/>
      <c r="V2" s="2"/>
      <c r="W2" s="4"/>
      <c r="X2" s="4"/>
      <c r="Y2" s="4"/>
      <c r="Z2" s="4"/>
      <c r="AA2" s="4"/>
      <c r="AB2" s="4"/>
      <c r="AC2" s="4"/>
      <c r="AD2" s="4"/>
      <c r="AE2" s="4"/>
    </row>
    <row x14ac:dyDescent="0.25" r="3" customHeight="1" ht="18.75">
      <c r="A3" s="1" t="s">
        <v>2</v>
      </c>
      <c r="B3" s="2">
        <v>1.0354166666666667</v>
      </c>
      <c r="C3" s="3">
        <v>2.24</v>
      </c>
      <c r="D3" s="2">
        <v>1.1604166666666667</v>
      </c>
      <c r="E3" s="3">
        <v>6.93</v>
      </c>
      <c r="F3" s="2">
        <v>1.4618055555555556</v>
      </c>
      <c r="G3" s="3">
        <v>7.01</v>
      </c>
      <c r="H3" s="2">
        <v>2.4638888888888886</v>
      </c>
      <c r="I3" s="3">
        <v>2.49</v>
      </c>
      <c r="J3" s="2">
        <v>3.4375</v>
      </c>
      <c r="K3" s="3">
        <v>3.16</v>
      </c>
      <c r="L3" s="2">
        <v>4.415972222222223</v>
      </c>
      <c r="M3" s="3">
        <v>3.82</v>
      </c>
      <c r="N3" s="2">
        <v>5.429861111111111</v>
      </c>
      <c r="O3" s="3">
        <v>3.4</v>
      </c>
      <c r="P3" s="2"/>
      <c r="Q3" s="4"/>
      <c r="R3" s="2"/>
      <c r="S3" s="4"/>
      <c r="T3" s="2"/>
      <c r="U3" s="4"/>
      <c r="V3" s="2"/>
      <c r="W3" s="4"/>
      <c r="X3" s="4"/>
      <c r="Y3" s="4"/>
      <c r="Z3" s="4"/>
      <c r="AA3" s="4"/>
      <c r="AB3" s="4"/>
      <c r="AC3" s="4"/>
      <c r="AD3" s="4"/>
      <c r="AE3" s="4"/>
    </row>
    <row x14ac:dyDescent="0.25" r="4" customHeight="1" ht="18.75">
      <c r="A4" s="1" t="s">
        <v>3</v>
      </c>
      <c r="B4" s="2">
        <v>1.2145833333333333</v>
      </c>
      <c r="C4" s="3">
        <v>0.345</v>
      </c>
      <c r="D4" s="2">
        <v>1.5152777777777777</v>
      </c>
      <c r="E4" s="3">
        <v>1.3</v>
      </c>
      <c r="F4" s="2">
        <v>1.8111111111111111</v>
      </c>
      <c r="G4" s="3">
        <v>0.893</v>
      </c>
      <c r="H4" s="2">
        <v>2.863888888888889</v>
      </c>
      <c r="I4" s="3">
        <v>0.759</v>
      </c>
      <c r="J4" s="2">
        <v>3.84375</v>
      </c>
      <c r="K4" s="3">
        <v>1.02</v>
      </c>
      <c r="L4" s="2"/>
      <c r="M4" s="4"/>
      <c r="N4" s="2"/>
      <c r="O4" s="4"/>
      <c r="P4" s="2"/>
      <c r="Q4" s="4"/>
      <c r="R4" s="2"/>
      <c r="S4" s="4"/>
      <c r="T4" s="2"/>
      <c r="U4" s="4"/>
      <c r="V4" s="2"/>
      <c r="W4" s="4"/>
      <c r="X4" s="4"/>
      <c r="Y4" s="4"/>
      <c r="Z4" s="4"/>
      <c r="AA4" s="4"/>
      <c r="AB4" s="4"/>
      <c r="AC4" s="4"/>
      <c r="AD4" s="4"/>
      <c r="AE4" s="4"/>
    </row>
    <row x14ac:dyDescent="0.25" r="5" customHeight="1" ht="18.75">
      <c r="A5" s="1" t="s">
        <v>4</v>
      </c>
      <c r="B5" s="2">
        <v>1.2159722222222222</v>
      </c>
      <c r="C5" s="3">
        <v>0.096</v>
      </c>
      <c r="D5" s="2">
        <v>1.39375</v>
      </c>
      <c r="E5" s="3">
        <v>0.245</v>
      </c>
      <c r="F5" s="2">
        <v>2.2319444444444443</v>
      </c>
      <c r="G5" s="3">
        <v>0.636</v>
      </c>
      <c r="H5" s="2">
        <v>3.290277777777778</v>
      </c>
      <c r="I5" s="3">
        <v>0.474</v>
      </c>
      <c r="J5" s="2">
        <v>4.277083333333334</v>
      </c>
      <c r="K5" s="3">
        <v>0.614</v>
      </c>
      <c r="L5" s="2">
        <v>5.269444444444445</v>
      </c>
      <c r="M5" s="3">
        <v>0.628</v>
      </c>
      <c r="N5" s="2">
        <v>6.271527777777778</v>
      </c>
      <c r="O5" s="3">
        <v>0.39</v>
      </c>
      <c r="P5" s="2"/>
      <c r="Q5" s="4"/>
      <c r="R5" s="2"/>
      <c r="S5" s="4"/>
      <c r="T5" s="2"/>
      <c r="U5" s="4"/>
      <c r="V5" s="2"/>
      <c r="W5" s="4"/>
      <c r="X5" s="4"/>
      <c r="Y5" s="4"/>
      <c r="Z5" s="4"/>
      <c r="AA5" s="4"/>
      <c r="AB5" s="4"/>
      <c r="AC5" s="4"/>
      <c r="AD5" s="4"/>
      <c r="AE5" s="4"/>
    </row>
    <row x14ac:dyDescent="0.25" r="6" customHeight="1" ht="18.75">
      <c r="A6" s="1" t="s">
        <v>5</v>
      </c>
      <c r="B6" s="2">
        <v>1.1826388888888888</v>
      </c>
      <c r="C6" s="3">
        <v>0.153</v>
      </c>
      <c r="D6" s="2">
        <v>1.5034722222222223</v>
      </c>
      <c r="E6" s="3">
        <v>0.155</v>
      </c>
      <c r="F6" s="2">
        <v>1.5881944444444445</v>
      </c>
      <c r="G6" s="3">
        <v>0.174</v>
      </c>
      <c r="H6" s="2">
        <v>2.5944444444444446</v>
      </c>
      <c r="I6" s="3">
        <v>0.113</v>
      </c>
      <c r="J6" s="2">
        <v>3.576388888888889</v>
      </c>
      <c r="K6" s="3">
        <v>0.114</v>
      </c>
      <c r="L6" s="2">
        <v>4.584722222222222</v>
      </c>
      <c r="M6" s="3">
        <v>0.142</v>
      </c>
      <c r="N6" s="2">
        <v>5.598611111111111</v>
      </c>
      <c r="O6" s="3">
        <v>0.07</v>
      </c>
      <c r="P6" s="2"/>
      <c r="Q6" s="4"/>
      <c r="R6" s="2"/>
      <c r="S6" s="4"/>
      <c r="T6" s="2"/>
      <c r="U6" s="4"/>
      <c r="V6" s="2"/>
      <c r="W6" s="4"/>
      <c r="X6" s="4"/>
      <c r="Y6" s="4"/>
      <c r="Z6" s="4"/>
      <c r="AA6" s="4"/>
      <c r="AB6" s="4"/>
      <c r="AC6" s="4"/>
      <c r="AD6" s="4"/>
      <c r="AE6" s="4"/>
    </row>
    <row x14ac:dyDescent="0.25" r="7" customHeight="1" ht="18.75">
      <c r="A7" s="1" t="s">
        <v>6</v>
      </c>
      <c r="B7" s="2">
        <v>1.3631944444444444</v>
      </c>
      <c r="C7" s="3">
        <v>0.029</v>
      </c>
      <c r="D7" s="2">
        <v>2.084722222222222</v>
      </c>
      <c r="E7" s="3">
        <v>0.031</v>
      </c>
      <c r="F7" s="2">
        <v>3.1180555555555554</v>
      </c>
      <c r="G7" s="3">
        <v>0.036</v>
      </c>
      <c r="H7" s="2"/>
      <c r="I7" s="5"/>
      <c r="J7" s="2"/>
      <c r="K7" s="5"/>
      <c r="L7" s="2"/>
      <c r="M7" s="4"/>
      <c r="N7" s="2"/>
      <c r="O7" s="4"/>
      <c r="P7" s="2"/>
      <c r="Q7" s="4"/>
      <c r="R7" s="2"/>
      <c r="S7" s="4"/>
      <c r="T7" s="2"/>
      <c r="U7" s="4"/>
      <c r="V7" s="2"/>
      <c r="W7" s="4"/>
      <c r="X7" s="4"/>
      <c r="Y7" s="4"/>
      <c r="Z7" s="4"/>
      <c r="AA7" s="4"/>
      <c r="AB7" s="4"/>
      <c r="AC7" s="4"/>
      <c r="AD7" s="4"/>
      <c r="AE7" s="4"/>
    </row>
    <row x14ac:dyDescent="0.25" r="8" customHeight="1" ht="18.75">
      <c r="A8" s="1" t="s">
        <v>7</v>
      </c>
      <c r="B8" s="2">
        <v>2.3493055555555555</v>
      </c>
      <c r="C8" s="3">
        <v>1.78</v>
      </c>
      <c r="D8" s="2">
        <v>2.7930555555555556</v>
      </c>
      <c r="E8" s="3">
        <v>2.06</v>
      </c>
      <c r="F8" s="2">
        <v>3.826388888888889</v>
      </c>
      <c r="G8" s="3">
        <v>2.17</v>
      </c>
      <c r="H8" s="2">
        <v>4.14375</v>
      </c>
      <c r="I8" s="3">
        <v>1.96</v>
      </c>
      <c r="J8" s="2">
        <v>4.777083333333334</v>
      </c>
      <c r="K8" s="3">
        <v>1.67</v>
      </c>
      <c r="L8" s="2">
        <v>5.813888888888889</v>
      </c>
      <c r="M8" s="3">
        <v>1.06</v>
      </c>
      <c r="N8" s="2"/>
      <c r="O8" s="4"/>
      <c r="P8" s="2"/>
      <c r="Q8" s="4"/>
      <c r="R8" s="2"/>
      <c r="S8" s="4"/>
      <c r="T8" s="2"/>
      <c r="U8" s="4"/>
      <c r="V8" s="2"/>
      <c r="W8" s="4"/>
      <c r="X8" s="4"/>
      <c r="Y8" s="4"/>
      <c r="Z8" s="4"/>
      <c r="AA8" s="4"/>
      <c r="AB8" s="4"/>
      <c r="AC8" s="4"/>
      <c r="AD8" s="4"/>
      <c r="AE8" s="4"/>
    </row>
    <row x14ac:dyDescent="0.25" r="9" customHeight="1" ht="18.75">
      <c r="A9" s="1" t="s">
        <v>8</v>
      </c>
      <c r="B9" s="2">
        <v>1.2055555555555555</v>
      </c>
      <c r="C9" s="3">
        <v>0.096</v>
      </c>
      <c r="D9" s="2">
        <v>1.3659722222222221</v>
      </c>
      <c r="E9" s="3">
        <v>0.389</v>
      </c>
      <c r="F9" s="2">
        <v>1.7909722222222222</v>
      </c>
      <c r="G9" s="3">
        <v>0.796</v>
      </c>
      <c r="H9" s="2">
        <v>2.811111111111111</v>
      </c>
      <c r="I9" s="3">
        <v>0.436</v>
      </c>
      <c r="J9" s="2">
        <v>3.8090277777777777</v>
      </c>
      <c r="K9" s="3">
        <v>0.487</v>
      </c>
      <c r="L9" s="2">
        <v>4.773611111111111</v>
      </c>
      <c r="M9" s="3">
        <v>0.521</v>
      </c>
      <c r="N9" s="2"/>
      <c r="O9" s="4"/>
      <c r="P9" s="2"/>
      <c r="Q9" s="4"/>
      <c r="R9" s="2"/>
      <c r="S9" s="4"/>
      <c r="T9" s="2"/>
      <c r="U9" s="4"/>
      <c r="V9" s="2"/>
      <c r="W9" s="4"/>
      <c r="X9" s="4"/>
      <c r="Y9" s="4"/>
      <c r="Z9" s="4"/>
      <c r="AA9" s="4"/>
      <c r="AB9" s="4"/>
      <c r="AC9" s="4"/>
      <c r="AD9" s="4"/>
      <c r="AE9" s="4"/>
    </row>
    <row x14ac:dyDescent="0.25" r="10" customHeight="1" ht="18.75">
      <c r="A10" s="1" t="s">
        <v>9</v>
      </c>
      <c r="B10" s="2">
        <v>1.3069444444444445</v>
      </c>
      <c r="C10" s="3">
        <v>18.24</v>
      </c>
      <c r="D10" s="2">
        <v>1.65625</v>
      </c>
      <c r="E10" s="3">
        <v>11.91</v>
      </c>
      <c r="F10" s="2">
        <v>2.063888888888889</v>
      </c>
      <c r="G10" s="3">
        <v>8.33</v>
      </c>
      <c r="H10" s="2">
        <v>2.803472222222222</v>
      </c>
      <c r="I10" s="3">
        <v>6.01</v>
      </c>
      <c r="J10" s="2">
        <v>3.767361111111111</v>
      </c>
      <c r="K10" s="3">
        <v>5.64</v>
      </c>
      <c r="L10" s="2">
        <v>4.731944444444444</v>
      </c>
      <c r="M10" s="3">
        <v>5.68</v>
      </c>
      <c r="N10" s="2">
        <v>5.788888888888889</v>
      </c>
      <c r="O10" s="3">
        <v>5.45</v>
      </c>
      <c r="P10" s="2">
        <v>7.7756944444444445</v>
      </c>
      <c r="Q10" s="3">
        <v>2.07</v>
      </c>
      <c r="R10" s="2"/>
      <c r="S10" s="4"/>
      <c r="T10" s="2"/>
      <c r="U10" s="4"/>
      <c r="V10" s="2"/>
      <c r="W10" s="4"/>
      <c r="X10" s="4"/>
      <c r="Y10" s="4"/>
      <c r="Z10" s="4"/>
      <c r="AA10" s="4"/>
      <c r="AB10" s="4"/>
      <c r="AC10" s="4"/>
      <c r="AD10" s="4"/>
      <c r="AE10" s="4"/>
    </row>
    <row x14ac:dyDescent="0.25" r="11" customHeight="1" ht="18.75">
      <c r="A11" s="1" t="s">
        <v>10</v>
      </c>
      <c r="B11" s="2">
        <v>1.9916666666666667</v>
      </c>
      <c r="C11" s="3">
        <v>3.87</v>
      </c>
      <c r="D11" s="2">
        <v>1.9902777777777778</v>
      </c>
      <c r="E11" s="3">
        <v>3.87</v>
      </c>
      <c r="F11" s="2">
        <v>2.217361111111111</v>
      </c>
      <c r="G11" s="3">
        <v>2.9</v>
      </c>
      <c r="H11" s="2">
        <v>2.7694444444444444</v>
      </c>
      <c r="I11" s="3">
        <v>3.1</v>
      </c>
      <c r="J11" s="2">
        <v>3.767361111111111</v>
      </c>
      <c r="K11" s="3">
        <v>2.38</v>
      </c>
      <c r="L11" s="2">
        <v>4.711111111111111</v>
      </c>
      <c r="M11" s="3">
        <v>2.64</v>
      </c>
      <c r="N11" s="2">
        <v>5.7652777777777775</v>
      </c>
      <c r="O11" s="3">
        <v>2.49</v>
      </c>
      <c r="P11" s="2">
        <v>6.780555555555556</v>
      </c>
      <c r="Q11" s="3">
        <v>0.01</v>
      </c>
      <c r="R11" s="2">
        <v>6.780555555555556</v>
      </c>
      <c r="S11" s="3">
        <v>2.03</v>
      </c>
      <c r="T11" s="2"/>
      <c r="U11" s="4"/>
      <c r="V11" s="2"/>
      <c r="W11" s="4"/>
      <c r="X11" s="4"/>
      <c r="Y11" s="4"/>
      <c r="Z11" s="4"/>
      <c r="AA11" s="4"/>
      <c r="AB11" s="4"/>
      <c r="AC11" s="4"/>
      <c r="AD11" s="4"/>
      <c r="AE11" s="4"/>
    </row>
    <row x14ac:dyDescent="0.25" r="12" customHeight="1" ht="18.75">
      <c r="A12" s="1" t="s">
        <v>11</v>
      </c>
      <c r="B12" s="2">
        <v>1.5645833333333332</v>
      </c>
      <c r="C12" s="3">
        <v>2.83</v>
      </c>
      <c r="D12" s="2">
        <v>1.7729166666666667</v>
      </c>
      <c r="E12" s="3">
        <v>4.1</v>
      </c>
      <c r="F12" s="2">
        <v>2.154861111111111</v>
      </c>
      <c r="G12" s="3">
        <v>2.44</v>
      </c>
      <c r="H12" s="2">
        <v>2.604166666666667</v>
      </c>
      <c r="I12" s="3">
        <v>1.68</v>
      </c>
      <c r="J12" s="2">
        <v>3.1375</v>
      </c>
      <c r="K12" s="3">
        <v>2.16</v>
      </c>
      <c r="L12" s="2">
        <v>4.138194444444444</v>
      </c>
      <c r="M12" s="3">
        <v>2.87</v>
      </c>
      <c r="N12" s="2">
        <v>5.2034722222222225</v>
      </c>
      <c r="O12" s="3">
        <v>2.09</v>
      </c>
      <c r="P12" s="2">
        <v>6.164583333333334</v>
      </c>
      <c r="Q12" s="3">
        <v>0.992</v>
      </c>
      <c r="R12" s="2">
        <v>7.1715277777777775</v>
      </c>
      <c r="S12" s="3">
        <v>0.451</v>
      </c>
      <c r="T12" s="2">
        <v>8.151388888888889</v>
      </c>
      <c r="U12" s="3">
        <v>0.205</v>
      </c>
      <c r="V12" s="2"/>
      <c r="W12" s="4"/>
      <c r="X12" s="4"/>
      <c r="Y12" s="4"/>
      <c r="Z12" s="4"/>
      <c r="AA12" s="4"/>
      <c r="AB12" s="4"/>
      <c r="AC12" s="4"/>
      <c r="AD12" s="4"/>
      <c r="AE12" s="4"/>
    </row>
    <row x14ac:dyDescent="0.25" r="13" customHeight="1" ht="18.75">
      <c r="A13" s="1" t="s">
        <v>12</v>
      </c>
      <c r="B13" s="2">
        <v>1.7472222222222222</v>
      </c>
      <c r="C13" s="3">
        <v>1.44</v>
      </c>
      <c r="D13" s="2">
        <v>2.2729166666666667</v>
      </c>
      <c r="E13" s="3">
        <v>2.01</v>
      </c>
      <c r="F13" s="2">
        <v>2.615972222222222</v>
      </c>
      <c r="G13" s="3">
        <v>1.7</v>
      </c>
      <c r="H13" s="2">
        <v>3.6375</v>
      </c>
      <c r="I13" s="3">
        <v>1.89</v>
      </c>
      <c r="J13" s="2">
        <v>4.010416666666666</v>
      </c>
      <c r="K13" s="3">
        <v>1.72</v>
      </c>
      <c r="L13" s="2">
        <v>4.647916666666667</v>
      </c>
      <c r="M13" s="3">
        <v>1.69</v>
      </c>
      <c r="N13" s="2">
        <v>6.677083333333333</v>
      </c>
      <c r="O13" s="3">
        <v>0.731</v>
      </c>
      <c r="P13" s="2"/>
      <c r="Q13" s="4"/>
      <c r="R13" s="2"/>
      <c r="S13" s="4"/>
      <c r="T13" s="2"/>
      <c r="U13" s="4"/>
      <c r="V13" s="2"/>
      <c r="W13" s="4"/>
      <c r="X13" s="4"/>
      <c r="Y13" s="4"/>
      <c r="Z13" s="4"/>
      <c r="AA13" s="4"/>
      <c r="AB13" s="4"/>
      <c r="AC13" s="4"/>
      <c r="AD13" s="4"/>
      <c r="AE13" s="4"/>
    </row>
    <row x14ac:dyDescent="0.25" r="14" customHeight="1" ht="18.75">
      <c r="A14" s="1" t="s">
        <v>13</v>
      </c>
      <c r="B14" s="2">
        <v>1.4861111111111112</v>
      </c>
      <c r="C14" s="3">
        <v>3.94</v>
      </c>
      <c r="D14" s="2">
        <v>1.50625</v>
      </c>
      <c r="E14" s="6">
        <v>10</v>
      </c>
      <c r="F14" s="2">
        <v>1.80625</v>
      </c>
      <c r="G14" s="3">
        <v>10.68</v>
      </c>
      <c r="H14" s="2">
        <v>2.354861111111111</v>
      </c>
      <c r="I14" s="3">
        <v>7.18</v>
      </c>
      <c r="J14" s="2">
        <v>3.35625</v>
      </c>
      <c r="K14" s="3">
        <v>4.98</v>
      </c>
      <c r="L14" s="2">
        <v>4.382638888888889</v>
      </c>
      <c r="M14" s="3">
        <v>5.1</v>
      </c>
      <c r="N14" s="2">
        <v>5.372916666666667</v>
      </c>
      <c r="O14" s="3">
        <v>4.45</v>
      </c>
      <c r="P14" s="2">
        <v>6.323611111111111</v>
      </c>
      <c r="Q14" s="3">
        <v>3.22</v>
      </c>
      <c r="R14" s="2">
        <v>8.428472222222222</v>
      </c>
      <c r="S14" s="3">
        <v>1.25</v>
      </c>
      <c r="T14" s="2">
        <v>9.368055555555555</v>
      </c>
      <c r="U14" s="3">
        <v>0.744</v>
      </c>
      <c r="V14" s="2"/>
      <c r="W14" s="4"/>
      <c r="X14" s="4"/>
      <c r="Y14" s="4"/>
      <c r="Z14" s="4"/>
      <c r="AA14" s="4"/>
      <c r="AB14" s="4"/>
      <c r="AC14" s="4"/>
      <c r="AD14" s="4"/>
      <c r="AE14" s="4"/>
    </row>
    <row x14ac:dyDescent="0.25" r="15" customHeight="1" ht="18.75">
      <c r="A15" s="1" t="s">
        <v>14</v>
      </c>
      <c r="B15" s="2">
        <v>1.375</v>
      </c>
      <c r="C15" s="3">
        <v>7.01</v>
      </c>
      <c r="D15" s="2">
        <v>1.8506944444444444</v>
      </c>
      <c r="E15" s="3">
        <v>5.27</v>
      </c>
      <c r="F15" s="2">
        <v>2.3583333333333334</v>
      </c>
      <c r="G15" s="3">
        <v>4.95</v>
      </c>
      <c r="H15" s="2">
        <v>3.35625</v>
      </c>
      <c r="I15" s="3">
        <v>3.43</v>
      </c>
      <c r="J15" s="2">
        <v>4.4118055555555555</v>
      </c>
      <c r="K15" s="3">
        <v>4.01</v>
      </c>
      <c r="L15" s="2">
        <v>5.375</v>
      </c>
      <c r="M15" s="3">
        <v>4.7</v>
      </c>
      <c r="N15" s="2">
        <v>6.319444444444445</v>
      </c>
      <c r="O15" s="3">
        <v>3.72</v>
      </c>
      <c r="P15" s="2">
        <v>7.354861111111111</v>
      </c>
      <c r="Q15" s="3">
        <v>3.06</v>
      </c>
      <c r="R15" s="2"/>
      <c r="S15" s="4"/>
      <c r="T15" s="2"/>
      <c r="U15" s="4"/>
      <c r="V15" s="2"/>
      <c r="W15" s="4"/>
      <c r="X15" s="4"/>
      <c r="Y15" s="4"/>
      <c r="Z15" s="4"/>
      <c r="AA15" s="4"/>
      <c r="AB15" s="4"/>
      <c r="AC15" s="4"/>
      <c r="AD15" s="4"/>
      <c r="AE15" s="4"/>
    </row>
    <row x14ac:dyDescent="0.25" r="16" customHeight="1" ht="18.75">
      <c r="A16" s="1" t="s">
        <v>15</v>
      </c>
      <c r="B16" s="2">
        <v>1.7486111111111111</v>
      </c>
      <c r="C16" s="3">
        <v>11.24</v>
      </c>
      <c r="D16" s="2">
        <v>1.8652777777777778</v>
      </c>
      <c r="E16" s="3">
        <v>7.79</v>
      </c>
      <c r="F16" s="2">
        <v>2.3625</v>
      </c>
      <c r="G16" s="3">
        <v>5.03</v>
      </c>
      <c r="H16" s="2">
        <v>3.4118055555555555</v>
      </c>
      <c r="I16" s="3">
        <v>2.84</v>
      </c>
      <c r="J16" s="2">
        <v>4.372916666666667</v>
      </c>
      <c r="K16" s="3">
        <v>3.69</v>
      </c>
      <c r="L16" s="2">
        <v>5.327083333333333</v>
      </c>
      <c r="M16" s="3">
        <v>4.56</v>
      </c>
      <c r="N16" s="2">
        <v>6.354861111111111</v>
      </c>
      <c r="O16" s="3">
        <v>3.98</v>
      </c>
      <c r="P16" s="2">
        <v>7.388194444444444</v>
      </c>
      <c r="Q16" s="3">
        <v>2.27</v>
      </c>
      <c r="R16" s="2">
        <v>8.335416666666667</v>
      </c>
      <c r="S16" s="3">
        <v>1.65</v>
      </c>
      <c r="T16" s="2">
        <v>8.93611111111111</v>
      </c>
      <c r="U16" s="3">
        <v>1.5</v>
      </c>
      <c r="V16" s="2">
        <v>9.347916666666666</v>
      </c>
      <c r="W16" s="3">
        <v>1.3</v>
      </c>
      <c r="X16" s="2">
        <v>9.714583333333334</v>
      </c>
      <c r="Y16" s="3">
        <v>1.16</v>
      </c>
      <c r="Z16" s="2">
        <v>11.35138888888889</v>
      </c>
      <c r="AA16" s="3">
        <v>0.711</v>
      </c>
      <c r="AB16" s="2">
        <v>12.355555555555556</v>
      </c>
      <c r="AC16" s="3">
        <v>0.54</v>
      </c>
      <c r="AD16" s="4"/>
      <c r="AE16" s="4"/>
    </row>
    <row x14ac:dyDescent="0.25" r="17" customHeight="1" ht="18.75">
      <c r="A17" s="1" t="s">
        <v>16</v>
      </c>
      <c r="B17" s="2">
        <v>1.4513888888888888</v>
      </c>
      <c r="C17" s="3">
        <v>28.39</v>
      </c>
      <c r="D17" s="2">
        <v>1.6125</v>
      </c>
      <c r="E17" s="3">
        <v>15.65</v>
      </c>
      <c r="F17" s="2">
        <v>1.9555555555555557</v>
      </c>
      <c r="G17" s="3">
        <v>9.97</v>
      </c>
      <c r="H17" s="2">
        <v>3.959722222222222</v>
      </c>
      <c r="I17" s="3">
        <v>2.66</v>
      </c>
      <c r="J17" s="2">
        <v>4.947222222222223</v>
      </c>
      <c r="K17" s="3">
        <v>2.27</v>
      </c>
      <c r="L17" s="2">
        <v>5.954861111111111</v>
      </c>
      <c r="M17" s="3">
        <v>1.76</v>
      </c>
      <c r="N17" s="2">
        <v>6.996527777777778</v>
      </c>
      <c r="O17" s="3">
        <v>1.46</v>
      </c>
      <c r="P17" s="2"/>
      <c r="Q17" s="4"/>
      <c r="R17" s="2"/>
      <c r="S17" s="4"/>
      <c r="T17" s="2"/>
      <c r="U17" s="4"/>
      <c r="V17" s="2"/>
      <c r="W17" s="4"/>
      <c r="X17" s="4"/>
      <c r="Y17" s="4"/>
      <c r="Z17" s="4"/>
      <c r="AA17" s="4"/>
      <c r="AB17" s="4"/>
      <c r="AC17" s="4"/>
      <c r="AD17" s="4"/>
      <c r="AE17" s="4"/>
    </row>
    <row x14ac:dyDescent="0.25" r="18" customHeight="1" ht="18.75">
      <c r="A18" s="1" t="s">
        <v>17</v>
      </c>
      <c r="B18" s="2">
        <v>2.623611111111111</v>
      </c>
      <c r="C18" s="3">
        <v>5.74</v>
      </c>
      <c r="D18" s="2">
        <v>2.833333333333333</v>
      </c>
      <c r="E18" s="3">
        <v>8.74</v>
      </c>
      <c r="F18" s="2">
        <v>3.49375</v>
      </c>
      <c r="G18" s="3">
        <v>3.3</v>
      </c>
      <c r="H18" s="2">
        <v>4.403472222222222</v>
      </c>
      <c r="I18" s="3">
        <v>3.26</v>
      </c>
      <c r="J18" s="2">
        <v>5.38125</v>
      </c>
      <c r="K18" s="3">
        <v>3.36</v>
      </c>
      <c r="L18" s="2">
        <v>6.434027777777778</v>
      </c>
      <c r="M18" s="3">
        <v>3.01</v>
      </c>
      <c r="N18" s="2">
        <v>6.79375</v>
      </c>
      <c r="O18" s="3">
        <v>2.57</v>
      </c>
      <c r="P18" s="2">
        <v>7.466666666666667</v>
      </c>
      <c r="Q18" s="3">
        <v>1.29</v>
      </c>
      <c r="R18" s="2">
        <v>8.46875</v>
      </c>
      <c r="S18" s="3">
        <v>0.579</v>
      </c>
      <c r="T18" s="2">
        <v>9.447916666666666</v>
      </c>
      <c r="U18" s="3">
        <v>0.305</v>
      </c>
      <c r="V18" s="2"/>
      <c r="W18" s="4"/>
      <c r="X18" s="4"/>
      <c r="Y18" s="4"/>
      <c r="Z18" s="4"/>
      <c r="AA18" s="4"/>
      <c r="AB18" s="4"/>
      <c r="AC18" s="4"/>
      <c r="AD18" s="4"/>
      <c r="AE18" s="4"/>
    </row>
    <row x14ac:dyDescent="0.25" r="19" customHeight="1" ht="18.75">
      <c r="A19" s="1"/>
      <c r="B19" s="5"/>
      <c r="C19" s="5"/>
      <c r="D19" s="5"/>
      <c r="E19" s="5"/>
      <c r="F19" s="5"/>
      <c r="G19" s="5"/>
      <c r="H19" s="5"/>
      <c r="I19" s="5"/>
      <c r="J19" s="5"/>
      <c r="K19" s="5"/>
      <c r="L19" s="4"/>
      <c r="M19" s="4"/>
      <c r="N19" s="4"/>
      <c r="O19" s="4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x14ac:dyDescent="0.25" r="20" customHeight="1" ht="18.75">
      <c r="A20" s="1" t="s">
        <v>0</v>
      </c>
      <c r="B20" s="2">
        <v>1.25</v>
      </c>
      <c r="C20" s="2">
        <v>1.4361111111111111</v>
      </c>
      <c r="D20" s="2">
        <v>1.7888888888888888</v>
      </c>
      <c r="E20" s="2">
        <v>2.811111111111111</v>
      </c>
      <c r="F20" s="2">
        <v>3.8090277777777777</v>
      </c>
      <c r="G20" s="2">
        <v>4.857638888888889</v>
      </c>
      <c r="H20" s="2">
        <v>5.841666666666667</v>
      </c>
      <c r="I20" s="2">
        <v>7.8375</v>
      </c>
      <c r="J20" s="2"/>
      <c r="K20" s="2"/>
      <c r="L20" s="2"/>
      <c r="M20" s="4"/>
      <c r="N20" s="4"/>
      <c r="O20" s="4"/>
      <c r="P20" s="7"/>
      <c r="Q20" s="4" t="s">
        <v>0</v>
      </c>
      <c r="R20" s="3">
        <v>12.9</v>
      </c>
      <c r="S20" s="3">
        <v>6.94</v>
      </c>
      <c r="T20" s="3">
        <v>4.58</v>
      </c>
      <c r="U20" s="3">
        <v>2.93</v>
      </c>
      <c r="V20" s="3">
        <v>4.08</v>
      </c>
      <c r="W20" s="3">
        <v>3.72</v>
      </c>
      <c r="X20" s="3">
        <v>2.41</v>
      </c>
      <c r="Y20" s="3">
        <v>0.674</v>
      </c>
      <c r="Z20" s="4"/>
      <c r="AA20" s="4"/>
      <c r="AB20" s="4"/>
      <c r="AC20" s="4"/>
      <c r="AD20" s="4"/>
      <c r="AE20" s="4"/>
    </row>
    <row x14ac:dyDescent="0.25" r="21" customHeight="1" ht="18.75">
      <c r="A21" s="1" t="s">
        <v>1</v>
      </c>
      <c r="B21" s="2">
        <v>1.211111111111111</v>
      </c>
      <c r="C21" s="2">
        <v>1.4298611111111112</v>
      </c>
      <c r="D21" s="2">
        <v>1.9513888888888888</v>
      </c>
      <c r="E21" s="2">
        <v>3.004861111111111</v>
      </c>
      <c r="F21" s="2">
        <v>4.003472222222222</v>
      </c>
      <c r="G21" s="2">
        <v>5.052777777777778</v>
      </c>
      <c r="H21" s="2">
        <v>6.031944444444444</v>
      </c>
      <c r="I21" s="2">
        <v>7.027083333333334</v>
      </c>
      <c r="J21" s="2">
        <v>8.029166666666667</v>
      </c>
      <c r="K21" s="2"/>
      <c r="L21" s="2"/>
      <c r="M21" s="4"/>
      <c r="N21" s="4"/>
      <c r="O21" s="4"/>
      <c r="P21" s="7"/>
      <c r="Q21" s="4" t="s">
        <v>1</v>
      </c>
      <c r="R21" s="3">
        <v>0.189</v>
      </c>
      <c r="S21" s="3">
        <v>0.468</v>
      </c>
      <c r="T21" s="3">
        <v>0.322</v>
      </c>
      <c r="U21" s="3">
        <v>0.232</v>
      </c>
      <c r="V21" s="3">
        <v>0.24</v>
      </c>
      <c r="W21" s="3">
        <v>0.231</v>
      </c>
      <c r="X21" s="3">
        <v>0.199</v>
      </c>
      <c r="Y21" s="3">
        <v>0.146</v>
      </c>
      <c r="Z21" s="3">
        <v>0.11</v>
      </c>
      <c r="AA21" s="4"/>
      <c r="AB21" s="4"/>
      <c r="AC21" s="4"/>
      <c r="AD21" s="4"/>
      <c r="AE21" s="4"/>
    </row>
    <row x14ac:dyDescent="0.25" r="22" customHeight="1" ht="18.75">
      <c r="A22" s="1" t="s">
        <v>2</v>
      </c>
      <c r="B22" s="2">
        <v>1.0354166666666667</v>
      </c>
      <c r="C22" s="2">
        <v>1.1604166666666667</v>
      </c>
      <c r="D22" s="2">
        <v>1.4618055555555556</v>
      </c>
      <c r="E22" s="2">
        <v>2.4638888888888886</v>
      </c>
      <c r="F22" s="2">
        <v>3.4375</v>
      </c>
      <c r="G22" s="2">
        <v>4.415972222222223</v>
      </c>
      <c r="H22" s="2">
        <v>5.429861111111111</v>
      </c>
      <c r="I22" s="2"/>
      <c r="J22" s="2"/>
      <c r="K22" s="2"/>
      <c r="L22" s="2"/>
      <c r="M22" s="4"/>
      <c r="N22" s="4"/>
      <c r="O22" s="4"/>
      <c r="P22" s="7"/>
      <c r="Q22" s="4" t="s">
        <v>2</v>
      </c>
      <c r="R22" s="3">
        <v>2.24</v>
      </c>
      <c r="S22" s="3">
        <v>6.93</v>
      </c>
      <c r="T22" s="3">
        <v>7.01</v>
      </c>
      <c r="U22" s="3">
        <v>2.49</v>
      </c>
      <c r="V22" s="3">
        <v>3.16</v>
      </c>
      <c r="W22" s="3">
        <v>3.82</v>
      </c>
      <c r="X22" s="3">
        <v>3.4</v>
      </c>
      <c r="Y22" s="4"/>
      <c r="Z22" s="4"/>
      <c r="AA22" s="4"/>
      <c r="AB22" s="4"/>
      <c r="AC22" s="4"/>
      <c r="AD22" s="4"/>
      <c r="AE22" s="4"/>
    </row>
    <row x14ac:dyDescent="0.25" r="23" customHeight="1" ht="18.75">
      <c r="A23" s="1" t="s">
        <v>3</v>
      </c>
      <c r="B23" s="2">
        <v>1.2145833333333333</v>
      </c>
      <c r="C23" s="2">
        <v>1.5152777777777777</v>
      </c>
      <c r="D23" s="2">
        <v>1.8111111111111111</v>
      </c>
      <c r="E23" s="2">
        <v>2.863888888888889</v>
      </c>
      <c r="F23" s="2">
        <v>3.84375</v>
      </c>
      <c r="G23" s="2"/>
      <c r="H23" s="2"/>
      <c r="I23" s="2"/>
      <c r="J23" s="2"/>
      <c r="K23" s="2"/>
      <c r="L23" s="2"/>
      <c r="M23" s="4"/>
      <c r="N23" s="4"/>
      <c r="O23" s="4"/>
      <c r="P23" s="7"/>
      <c r="Q23" s="4" t="s">
        <v>3</v>
      </c>
      <c r="R23" s="3">
        <v>0.345</v>
      </c>
      <c r="S23" s="3">
        <v>1.3</v>
      </c>
      <c r="T23" s="3">
        <v>0.893</v>
      </c>
      <c r="U23" s="3">
        <v>0.759</v>
      </c>
      <c r="V23" s="3">
        <v>1.02</v>
      </c>
      <c r="W23" s="4"/>
      <c r="X23" s="4"/>
      <c r="Y23" s="4"/>
      <c r="Z23" s="4"/>
      <c r="AA23" s="4"/>
      <c r="AB23" s="4"/>
      <c r="AC23" s="4"/>
      <c r="AD23" s="4"/>
      <c r="AE23" s="4"/>
    </row>
    <row x14ac:dyDescent="0.25" r="24" customHeight="1" ht="18.75">
      <c r="A24" s="1" t="s">
        <v>4</v>
      </c>
      <c r="B24" s="2">
        <v>1.2159722222222222</v>
      </c>
      <c r="C24" s="2">
        <v>1.39375</v>
      </c>
      <c r="D24" s="2">
        <v>2.2319444444444443</v>
      </c>
      <c r="E24" s="2">
        <v>3.290277777777778</v>
      </c>
      <c r="F24" s="2">
        <v>4.277083333333334</v>
      </c>
      <c r="G24" s="2">
        <v>5.269444444444445</v>
      </c>
      <c r="H24" s="2">
        <v>6.271527777777778</v>
      </c>
      <c r="I24" s="2"/>
      <c r="J24" s="2"/>
      <c r="K24" s="2"/>
      <c r="L24" s="2"/>
      <c r="M24" s="4"/>
      <c r="N24" s="4"/>
      <c r="O24" s="4"/>
      <c r="P24" s="7"/>
      <c r="Q24" s="4" t="s">
        <v>4</v>
      </c>
      <c r="R24" s="3">
        <v>0.096</v>
      </c>
      <c r="S24" s="3">
        <v>0.245</v>
      </c>
      <c r="T24" s="3">
        <v>0.636</v>
      </c>
      <c r="U24" s="3">
        <v>0.474</v>
      </c>
      <c r="V24" s="3">
        <v>0.614</v>
      </c>
      <c r="W24" s="3">
        <v>0.628</v>
      </c>
      <c r="X24" s="3">
        <v>0.39</v>
      </c>
      <c r="Y24" s="4"/>
      <c r="Z24" s="4"/>
      <c r="AA24" s="4"/>
      <c r="AB24" s="4"/>
      <c r="AC24" s="4"/>
      <c r="AD24" s="4"/>
      <c r="AE24" s="4"/>
    </row>
    <row x14ac:dyDescent="0.25" r="25" customHeight="1" ht="18.75">
      <c r="A25" s="1" t="s">
        <v>5</v>
      </c>
      <c r="B25" s="2">
        <v>1.1826388888888888</v>
      </c>
      <c r="C25" s="2">
        <v>1.5034722222222223</v>
      </c>
      <c r="D25" s="2">
        <v>1.5881944444444445</v>
      </c>
      <c r="E25" s="2">
        <v>2.5944444444444446</v>
      </c>
      <c r="F25" s="2">
        <v>3.576388888888889</v>
      </c>
      <c r="G25" s="2">
        <v>4.584722222222222</v>
      </c>
      <c r="H25" s="2">
        <v>5.598611111111111</v>
      </c>
      <c r="I25" s="2"/>
      <c r="J25" s="2"/>
      <c r="K25" s="2"/>
      <c r="L25" s="2"/>
      <c r="M25" s="4"/>
      <c r="N25" s="4"/>
      <c r="O25" s="4"/>
      <c r="P25" s="7"/>
      <c r="Q25" s="4" t="s">
        <v>5</v>
      </c>
      <c r="R25" s="3">
        <v>0.153</v>
      </c>
      <c r="S25" s="3">
        <v>0.155</v>
      </c>
      <c r="T25" s="3">
        <v>0.174</v>
      </c>
      <c r="U25" s="3">
        <v>0.113</v>
      </c>
      <c r="V25" s="3">
        <v>0.114</v>
      </c>
      <c r="W25" s="3">
        <v>0.142</v>
      </c>
      <c r="X25" s="3">
        <v>0.07</v>
      </c>
      <c r="Y25" s="4"/>
      <c r="Z25" s="4"/>
      <c r="AA25" s="4"/>
      <c r="AB25" s="4"/>
      <c r="AC25" s="4"/>
      <c r="AD25" s="4"/>
      <c r="AE25" s="4"/>
    </row>
    <row x14ac:dyDescent="0.25" r="26" customHeight="1" ht="18.75">
      <c r="A26" s="1" t="s">
        <v>6</v>
      </c>
      <c r="B26" s="2">
        <v>1.3631944444444444</v>
      </c>
      <c r="C26" s="2">
        <v>2.084722222222222</v>
      </c>
      <c r="D26" s="2">
        <v>3.1180555555555554</v>
      </c>
      <c r="E26" s="2"/>
      <c r="F26" s="2"/>
      <c r="G26" s="2"/>
      <c r="H26" s="2"/>
      <c r="I26" s="2"/>
      <c r="J26" s="2"/>
      <c r="K26" s="2"/>
      <c r="L26" s="2"/>
      <c r="M26" s="4"/>
      <c r="N26" s="4"/>
      <c r="O26" s="4"/>
      <c r="P26" s="7"/>
      <c r="Q26" s="4" t="s">
        <v>6</v>
      </c>
      <c r="R26" s="3">
        <v>0.029</v>
      </c>
      <c r="S26" s="3">
        <v>0.031</v>
      </c>
      <c r="T26" s="3">
        <v>0.036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x14ac:dyDescent="0.25" r="27" customHeight="1" ht="18.75">
      <c r="A27" s="1" t="s">
        <v>7</v>
      </c>
      <c r="B27" s="2">
        <v>2.3493055555555555</v>
      </c>
      <c r="C27" s="2">
        <v>2.7930555555555556</v>
      </c>
      <c r="D27" s="2">
        <v>3.826388888888889</v>
      </c>
      <c r="E27" s="2">
        <v>4.14375</v>
      </c>
      <c r="F27" s="2">
        <v>4.777083333333334</v>
      </c>
      <c r="G27" s="2">
        <v>5.813888888888889</v>
      </c>
      <c r="H27" s="2"/>
      <c r="I27" s="2"/>
      <c r="J27" s="2"/>
      <c r="K27" s="2"/>
      <c r="L27" s="2"/>
      <c r="M27" s="4"/>
      <c r="N27" s="4"/>
      <c r="O27" s="4"/>
      <c r="P27" s="7"/>
      <c r="Q27" s="4" t="s">
        <v>7</v>
      </c>
      <c r="R27" s="3">
        <v>1.78</v>
      </c>
      <c r="S27" s="3">
        <v>2.06</v>
      </c>
      <c r="T27" s="3">
        <v>2.17</v>
      </c>
      <c r="U27" s="3">
        <v>1.96</v>
      </c>
      <c r="V27" s="3">
        <v>1.67</v>
      </c>
      <c r="W27" s="3">
        <v>1.06</v>
      </c>
      <c r="X27" s="4"/>
      <c r="Y27" s="4"/>
      <c r="Z27" s="4"/>
      <c r="AA27" s="4"/>
      <c r="AB27" s="4"/>
      <c r="AC27" s="4"/>
      <c r="AD27" s="4"/>
      <c r="AE27" s="4"/>
    </row>
    <row x14ac:dyDescent="0.25" r="28" customHeight="1" ht="18.75">
      <c r="A28" s="1" t="s">
        <v>8</v>
      </c>
      <c r="B28" s="2">
        <v>1.2055555555555555</v>
      </c>
      <c r="C28" s="2">
        <v>1.3659722222222221</v>
      </c>
      <c r="D28" s="2">
        <v>1.7909722222222222</v>
      </c>
      <c r="E28" s="2">
        <v>2.811111111111111</v>
      </c>
      <c r="F28" s="2">
        <v>3.8090277777777777</v>
      </c>
      <c r="G28" s="2">
        <v>4.773611111111111</v>
      </c>
      <c r="H28" s="2"/>
      <c r="I28" s="2"/>
      <c r="J28" s="2"/>
      <c r="K28" s="2"/>
      <c r="L28" s="2"/>
      <c r="M28" s="4"/>
      <c r="N28" s="4"/>
      <c r="O28" s="4"/>
      <c r="P28" s="7"/>
      <c r="Q28" s="4" t="s">
        <v>8</v>
      </c>
      <c r="R28" s="3">
        <v>0.096</v>
      </c>
      <c r="S28" s="3">
        <v>0.389</v>
      </c>
      <c r="T28" s="3">
        <v>0.796</v>
      </c>
      <c r="U28" s="3">
        <v>0.436</v>
      </c>
      <c r="V28" s="3">
        <v>0.487</v>
      </c>
      <c r="W28" s="3">
        <v>0.521</v>
      </c>
      <c r="X28" s="4"/>
      <c r="Y28" s="4"/>
      <c r="Z28" s="4"/>
      <c r="AA28" s="4"/>
      <c r="AB28" s="4"/>
      <c r="AC28" s="4"/>
      <c r="AD28" s="4"/>
      <c r="AE28" s="4"/>
    </row>
    <row x14ac:dyDescent="0.25" r="29" customHeight="1" ht="18.75">
      <c r="A29" s="1" t="s">
        <v>9</v>
      </c>
      <c r="B29" s="2">
        <v>1.3069444444444445</v>
      </c>
      <c r="C29" s="2">
        <v>1.65625</v>
      </c>
      <c r="D29" s="2">
        <v>2.063888888888889</v>
      </c>
      <c r="E29" s="2">
        <v>2.803472222222222</v>
      </c>
      <c r="F29" s="2">
        <v>3.767361111111111</v>
      </c>
      <c r="G29" s="2">
        <v>4.731944444444444</v>
      </c>
      <c r="H29" s="2">
        <v>5.788888888888889</v>
      </c>
      <c r="I29" s="2">
        <v>7.7756944444444445</v>
      </c>
      <c r="J29" s="2"/>
      <c r="K29" s="2"/>
      <c r="L29" s="2"/>
      <c r="M29" s="4"/>
      <c r="N29" s="4"/>
      <c r="O29" s="4"/>
      <c r="P29" s="7"/>
      <c r="Q29" s="4" t="s">
        <v>9</v>
      </c>
      <c r="R29" s="3">
        <v>18.24</v>
      </c>
      <c r="S29" s="3">
        <v>11.91</v>
      </c>
      <c r="T29" s="3">
        <v>8.33</v>
      </c>
      <c r="U29" s="3">
        <v>6.01</v>
      </c>
      <c r="V29" s="3">
        <v>5.64</v>
      </c>
      <c r="W29" s="3">
        <v>5.68</v>
      </c>
      <c r="X29" s="3">
        <v>5.45</v>
      </c>
      <c r="Y29" s="3">
        <v>2.07</v>
      </c>
      <c r="Z29" s="4"/>
      <c r="AA29" s="4"/>
      <c r="AB29" s="4"/>
      <c r="AC29" s="4"/>
      <c r="AD29" s="4"/>
      <c r="AE29" s="4"/>
    </row>
    <row x14ac:dyDescent="0.25" r="30" customHeight="1" ht="18.75">
      <c r="A30" s="1" t="s">
        <v>10</v>
      </c>
      <c r="B30" s="2">
        <v>1.9916666666666667</v>
      </c>
      <c r="C30" s="2">
        <v>1.9902777777777778</v>
      </c>
      <c r="D30" s="2">
        <v>2.217361111111111</v>
      </c>
      <c r="E30" s="2">
        <v>2.7694444444444444</v>
      </c>
      <c r="F30" s="2">
        <v>3.767361111111111</v>
      </c>
      <c r="G30" s="2">
        <v>4.711111111111111</v>
      </c>
      <c r="H30" s="2">
        <v>5.7652777777777775</v>
      </c>
      <c r="I30" s="2">
        <v>6.780555555555556</v>
      </c>
      <c r="J30" s="2">
        <v>6.780555555555556</v>
      </c>
      <c r="K30" s="2"/>
      <c r="L30" s="2"/>
      <c r="M30" s="4"/>
      <c r="N30" s="4"/>
      <c r="O30" s="4"/>
      <c r="P30" s="7"/>
      <c r="Q30" s="4" t="s">
        <v>10</v>
      </c>
      <c r="R30" s="3">
        <v>3.87</v>
      </c>
      <c r="S30" s="3">
        <v>3.87</v>
      </c>
      <c r="T30" s="3">
        <v>2.9</v>
      </c>
      <c r="U30" s="3">
        <v>3.1</v>
      </c>
      <c r="V30" s="3">
        <v>2.38</v>
      </c>
      <c r="W30" s="3">
        <v>2.64</v>
      </c>
      <c r="X30" s="3">
        <v>2.49</v>
      </c>
      <c r="Y30" s="3">
        <v>0.01</v>
      </c>
      <c r="Z30" s="3">
        <v>2.03</v>
      </c>
      <c r="AA30" s="4"/>
      <c r="AB30" s="4"/>
      <c r="AC30" s="4"/>
      <c r="AD30" s="4"/>
      <c r="AE30" s="4"/>
    </row>
    <row x14ac:dyDescent="0.25" r="31" customHeight="1" ht="18.75">
      <c r="A31" s="1" t="s">
        <v>11</v>
      </c>
      <c r="B31" s="2">
        <v>1.5645833333333332</v>
      </c>
      <c r="C31" s="2">
        <v>1.7729166666666667</v>
      </c>
      <c r="D31" s="2">
        <v>2.154861111111111</v>
      </c>
      <c r="E31" s="2">
        <v>2.604166666666667</v>
      </c>
      <c r="F31" s="2">
        <v>3.1375</v>
      </c>
      <c r="G31" s="2">
        <v>4.138194444444444</v>
      </c>
      <c r="H31" s="2">
        <v>5.2034722222222225</v>
      </c>
      <c r="I31" s="2">
        <v>6.164583333333334</v>
      </c>
      <c r="J31" s="2">
        <v>7.1715277777777775</v>
      </c>
      <c r="K31" s="2">
        <v>8.151388888888889</v>
      </c>
      <c r="L31" s="2"/>
      <c r="M31" s="4"/>
      <c r="N31" s="4"/>
      <c r="O31" s="4"/>
      <c r="P31" s="7"/>
      <c r="Q31" s="4" t="s">
        <v>11</v>
      </c>
      <c r="R31" s="3">
        <v>2.83</v>
      </c>
      <c r="S31" s="3">
        <v>4.1</v>
      </c>
      <c r="T31" s="3">
        <v>2.44</v>
      </c>
      <c r="U31" s="3">
        <v>1.68</v>
      </c>
      <c r="V31" s="3">
        <v>2.16</v>
      </c>
      <c r="W31" s="3">
        <v>2.87</v>
      </c>
      <c r="X31" s="3">
        <v>2.09</v>
      </c>
      <c r="Y31" s="3">
        <v>0.992</v>
      </c>
      <c r="Z31" s="3">
        <v>0.451</v>
      </c>
      <c r="AA31" s="3">
        <v>0.205</v>
      </c>
      <c r="AB31" s="4"/>
      <c r="AC31" s="4"/>
      <c r="AD31" s="4"/>
      <c r="AE31" s="4"/>
    </row>
    <row x14ac:dyDescent="0.25" r="32" customHeight="1" ht="18.75">
      <c r="A32" s="1" t="s">
        <v>12</v>
      </c>
      <c r="B32" s="2">
        <v>1.7472222222222222</v>
      </c>
      <c r="C32" s="2">
        <v>2.2729166666666667</v>
      </c>
      <c r="D32" s="2">
        <v>2.615972222222222</v>
      </c>
      <c r="E32" s="2">
        <v>3.6375</v>
      </c>
      <c r="F32" s="2">
        <v>4.010416666666666</v>
      </c>
      <c r="G32" s="2">
        <v>4.647916666666667</v>
      </c>
      <c r="H32" s="2">
        <v>6.677083333333333</v>
      </c>
      <c r="I32" s="2"/>
      <c r="J32" s="2"/>
      <c r="K32" s="2"/>
      <c r="L32" s="2"/>
      <c r="M32" s="4"/>
      <c r="N32" s="4"/>
      <c r="O32" s="4"/>
      <c r="P32" s="7"/>
      <c r="Q32" s="4" t="s">
        <v>12</v>
      </c>
      <c r="R32" s="3">
        <v>1.44</v>
      </c>
      <c r="S32" s="3">
        <v>2.01</v>
      </c>
      <c r="T32" s="3">
        <v>1.7</v>
      </c>
      <c r="U32" s="3">
        <v>1.89</v>
      </c>
      <c r="V32" s="3">
        <v>1.72</v>
      </c>
      <c r="W32" s="3">
        <v>1.69</v>
      </c>
      <c r="X32" s="3">
        <v>0.731</v>
      </c>
      <c r="Y32" s="4"/>
      <c r="Z32" s="4"/>
      <c r="AA32" s="4"/>
      <c r="AB32" s="4"/>
      <c r="AC32" s="4"/>
      <c r="AD32" s="4"/>
      <c r="AE32" s="4"/>
    </row>
    <row x14ac:dyDescent="0.25" r="33" customHeight="1" ht="18.75">
      <c r="A33" s="1" t="s">
        <v>13</v>
      </c>
      <c r="B33" s="2">
        <v>1.4861111111111112</v>
      </c>
      <c r="C33" s="2">
        <v>1.50625</v>
      </c>
      <c r="D33" s="2">
        <v>1.80625</v>
      </c>
      <c r="E33" s="2">
        <v>2.354861111111111</v>
      </c>
      <c r="F33" s="2">
        <v>3.35625</v>
      </c>
      <c r="G33" s="2">
        <v>4.382638888888889</v>
      </c>
      <c r="H33" s="2">
        <v>5.372916666666667</v>
      </c>
      <c r="I33" s="2">
        <v>6.323611111111111</v>
      </c>
      <c r="J33" s="2">
        <v>8.428472222222222</v>
      </c>
      <c r="K33" s="2">
        <v>9.368055555555555</v>
      </c>
      <c r="L33" s="2"/>
      <c r="M33" s="4"/>
      <c r="N33" s="4"/>
      <c r="O33" s="4"/>
      <c r="P33" s="7"/>
      <c r="Q33" s="4" t="s">
        <v>13</v>
      </c>
      <c r="R33" s="3">
        <v>3.94</v>
      </c>
      <c r="S33" s="6">
        <v>10</v>
      </c>
      <c r="T33" s="3">
        <v>10.68</v>
      </c>
      <c r="U33" s="3">
        <v>7.18</v>
      </c>
      <c r="V33" s="3">
        <v>4.98</v>
      </c>
      <c r="W33" s="3">
        <v>5.1</v>
      </c>
      <c r="X33" s="3">
        <v>4.45</v>
      </c>
      <c r="Y33" s="3">
        <v>3.22</v>
      </c>
      <c r="Z33" s="3">
        <v>1.25</v>
      </c>
      <c r="AA33" s="3">
        <v>0.744</v>
      </c>
      <c r="AB33" s="4"/>
      <c r="AC33" s="4"/>
      <c r="AD33" s="4"/>
      <c r="AE33" s="4"/>
    </row>
    <row x14ac:dyDescent="0.25" r="34" customHeight="1" ht="18.75">
      <c r="A34" s="1" t="s">
        <v>14</v>
      </c>
      <c r="B34" s="2">
        <v>1.375</v>
      </c>
      <c r="C34" s="2">
        <v>1.8506944444444444</v>
      </c>
      <c r="D34" s="2">
        <v>2.3583333333333334</v>
      </c>
      <c r="E34" s="2">
        <v>3.35625</v>
      </c>
      <c r="F34" s="2">
        <v>4.4118055555555555</v>
      </c>
      <c r="G34" s="2">
        <v>5.375</v>
      </c>
      <c r="H34" s="2">
        <v>6.319444444444445</v>
      </c>
      <c r="I34" s="2">
        <v>7.354861111111111</v>
      </c>
      <c r="J34" s="2"/>
      <c r="K34" s="2"/>
      <c r="L34" s="2"/>
      <c r="M34" s="4"/>
      <c r="N34" s="4"/>
      <c r="O34" s="4"/>
      <c r="P34" s="7"/>
      <c r="Q34" s="4" t="s">
        <v>14</v>
      </c>
      <c r="R34" s="3">
        <v>7.01</v>
      </c>
      <c r="S34" s="3">
        <v>5.27</v>
      </c>
      <c r="T34" s="3">
        <v>4.95</v>
      </c>
      <c r="U34" s="3">
        <v>3.43</v>
      </c>
      <c r="V34" s="3">
        <v>4.01</v>
      </c>
      <c r="W34" s="3">
        <v>4.7</v>
      </c>
      <c r="X34" s="3">
        <v>3.72</v>
      </c>
      <c r="Y34" s="3">
        <v>3.06</v>
      </c>
      <c r="Z34" s="4"/>
      <c r="AA34" s="4"/>
      <c r="AB34" s="4"/>
      <c r="AC34" s="4"/>
      <c r="AD34" s="4"/>
      <c r="AE34" s="4"/>
    </row>
    <row x14ac:dyDescent="0.25" r="35" customHeight="1" ht="18.75">
      <c r="A35" s="1" t="s">
        <v>15</v>
      </c>
      <c r="B35" s="2">
        <v>1.7486111111111111</v>
      </c>
      <c r="C35" s="2">
        <v>1.8652777777777778</v>
      </c>
      <c r="D35" s="2">
        <v>2.3625</v>
      </c>
      <c r="E35" s="2">
        <v>3.4118055555555555</v>
      </c>
      <c r="F35" s="2">
        <v>4.372916666666667</v>
      </c>
      <c r="G35" s="2">
        <v>5.327083333333333</v>
      </c>
      <c r="H35" s="2">
        <v>6.354861111111111</v>
      </c>
      <c r="I35" s="2">
        <v>7.388194444444444</v>
      </c>
      <c r="J35" s="2">
        <v>8.335416666666667</v>
      </c>
      <c r="K35" s="2">
        <v>8.93611111111111</v>
      </c>
      <c r="L35" s="2">
        <v>9.347916666666666</v>
      </c>
      <c r="M35" s="2">
        <v>9.714583333333334</v>
      </c>
      <c r="N35" s="2">
        <v>11.35138888888889</v>
      </c>
      <c r="O35" s="2">
        <v>12.355555555555556</v>
      </c>
      <c r="P35" s="7"/>
      <c r="Q35" s="4" t="s">
        <v>15</v>
      </c>
      <c r="R35" s="3">
        <v>11.24</v>
      </c>
      <c r="S35" s="3">
        <v>7.79</v>
      </c>
      <c r="T35" s="3">
        <v>5.03</v>
      </c>
      <c r="U35" s="3">
        <v>2.84</v>
      </c>
      <c r="V35" s="3">
        <v>3.69</v>
      </c>
      <c r="W35" s="3">
        <v>4.56</v>
      </c>
      <c r="X35" s="3">
        <v>3.98</v>
      </c>
      <c r="Y35" s="3">
        <v>2.27</v>
      </c>
      <c r="Z35" s="3">
        <v>1.65</v>
      </c>
      <c r="AA35" s="3">
        <v>1.5</v>
      </c>
      <c r="AB35" s="3">
        <v>1.3</v>
      </c>
      <c r="AC35" s="3">
        <v>1.16</v>
      </c>
      <c r="AD35" s="3">
        <v>0.711</v>
      </c>
      <c r="AE35" s="3">
        <v>0.54</v>
      </c>
    </row>
    <row x14ac:dyDescent="0.25" r="36" customHeight="1" ht="18.75">
      <c r="A36" s="1" t="s">
        <v>16</v>
      </c>
      <c r="B36" s="2">
        <v>1.4513888888888888</v>
      </c>
      <c r="C36" s="2">
        <v>1.6125</v>
      </c>
      <c r="D36" s="2">
        <v>1.9555555555555557</v>
      </c>
      <c r="E36" s="2">
        <v>3.959722222222222</v>
      </c>
      <c r="F36" s="2">
        <v>4.947222222222223</v>
      </c>
      <c r="G36" s="2">
        <v>5.954861111111111</v>
      </c>
      <c r="H36" s="2">
        <v>6.996527777777778</v>
      </c>
      <c r="I36" s="2"/>
      <c r="J36" s="2"/>
      <c r="K36" s="2"/>
      <c r="L36" s="2"/>
      <c r="M36" s="4"/>
      <c r="N36" s="4"/>
      <c r="O36" s="4"/>
      <c r="P36" s="7"/>
      <c r="Q36" s="4" t="s">
        <v>16</v>
      </c>
      <c r="R36" s="3">
        <v>28.39</v>
      </c>
      <c r="S36" s="3">
        <v>15.65</v>
      </c>
      <c r="T36" s="3">
        <v>9.97</v>
      </c>
      <c r="U36" s="3">
        <v>2.66</v>
      </c>
      <c r="V36" s="3">
        <v>2.27</v>
      </c>
      <c r="W36" s="3">
        <v>1.76</v>
      </c>
      <c r="X36" s="3">
        <v>1.46</v>
      </c>
      <c r="Y36" s="4"/>
      <c r="Z36" s="4"/>
      <c r="AA36" s="4"/>
      <c r="AB36" s="4"/>
      <c r="AC36" s="4"/>
      <c r="AD36" s="4"/>
      <c r="AE36" s="4"/>
    </row>
    <row x14ac:dyDescent="0.25" r="37" customHeight="1" ht="18.75">
      <c r="A37" s="1" t="s">
        <v>17</v>
      </c>
      <c r="B37" s="2">
        <v>2.623611111111111</v>
      </c>
      <c r="C37" s="2">
        <v>2.833333333333333</v>
      </c>
      <c r="D37" s="2">
        <v>3.49375</v>
      </c>
      <c r="E37" s="2">
        <v>4.403472222222222</v>
      </c>
      <c r="F37" s="2">
        <v>5.38125</v>
      </c>
      <c r="G37" s="2">
        <v>6.434027777777778</v>
      </c>
      <c r="H37" s="2">
        <v>6.79375</v>
      </c>
      <c r="I37" s="2">
        <v>7.466666666666667</v>
      </c>
      <c r="J37" s="2">
        <v>8.46875</v>
      </c>
      <c r="K37" s="2">
        <v>9.447916666666666</v>
      </c>
      <c r="L37" s="2"/>
      <c r="M37" s="4"/>
      <c r="N37" s="4"/>
      <c r="O37" s="4"/>
      <c r="P37" s="7"/>
      <c r="Q37" s="4" t="s">
        <v>17</v>
      </c>
      <c r="R37" s="3">
        <v>5.74</v>
      </c>
      <c r="S37" s="3">
        <v>8.74</v>
      </c>
      <c r="T37" s="3">
        <v>3.3</v>
      </c>
      <c r="U37" s="3">
        <v>3.26</v>
      </c>
      <c r="V37" s="3">
        <v>3.36</v>
      </c>
      <c r="W37" s="3">
        <v>3.01</v>
      </c>
      <c r="X37" s="3">
        <v>2.57</v>
      </c>
      <c r="Y37" s="3">
        <v>1.29</v>
      </c>
      <c r="Z37" s="3">
        <v>0.579</v>
      </c>
      <c r="AA37" s="3">
        <v>0.305</v>
      </c>
      <c r="AB37" s="4"/>
      <c r="AC37" s="4"/>
      <c r="AD37" s="4"/>
      <c r="AE37" s="4"/>
    </row>
    <row x14ac:dyDescent="0.25" r="38" customHeight="1" ht="18.75">
      <c r="A38" s="1"/>
      <c r="B38" s="5"/>
      <c r="C38" s="5"/>
      <c r="D38" s="5"/>
      <c r="E38" s="5"/>
      <c r="F38" s="5"/>
      <c r="G38" s="5"/>
      <c r="H38" s="5"/>
      <c r="I38" s="5"/>
      <c r="J38" s="5"/>
      <c r="K38" s="5"/>
      <c r="L38" s="4"/>
      <c r="M38" s="4"/>
      <c r="N38" s="4"/>
      <c r="O38" s="4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x14ac:dyDescent="0.25" r="39" customHeight="1" ht="18.75">
      <c r="A39" s="1" t="s">
        <v>0</v>
      </c>
      <c r="B39" s="3">
        <f>B20*24</f>
      </c>
      <c r="C39" s="3">
        <f>C20*24</f>
      </c>
      <c r="D39" s="3">
        <f>D20*24</f>
      </c>
      <c r="E39" s="3">
        <f>E20*24</f>
      </c>
      <c r="F39" s="3">
        <f>F20*24</f>
      </c>
      <c r="G39" s="3">
        <f>G20*24</f>
      </c>
      <c r="H39" s="3">
        <f>H20*24</f>
      </c>
      <c r="I39" s="3">
        <f>I20*24</f>
      </c>
      <c r="J39" s="3"/>
      <c r="K39" s="3"/>
      <c r="L39" s="3"/>
      <c r="M39" s="3"/>
      <c r="N39" s="3"/>
      <c r="O39" s="3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x14ac:dyDescent="0.25" r="40" customHeight="1" ht="18.75">
      <c r="A40" s="1" t="s">
        <v>1</v>
      </c>
      <c r="B40" s="3">
        <f>B21*24</f>
      </c>
      <c r="C40" s="3">
        <f>C21*24</f>
      </c>
      <c r="D40" s="3">
        <f>D21*24</f>
      </c>
      <c r="E40" s="3">
        <f>E21*24</f>
      </c>
      <c r="F40" s="3">
        <f>F21*24</f>
      </c>
      <c r="G40" s="3">
        <f>G21*24</f>
      </c>
      <c r="H40" s="3">
        <f>H21*24</f>
      </c>
      <c r="I40" s="3">
        <f>I21*24</f>
      </c>
      <c r="J40" s="3">
        <f>J21*24</f>
      </c>
      <c r="K40" s="3"/>
      <c r="L40" s="3"/>
      <c r="M40" s="3"/>
      <c r="N40" s="3"/>
      <c r="O40" s="3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x14ac:dyDescent="0.25" r="41" customHeight="1" ht="18.75">
      <c r="A41" s="1" t="s">
        <v>2</v>
      </c>
      <c r="B41" s="3">
        <f>B22*24</f>
      </c>
      <c r="C41" s="3">
        <f>C22*24</f>
      </c>
      <c r="D41" s="3">
        <f>D22*24</f>
      </c>
      <c r="E41" s="3">
        <f>E22*24</f>
      </c>
      <c r="F41" s="3">
        <f>F22*24</f>
      </c>
      <c r="G41" s="3">
        <f>G22*24</f>
      </c>
      <c r="H41" s="3">
        <f>H22*24</f>
      </c>
      <c r="I41" s="3"/>
      <c r="J41" s="3"/>
      <c r="K41" s="3"/>
      <c r="L41" s="3"/>
      <c r="M41" s="3"/>
      <c r="N41" s="3"/>
      <c r="O41" s="3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x14ac:dyDescent="0.25" r="42" customHeight="1" ht="18.75">
      <c r="A42" s="1" t="s">
        <v>3</v>
      </c>
      <c r="B42" s="3">
        <f>B23*24</f>
      </c>
      <c r="C42" s="3">
        <f>C23*24</f>
      </c>
      <c r="D42" s="3">
        <f>D23*24</f>
      </c>
      <c r="E42" s="3">
        <f>E23*24</f>
      </c>
      <c r="F42" s="3">
        <f>F23*24</f>
      </c>
      <c r="G42" s="3"/>
      <c r="H42" s="3"/>
      <c r="I42" s="3"/>
      <c r="J42" s="3"/>
      <c r="K42" s="3"/>
      <c r="L42" s="3"/>
      <c r="M42" s="3"/>
      <c r="N42" s="3"/>
      <c r="O42" s="3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x14ac:dyDescent="0.25" r="43" customHeight="1" ht="18.75">
      <c r="A43" s="1" t="s">
        <v>4</v>
      </c>
      <c r="B43" s="3">
        <f>B24*24</f>
      </c>
      <c r="C43" s="3">
        <f>C24*24</f>
      </c>
      <c r="D43" s="3">
        <f>D24*24</f>
      </c>
      <c r="E43" s="3">
        <f>E24*24</f>
      </c>
      <c r="F43" s="3">
        <f>F24*24</f>
      </c>
      <c r="G43" s="3">
        <f>G24*24</f>
      </c>
      <c r="H43" s="3">
        <f>H24*24</f>
      </c>
      <c r="I43" s="3"/>
      <c r="J43" s="3"/>
      <c r="K43" s="3"/>
      <c r="L43" s="3"/>
      <c r="M43" s="3"/>
      <c r="N43" s="3"/>
      <c r="O43" s="3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x14ac:dyDescent="0.25" r="44" customHeight="1" ht="18.75">
      <c r="A44" s="1" t="s">
        <v>5</v>
      </c>
      <c r="B44" s="3">
        <f>B25*24</f>
      </c>
      <c r="C44" s="3">
        <f>C25*24</f>
      </c>
      <c r="D44" s="3">
        <f>D25*24</f>
      </c>
      <c r="E44" s="3">
        <f>E25*24</f>
      </c>
      <c r="F44" s="3">
        <f>F25*24</f>
      </c>
      <c r="G44" s="3">
        <f>G25*24</f>
      </c>
      <c r="H44" s="3">
        <f>H25*24</f>
      </c>
      <c r="I44" s="3"/>
      <c r="J44" s="3"/>
      <c r="K44" s="3"/>
      <c r="L44" s="3"/>
      <c r="M44" s="3"/>
      <c r="N44" s="3"/>
      <c r="O44" s="3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x14ac:dyDescent="0.25" r="45" customHeight="1" ht="18.75">
      <c r="A45" s="1" t="s">
        <v>6</v>
      </c>
      <c r="B45" s="3">
        <f>B26*24</f>
      </c>
      <c r="C45" s="3">
        <f>C26*24</f>
      </c>
      <c r="D45" s="3">
        <f>D26*24</f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x14ac:dyDescent="0.25" r="46" customHeight="1" ht="18.75">
      <c r="A46" s="1" t="s">
        <v>7</v>
      </c>
      <c r="B46" s="3">
        <f>B27*24</f>
      </c>
      <c r="C46" s="3">
        <f>C27*24</f>
      </c>
      <c r="D46" s="3">
        <f>D27*24</f>
      </c>
      <c r="E46" s="3">
        <f>E27*24</f>
      </c>
      <c r="F46" s="3">
        <f>F27*24</f>
      </c>
      <c r="G46" s="3">
        <f>G27*24</f>
      </c>
      <c r="H46" s="3"/>
      <c r="I46" s="3"/>
      <c r="J46" s="3"/>
      <c r="K46" s="3"/>
      <c r="L46" s="3"/>
      <c r="M46" s="3"/>
      <c r="N46" s="3"/>
      <c r="O46" s="3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x14ac:dyDescent="0.25" r="47" customHeight="1" ht="18.75">
      <c r="A47" s="1" t="s">
        <v>8</v>
      </c>
      <c r="B47" s="3">
        <f>B28*24</f>
      </c>
      <c r="C47" s="3">
        <f>C28*24</f>
      </c>
      <c r="D47" s="3">
        <f>D28*24</f>
      </c>
      <c r="E47" s="3">
        <f>E28*24</f>
      </c>
      <c r="F47" s="3">
        <f>F28*24</f>
      </c>
      <c r="G47" s="3">
        <f>G28*24</f>
      </c>
      <c r="H47" s="3"/>
      <c r="I47" s="3"/>
      <c r="J47" s="3"/>
      <c r="K47" s="3"/>
      <c r="L47" s="3"/>
      <c r="M47" s="3"/>
      <c r="N47" s="3"/>
      <c r="O47" s="3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x14ac:dyDescent="0.25" r="48" customHeight="1" ht="18.75">
      <c r="A48" s="1" t="s">
        <v>9</v>
      </c>
      <c r="B48" s="3">
        <f>B29*24</f>
      </c>
      <c r="C48" s="3">
        <f>C29*24</f>
      </c>
      <c r="D48" s="3">
        <f>D29*24</f>
      </c>
      <c r="E48" s="3">
        <f>E29*24</f>
      </c>
      <c r="F48" s="3">
        <f>F29*24</f>
      </c>
      <c r="G48" s="3">
        <f>G29*24</f>
      </c>
      <c r="H48" s="3">
        <f>H29*24</f>
      </c>
      <c r="I48" s="3">
        <f>I29*24</f>
      </c>
      <c r="J48" s="3"/>
      <c r="K48" s="3"/>
      <c r="L48" s="3"/>
      <c r="M48" s="3"/>
      <c r="N48" s="3"/>
      <c r="O48" s="3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x14ac:dyDescent="0.25" r="49" customHeight="1" ht="18.75">
      <c r="A49" s="1" t="s">
        <v>10</v>
      </c>
      <c r="B49" s="3">
        <f>B30*24</f>
      </c>
      <c r="C49" s="3">
        <f>C30*24</f>
      </c>
      <c r="D49" s="3">
        <f>D30*24</f>
      </c>
      <c r="E49" s="3">
        <f>E30*24</f>
      </c>
      <c r="F49" s="3">
        <f>F30*24</f>
      </c>
      <c r="G49" s="3">
        <f>G30*24</f>
      </c>
      <c r="H49" s="3">
        <f>H30*24</f>
      </c>
      <c r="I49" s="3">
        <f>I30*24</f>
      </c>
      <c r="J49" s="3">
        <f>J30*24</f>
      </c>
      <c r="K49" s="3"/>
      <c r="L49" s="3"/>
      <c r="M49" s="3"/>
      <c r="N49" s="3"/>
      <c r="O49" s="3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x14ac:dyDescent="0.25" r="50" customHeight="1" ht="18.75">
      <c r="A50" s="1" t="s">
        <v>11</v>
      </c>
      <c r="B50" s="3">
        <f>B31*24</f>
      </c>
      <c r="C50" s="3">
        <f>C31*24</f>
      </c>
      <c r="D50" s="3">
        <f>D31*24</f>
      </c>
      <c r="E50" s="3">
        <f>E31*24</f>
      </c>
      <c r="F50" s="3">
        <f>F31*24</f>
      </c>
      <c r="G50" s="3">
        <f>G31*24</f>
      </c>
      <c r="H50" s="3">
        <f>H31*24</f>
      </c>
      <c r="I50" s="3">
        <f>I31*24</f>
      </c>
      <c r="J50" s="3">
        <f>J31*24</f>
      </c>
      <c r="K50" s="3">
        <f>K31*24</f>
      </c>
      <c r="L50" s="3"/>
      <c r="M50" s="3"/>
      <c r="N50" s="3"/>
      <c r="O50" s="3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x14ac:dyDescent="0.25" r="51" customHeight="1" ht="18.75">
      <c r="A51" s="1" t="s">
        <v>12</v>
      </c>
      <c r="B51" s="3">
        <f>B32*24</f>
      </c>
      <c r="C51" s="3">
        <f>C32*24</f>
      </c>
      <c r="D51" s="3">
        <f>D32*24</f>
      </c>
      <c r="E51" s="3">
        <f>E32*24</f>
      </c>
      <c r="F51" s="3">
        <f>F32*24</f>
      </c>
      <c r="G51" s="3">
        <f>G32*24</f>
      </c>
      <c r="H51" s="3">
        <f>H32*24</f>
      </c>
      <c r="I51" s="3"/>
      <c r="J51" s="3"/>
      <c r="K51" s="3"/>
      <c r="L51" s="3"/>
      <c r="M51" s="3"/>
      <c r="N51" s="3"/>
      <c r="O51" s="3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x14ac:dyDescent="0.25" r="52" customHeight="1" ht="18.75">
      <c r="A52" s="1" t="s">
        <v>13</v>
      </c>
      <c r="B52" s="3">
        <f>B33*24</f>
      </c>
      <c r="C52" s="3">
        <f>C33*24</f>
      </c>
      <c r="D52" s="3">
        <f>D33*24</f>
      </c>
      <c r="E52" s="3">
        <f>E33*24</f>
      </c>
      <c r="F52" s="3">
        <f>F33*24</f>
      </c>
      <c r="G52" s="3">
        <f>G33*24</f>
      </c>
      <c r="H52" s="3">
        <f>H33*24</f>
      </c>
      <c r="I52" s="3">
        <f>I33*24</f>
      </c>
      <c r="J52" s="3">
        <f>J33*24</f>
      </c>
      <c r="K52" s="3">
        <f>K33*24</f>
      </c>
      <c r="L52" s="3"/>
      <c r="M52" s="3"/>
      <c r="N52" s="3"/>
      <c r="O52" s="3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x14ac:dyDescent="0.25" r="53" customHeight="1" ht="18.75">
      <c r="A53" s="1" t="s">
        <v>14</v>
      </c>
      <c r="B53" s="3">
        <f>B34*24</f>
      </c>
      <c r="C53" s="3">
        <f>C34*24</f>
      </c>
      <c r="D53" s="3">
        <f>D34*24</f>
      </c>
      <c r="E53" s="3">
        <f>E34*24</f>
      </c>
      <c r="F53" s="3">
        <f>F34*24</f>
      </c>
      <c r="G53" s="3">
        <f>G34*24</f>
      </c>
      <c r="H53" s="3">
        <f>H34*24</f>
      </c>
      <c r="I53" s="3">
        <f>I34*24</f>
      </c>
      <c r="J53" s="3"/>
      <c r="K53" s="3"/>
      <c r="L53" s="3"/>
      <c r="M53" s="3"/>
      <c r="N53" s="3"/>
      <c r="O53" s="3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x14ac:dyDescent="0.25" r="54" customHeight="1" ht="18.75">
      <c r="A54" s="1" t="s">
        <v>15</v>
      </c>
      <c r="B54" s="3">
        <f>B35*24</f>
      </c>
      <c r="C54" s="3">
        <f>C35*24</f>
      </c>
      <c r="D54" s="3">
        <f>D35*24</f>
      </c>
      <c r="E54" s="3">
        <f>E35*24</f>
      </c>
      <c r="F54" s="3">
        <f>F35*24</f>
      </c>
      <c r="G54" s="3">
        <f>G35*24</f>
      </c>
      <c r="H54" s="3">
        <f>H35*24</f>
      </c>
      <c r="I54" s="3">
        <f>I35*24</f>
      </c>
      <c r="J54" s="3">
        <f>J35*24</f>
      </c>
      <c r="K54" s="3">
        <f>K35*24</f>
      </c>
      <c r="L54" s="3">
        <f>L35*24</f>
      </c>
      <c r="M54" s="3">
        <f>M35*24</f>
      </c>
      <c r="N54" s="3">
        <f>N35*24</f>
      </c>
      <c r="O54" s="3">
        <f>O35*24</f>
      </c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x14ac:dyDescent="0.25" r="55" customHeight="1" ht="18.75">
      <c r="A55" s="1" t="s">
        <v>16</v>
      </c>
      <c r="B55" s="3">
        <f>B36*24</f>
      </c>
      <c r="C55" s="3">
        <f>C36*24</f>
      </c>
      <c r="D55" s="3">
        <f>D36*24</f>
      </c>
      <c r="E55" s="3">
        <f>E36*24</f>
      </c>
      <c r="F55" s="3">
        <f>F36*24</f>
      </c>
      <c r="G55" s="3">
        <f>G36*24</f>
      </c>
      <c r="H55" s="3">
        <f>H36*24</f>
      </c>
      <c r="I55" s="3"/>
      <c r="J55" s="3"/>
      <c r="K55" s="3"/>
      <c r="L55" s="3"/>
      <c r="M55" s="3"/>
      <c r="N55" s="3"/>
      <c r="O55" s="3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x14ac:dyDescent="0.25" r="56" customHeight="1" ht="18.75">
      <c r="A56" s="1" t="s">
        <v>17</v>
      </c>
      <c r="B56" s="3">
        <f>B37*24</f>
      </c>
      <c r="C56" s="3">
        <f>C37*24</f>
      </c>
      <c r="D56" s="3">
        <f>D37*24</f>
      </c>
      <c r="E56" s="3">
        <f>E37*24</f>
      </c>
      <c r="F56" s="3">
        <f>F37*24</f>
      </c>
      <c r="G56" s="3">
        <f>G37*24</f>
      </c>
      <c r="H56" s="3">
        <f>H37*24</f>
      </c>
      <c r="I56" s="3">
        <f>I37*24</f>
      </c>
      <c r="J56" s="3">
        <f>J37*24</f>
      </c>
      <c r="K56" s="3">
        <f>K37*24</f>
      </c>
      <c r="L56" s="3"/>
      <c r="M56" s="3"/>
      <c r="N56" s="3"/>
      <c r="O56" s="3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13</vt:i4>
      </vt:variant>
    </vt:vector>
  </HeadingPairs>
  <TitlesOfParts>
    <vt:vector baseType="lpstr" size="13">
      <vt:lpstr>Description</vt:lpstr>
      <vt:lpstr>STEMI_times</vt:lpstr>
      <vt:lpstr>STEMI_values</vt:lpstr>
      <vt:lpstr>NSTEMI_times</vt:lpstr>
      <vt:lpstr>NSTEMI_values</vt:lpstr>
      <vt:lpstr>Deleted</vt:lpstr>
      <vt:lpstr>dt_2_NSTEMI working...</vt:lpstr>
      <vt:lpstr>dt2_STEMI_working</vt:lpstr>
      <vt:lpstr>CBRA NSTEMI working...</vt:lpstr>
      <vt:lpstr>n_cbra_times_1_working</vt:lpstr>
      <vt:lpstr>n_cbra_times_2_working</vt:lpstr>
      <vt:lpstr>CBRA STEMI working...</vt:lpstr>
      <vt:lpstr>dt3_STEMI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2025-06-05T14:59:16.971Z</dcterms:created>
  <dcterms:modified xsi:type="dcterms:W3CDTF">2025-06-05T14:59:16.971Z</dcterms:modified>
</cp:coreProperties>
</file>